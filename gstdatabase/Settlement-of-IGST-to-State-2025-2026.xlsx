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Feb-26\GST Statistics Downloads 28th Feb 26\Downloads\Settlement\"/>
    </mc:Choice>
  </mc:AlternateContent>
  <xr:revisionPtr revIDLastSave="0" documentId="13_ncr:1_{E1E8E54C-DFC4-401F-ACF2-29BAE94B00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tlement_2025-26" sheetId="7" r:id="rId1"/>
  </sheets>
  <definedNames>
    <definedName name="_xlnm._FilterDatabase" localSheetId="0" hidden="1">'Settlement_2025-26'!$A$5:$F$44</definedName>
    <definedName name="_xlnm.Print_Titles" localSheetId="0">'Settlement_2025-26'!$1:$5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D7" i="7"/>
  <c r="E7" i="7"/>
  <c r="C8" i="7"/>
  <c r="D8" i="7"/>
  <c r="D44" i="7" s="1"/>
  <c r="C9" i="7"/>
  <c r="D9" i="7"/>
  <c r="E9" i="7"/>
  <c r="C10" i="7"/>
  <c r="D10" i="7"/>
  <c r="E10" i="7"/>
  <c r="C11" i="7"/>
  <c r="D11" i="7"/>
  <c r="E11" i="7"/>
  <c r="C12" i="7"/>
  <c r="D12" i="7"/>
  <c r="E12" i="7"/>
  <c r="C13" i="7"/>
  <c r="D13" i="7"/>
  <c r="E13" i="7"/>
  <c r="C14" i="7"/>
  <c r="D14" i="7"/>
  <c r="E14" i="7"/>
  <c r="C15" i="7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C30" i="7"/>
  <c r="D30" i="7"/>
  <c r="E30" i="7"/>
  <c r="C31" i="7"/>
  <c r="D31" i="7"/>
  <c r="E31" i="7"/>
  <c r="C32" i="7"/>
  <c r="D32" i="7"/>
  <c r="E32" i="7"/>
  <c r="C33" i="7"/>
  <c r="D33" i="7"/>
  <c r="E33" i="7"/>
  <c r="C34" i="7"/>
  <c r="D34" i="7"/>
  <c r="E34" i="7"/>
  <c r="C35" i="7"/>
  <c r="D35" i="7"/>
  <c r="E35" i="7"/>
  <c r="C36" i="7"/>
  <c r="D36" i="7"/>
  <c r="E36" i="7"/>
  <c r="C37" i="7"/>
  <c r="D37" i="7"/>
  <c r="E37" i="7"/>
  <c r="C38" i="7"/>
  <c r="D38" i="7"/>
  <c r="E38" i="7"/>
  <c r="C39" i="7"/>
  <c r="D39" i="7"/>
  <c r="E39" i="7"/>
  <c r="C40" i="7"/>
  <c r="D40" i="7"/>
  <c r="E40" i="7"/>
  <c r="C41" i="7"/>
  <c r="D41" i="7"/>
  <c r="E41" i="7"/>
  <c r="C42" i="7"/>
  <c r="D42" i="7"/>
  <c r="E42" i="7"/>
  <c r="C43" i="7"/>
  <c r="D43" i="7"/>
  <c r="E43" i="7"/>
  <c r="D6" i="7"/>
  <c r="E6" i="7"/>
  <c r="AL8" i="7"/>
  <c r="AL9" i="7"/>
  <c r="AL10" i="7"/>
  <c r="AL11" i="7"/>
  <c r="AL17" i="7"/>
  <c r="AL23" i="7"/>
  <c r="AL24" i="7"/>
  <c r="AL25" i="7"/>
  <c r="AL26" i="7"/>
  <c r="AL27" i="7"/>
  <c r="AL30" i="7"/>
  <c r="AL31" i="7"/>
  <c r="AL32" i="7"/>
  <c r="AL33" i="7"/>
  <c r="AL39" i="7"/>
  <c r="AK44" i="7"/>
  <c r="AL43" i="7"/>
  <c r="AL42" i="7"/>
  <c r="AL41" i="7"/>
  <c r="AL40" i="7"/>
  <c r="AL38" i="7"/>
  <c r="AL37" i="7"/>
  <c r="AL36" i="7"/>
  <c r="AL35" i="7"/>
  <c r="AL34" i="7"/>
  <c r="AL29" i="7"/>
  <c r="AL28" i="7"/>
  <c r="AL22" i="7"/>
  <c r="AL21" i="7"/>
  <c r="AL20" i="7"/>
  <c r="AL19" i="7"/>
  <c r="AL18" i="7"/>
  <c r="AL16" i="7"/>
  <c r="AL15" i="7"/>
  <c r="AL14" i="7"/>
  <c r="AL13" i="7"/>
  <c r="AL12" i="7"/>
  <c r="AL7" i="7"/>
  <c r="AJ44" i="7" l="1"/>
  <c r="AL6" i="7"/>
  <c r="AL44" i="7" s="1"/>
  <c r="AH44" i="7"/>
  <c r="AG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I6" i="7"/>
  <c r="C6" i="7"/>
  <c r="AF12" i="7"/>
  <c r="AF23" i="7"/>
  <c r="AF24" i="7"/>
  <c r="AF25" i="7"/>
  <c r="AF34" i="7"/>
  <c r="AE44" i="7"/>
  <c r="AF41" i="7"/>
  <c r="AF40" i="7"/>
  <c r="AF39" i="7"/>
  <c r="AF38" i="7"/>
  <c r="AF37" i="7"/>
  <c r="AF36" i="7"/>
  <c r="AF35" i="7"/>
  <c r="AF30" i="7"/>
  <c r="AF29" i="7"/>
  <c r="AF28" i="7"/>
  <c r="AF27" i="7"/>
  <c r="AF26" i="7"/>
  <c r="AF19" i="7"/>
  <c r="AF18" i="7"/>
  <c r="AF17" i="7"/>
  <c r="AF16" i="7"/>
  <c r="AF15" i="7"/>
  <c r="AF14" i="7"/>
  <c r="AF13" i="7"/>
  <c r="AF8" i="7"/>
  <c r="AF7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B44" i="7"/>
  <c r="Y44" i="7"/>
  <c r="X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AI44" i="7" l="1"/>
  <c r="AF9" i="7"/>
  <c r="AF31" i="7"/>
  <c r="AF10" i="7"/>
  <c r="AF32" i="7"/>
  <c r="AF11" i="7"/>
  <c r="AF33" i="7"/>
  <c r="AF20" i="7"/>
  <c r="AF42" i="7"/>
  <c r="AF21" i="7"/>
  <c r="AF43" i="7"/>
  <c r="AF22" i="7"/>
  <c r="AD44" i="7"/>
  <c r="AF6" i="7"/>
  <c r="AA44" i="7"/>
  <c r="AC6" i="7"/>
  <c r="AC44" i="7" s="1"/>
  <c r="Z44" i="7"/>
  <c r="V44" i="7"/>
  <c r="U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S44" i="7"/>
  <c r="R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Q8" i="7"/>
  <c r="Q12" i="7"/>
  <c r="Q16" i="7"/>
  <c r="Q20" i="7"/>
  <c r="Q22" i="7"/>
  <c r="Q24" i="7"/>
  <c r="Q28" i="7"/>
  <c r="Q30" i="7"/>
  <c r="Q32" i="7"/>
  <c r="Q36" i="7"/>
  <c r="Q38" i="7"/>
  <c r="Q39" i="7"/>
  <c r="Q40" i="7"/>
  <c r="P44" i="7"/>
  <c r="Q43" i="7"/>
  <c r="Q42" i="7"/>
  <c r="Q41" i="7"/>
  <c r="Q37" i="7"/>
  <c r="Q35" i="7"/>
  <c r="Q34" i="7"/>
  <c r="Q33" i="7"/>
  <c r="Q31" i="7"/>
  <c r="Q29" i="7"/>
  <c r="Q27" i="7"/>
  <c r="Q26" i="7"/>
  <c r="Q25" i="7"/>
  <c r="Q23" i="7"/>
  <c r="Q21" i="7"/>
  <c r="Q19" i="7"/>
  <c r="Q18" i="7"/>
  <c r="Q17" i="7"/>
  <c r="Q15" i="7"/>
  <c r="Q14" i="7"/>
  <c r="Q13" i="7"/>
  <c r="Q11" i="7"/>
  <c r="Q10" i="7"/>
  <c r="Q9" i="7"/>
  <c r="Q7" i="7"/>
  <c r="C44" i="7" l="1"/>
  <c r="AF44" i="7"/>
  <c r="W44" i="7"/>
  <c r="T44" i="7"/>
  <c r="O44" i="7"/>
  <c r="Q6" i="7"/>
  <c r="Q44" i="7" s="1"/>
  <c r="J44" i="7"/>
  <c r="I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6" i="7"/>
  <c r="M44" i="7"/>
  <c r="L44" i="7"/>
  <c r="K44" i="7" l="1"/>
  <c r="N44" i="7"/>
  <c r="F44" i="7" l="1"/>
  <c r="G44" i="7"/>
  <c r="H7" i="7" l="1"/>
  <c r="H8" i="7"/>
  <c r="E8" i="7" s="1"/>
  <c r="E44" i="7" s="1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6" i="7"/>
  <c r="H44" i="7" l="1"/>
</calcChain>
</file>

<file path=xl/sharedStrings.xml><?xml version="1.0" encoding="utf-8"?>
<sst xmlns="http://schemas.openxmlformats.org/spreadsheetml/2006/main" count="81" uniqueCount="48">
  <si>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</si>
  <si>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</si>
  <si>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</si>
  <si>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</si>
  <si>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</si>
  <si>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</si>
  <si>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</si>
  <si>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</si>
  <si>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</si>
  <si>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</si>
  <si>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</si>
  <si>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</si>
  <si>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</si>
  <si>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</si>
  <si>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</si>
  <si>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</si>
  <si>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</si>
  <si>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</si>
  <si>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</si>
  <si>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</si>
  <si>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</si>
  <si>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</si>
  <si>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</si>
  <si>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</si>
  <si>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</si>
  <si>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</si>
  <si>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</si>
  <si>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</si>
  <si>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</si>
  <si>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</si>
  <si>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</si>
  <si>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</si>
  <si>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</si>
  <si>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Chhattisgarh</t>
  </si>
  <si>
    <t>Gujarat</t>
  </si>
  <si>
    <t>Maharashtra</t>
  </si>
  <si>
    <t>Andaman and Nicobar Islands</t>
  </si>
  <si>
    <t>State</t>
  </si>
  <si>
    <t>Ladakh</t>
  </si>
  <si>
    <t>State CD</t>
  </si>
  <si>
    <t>SETTLEMENT OF IGST WITH STATES/UTS</t>
  </si>
  <si>
    <t>Regular Settlement</t>
  </si>
  <si>
    <t>Adhoc Settlement</t>
  </si>
  <si>
    <t>Total</t>
  </si>
  <si>
    <t>All India</t>
  </si>
  <si>
    <t>FINANCIAL YEAR 2025-2026</t>
  </si>
  <si>
    <t>Financial Year 2025-26</t>
  </si>
  <si>
    <t>Amount in 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</si>
</sst>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17" fontId="6" fillId="2" borderId="1" xfId="0" applyNumberFormat="1" applyFont="1" applyFill="1" applyBorder="1" applyAlignment="1">
      <alignment horizontal="center" vertical="center" wrapText="1"/>
    </xf>
    <xf numFmtId="17" fontId="6" fillId="3" borderId="1" xfId="0" applyNumberFormat="1" applyFont="1" applyFill="1" applyBorder="1" applyAlignment="1">
      <alignment horizontal="center" vertical="center" wrapText="1"/>
    </xf>
    <xf numFmtId="43" fontId="2" fillId="0" borderId="1" xfId="3" applyFont="1" applyBorder="1" applyAlignment="1">
      <alignment vertical="center"/>
    </xf>
    <xf numFmtId="43" fontId="4" fillId="0" borderId="1" xfId="3" applyFont="1" applyBorder="1"/>
    <xf numFmtId="43" fontId="6" fillId="2" borderId="1" xfId="3" applyFont="1" applyFill="1" applyBorder="1" applyAlignment="1">
      <alignment horizontal="center" vertical="center" wrapText="1"/>
    </xf>
    <xf numFmtId="0" fontId="1" fillId="0" borderId="0" xfId="0" applyFont="1"/>
    <xf numFmtId="43" fontId="4" fillId="0" borderId="1" xfId="3" applyFont="1" applyFill="1" applyBorder="1"/>
    <xf numFmtId="43" fontId="0" fillId="0" borderId="0" xfId="0" applyNumberFormat="1"/>
    <xf numFmtId="17" fontId="8" fillId="3" borderId="2" xfId="0" applyNumberFormat="1" applyFont="1" applyFill="1" applyBorder="1" applyAlignment="1">
      <alignment horizontal="center" vertical="center" wrapText="1"/>
    </xf>
    <xf numFmtId="17" fontId="8" fillId="3" borderId="3" xfId="0" applyNumberFormat="1" applyFont="1" applyFill="1" applyBorder="1" applyAlignment="1">
      <alignment horizontal="center" vertical="center" wrapText="1"/>
    </xf>
    <xf numFmtId="17" fontId="8" fillId="3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4">
    <cellStyle name="Comma" xfId="3" builtinId="3"/>
    <cellStyle name="Comma 2" xfId="1" xr:uid="{00000000-0005-0000-0000-000001000000}"/>
    <cellStyle name="Comma 3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5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8.88671875" defaultRowHeight="14.4" x14ac:dyDescent="0.3"/>
  <cols>
    <col min="1" max="1" width="6.88671875" bestFit="1" customWidth="1"/>
    <col min="2" max="2" width="26.44140625" customWidth="1"/>
    <col min="3" max="20" width="12.88671875" customWidth="1"/>
    <col min="21" max="21" width="11" bestFit="1" customWidth="1"/>
    <col min="22" max="22" width="11.88671875" customWidth="1"/>
    <col min="23" max="23" width="10.88671875" bestFit="1" customWidth="1"/>
    <col min="24" max="24" width="11" bestFit="1" customWidth="1"/>
    <col min="25" max="25" width="12.109375" customWidth="1"/>
    <col min="26" max="26" width="10.88671875" bestFit="1" customWidth="1"/>
    <col min="27" max="27" width="11" bestFit="1" customWidth="1"/>
    <col min="28" max="28" width="12.21875" customWidth="1"/>
    <col min="29" max="29" width="10.88671875" bestFit="1" customWidth="1"/>
    <col min="30" max="30" width="11" bestFit="1" customWidth="1"/>
    <col min="31" max="31" width="12.21875" customWidth="1"/>
    <col min="32" max="32" width="10.88671875" bestFit="1" customWidth="1"/>
    <col min="33" max="33" width="11" bestFit="1" customWidth="1"/>
    <col min="34" max="34" width="12.21875" customWidth="1"/>
    <col min="35" max="35" width="10.88671875" bestFit="1" customWidth="1"/>
    <col min="36" max="36" width="11" bestFit="1" customWidth="1"/>
    <col min="37" max="37" width="12.21875" customWidth="1"/>
    <col min="38" max="38" width="10.88671875" bestFit="1" customWidth="1"/>
    <col min="39" max="39" width="11" bestFit="1" customWidth="1"/>
    <col min="40" max="40" width="10.88671875" bestFit="1" customWidth="1"/>
  </cols>
  <sheetData>
    <row r="1" spans="1:38" ht="23.1" customHeight="1" x14ac:dyDescent="0.3">
      <c r="A1" s="17" t="s">
        <v>40</v>
      </c>
      <c r="B1" s="17"/>
      <c r="C1" s="17"/>
    </row>
    <row r="2" spans="1:38" ht="23.1" customHeight="1" x14ac:dyDescent="0.35">
      <c r="A2" s="11" t="s">
        <v>47</v>
      </c>
      <c r="B2" s="11"/>
      <c r="C2" s="1"/>
    </row>
    <row r="3" spans="1:38" ht="23.1" customHeight="1" x14ac:dyDescent="0.35">
      <c r="A3" s="18" t="s">
        <v>45</v>
      </c>
      <c r="B3" s="18"/>
      <c r="C3" s="1"/>
    </row>
    <row r="4" spans="1:38" ht="14.4" customHeight="1" x14ac:dyDescent="0.3">
      <c r="C4" s="19" t="s">
        <v>46</v>
      </c>
      <c r="D4" s="20"/>
      <c r="E4" s="21"/>
      <c r="F4" s="14">
        <v>45748</v>
      </c>
      <c r="G4" s="15"/>
      <c r="H4" s="16"/>
      <c r="I4" s="14">
        <v>45778</v>
      </c>
      <c r="J4" s="15"/>
      <c r="K4" s="16"/>
      <c r="L4" s="14">
        <v>45809</v>
      </c>
      <c r="M4" s="15"/>
      <c r="N4" s="16"/>
      <c r="O4" s="14">
        <v>45839</v>
      </c>
      <c r="P4" s="15"/>
      <c r="Q4" s="16"/>
      <c r="R4" s="14">
        <v>45870</v>
      </c>
      <c r="S4" s="15"/>
      <c r="T4" s="16"/>
      <c r="U4" s="14">
        <v>45901</v>
      </c>
      <c r="V4" s="15"/>
      <c r="W4" s="16"/>
      <c r="X4" s="14">
        <v>45931</v>
      </c>
      <c r="Y4" s="15"/>
      <c r="Z4" s="16"/>
      <c r="AA4" s="14">
        <v>45962</v>
      </c>
      <c r="AB4" s="15"/>
      <c r="AC4" s="16"/>
      <c r="AD4" s="14">
        <v>45992</v>
      </c>
      <c r="AE4" s="15"/>
      <c r="AF4" s="16"/>
      <c r="AG4" s="14">
        <v>46023</v>
      </c>
      <c r="AH4" s="15"/>
      <c r="AI4" s="16"/>
      <c r="AJ4" s="14">
        <v>46054</v>
      </c>
      <c r="AK4" s="15"/>
      <c r="AL4" s="16"/>
    </row>
    <row r="5" spans="1:38" ht="37.65" customHeight="1" x14ac:dyDescent="0.3">
      <c r="A5" s="6" t="s">
        <v>39</v>
      </c>
      <c r="B5" s="6" t="s">
        <v>37</v>
      </c>
      <c r="C5" s="6" t="s">
        <v>41</v>
      </c>
      <c r="D5" s="6" t="s">
        <v>42</v>
      </c>
      <c r="E5" s="6" t="s">
        <v>43</v>
      </c>
      <c r="F5" s="7" t="s">
        <v>41</v>
      </c>
      <c r="G5" s="7" t="s">
        <v>42</v>
      </c>
      <c r="H5" s="7" t="s">
        <v>43</v>
      </c>
      <c r="I5" s="7" t="s">
        <v>41</v>
      </c>
      <c r="J5" s="7" t="s">
        <v>42</v>
      </c>
      <c r="K5" s="7" t="s">
        <v>43</v>
      </c>
      <c r="L5" s="7" t="s">
        <v>41</v>
      </c>
      <c r="M5" s="7" t="s">
        <v>42</v>
      </c>
      <c r="N5" s="7" t="s">
        <v>43</v>
      </c>
      <c r="O5" s="7" t="s">
        <v>41</v>
      </c>
      <c r="P5" s="7" t="s">
        <v>42</v>
      </c>
      <c r="Q5" s="7" t="s">
        <v>43</v>
      </c>
      <c r="R5" s="7" t="s">
        <v>41</v>
      </c>
      <c r="S5" s="7" t="s">
        <v>42</v>
      </c>
      <c r="T5" s="7" t="s">
        <v>43</v>
      </c>
      <c r="U5" s="7" t="s">
        <v>41</v>
      </c>
      <c r="V5" s="7" t="s">
        <v>42</v>
      </c>
      <c r="W5" s="7" t="s">
        <v>43</v>
      </c>
      <c r="X5" s="7" t="s">
        <v>41</v>
      </c>
      <c r="Y5" s="7" t="s">
        <v>42</v>
      </c>
      <c r="Z5" s="7" t="s">
        <v>43</v>
      </c>
      <c r="AA5" s="7" t="s">
        <v>41</v>
      </c>
      <c r="AB5" s="7" t="s">
        <v>42</v>
      </c>
      <c r="AC5" s="7" t="s">
        <v>43</v>
      </c>
      <c r="AD5" s="7" t="s">
        <v>41</v>
      </c>
      <c r="AE5" s="7" t="s">
        <v>42</v>
      </c>
      <c r="AF5" s="7" t="s">
        <v>43</v>
      </c>
      <c r="AG5" s="7" t="s">
        <v>41</v>
      </c>
      <c r="AH5" s="7" t="s">
        <v>42</v>
      </c>
      <c r="AI5" s="7" t="s">
        <v>43</v>
      </c>
      <c r="AJ5" s="7" t="s">
        <v>41</v>
      </c>
      <c r="AK5" s="7" t="s">
        <v>42</v>
      </c>
      <c r="AL5" s="7" t="s">
        <v>43</v>
      </c>
    </row>
    <row r="6" spans="1:38" x14ac:dyDescent="0.3">
      <c r="A6" s="3">
        <v>1</v>
      </c>
      <c r="B6" s="2" t="s">
        <v>0</v>
      </c>
      <c r="C6" s="8">
        <f>F6+I6+L6+O6+R6+U6+X6+AA6+AD6+AG6+AJ6+AM6</f>
        <v>4904.1011919650009</v>
      </c>
      <c r="D6" s="8">
        <f t="shared" ref="D6:E6" si="0">G6+J6+M6+P6+S6+V6+Y6+AB6+AE6+AH6+AK6+AN6</f>
        <v>0</v>
      </c>
      <c r="E6" s="8">
        <f t="shared" si="0"/>
        <v>4904.1011919650009</v>
      </c>
      <c r="F6" s="9">
        <v>610.91604289599991</v>
      </c>
      <c r="G6" s="9">
        <v>0</v>
      </c>
      <c r="H6" s="9">
        <f>F6+G6</f>
        <v>610.91604289599991</v>
      </c>
      <c r="I6" s="9">
        <v>452.81495239100008</v>
      </c>
      <c r="J6" s="9">
        <v>0</v>
      </c>
      <c r="K6" s="9">
        <f>I6+J6</f>
        <v>452.81495239100008</v>
      </c>
      <c r="L6" s="9">
        <v>396.67539349399999</v>
      </c>
      <c r="M6" s="9">
        <v>0</v>
      </c>
      <c r="N6" s="9">
        <f>L6+M6</f>
        <v>396.67539349399999</v>
      </c>
      <c r="O6" s="9">
        <v>480.44273255700006</v>
      </c>
      <c r="P6" s="9">
        <v>0</v>
      </c>
      <c r="Q6" s="9">
        <f>O6+P6</f>
        <v>480.44273255700006</v>
      </c>
      <c r="R6" s="9">
        <v>447.43285474700014</v>
      </c>
      <c r="S6" s="9">
        <v>0</v>
      </c>
      <c r="T6" s="9">
        <f>R6+S6</f>
        <v>447.43285474700014</v>
      </c>
      <c r="U6" s="9">
        <v>368.59570852899998</v>
      </c>
      <c r="V6" s="9">
        <v>0</v>
      </c>
      <c r="W6" s="9">
        <f>U6+V6</f>
        <v>368.59570852899998</v>
      </c>
      <c r="X6" s="9">
        <v>436.45692417600003</v>
      </c>
      <c r="Y6" s="9">
        <v>0</v>
      </c>
      <c r="Z6" s="9">
        <f>X6+Y6</f>
        <v>436.45692417600003</v>
      </c>
      <c r="AA6" s="9">
        <v>463.33206048300002</v>
      </c>
      <c r="AB6" s="9">
        <v>0</v>
      </c>
      <c r="AC6" s="9">
        <f>AA6+AB6</f>
        <v>463.33206048300002</v>
      </c>
      <c r="AD6" s="9">
        <v>388.4887576365</v>
      </c>
      <c r="AE6" s="9">
        <v>0</v>
      </c>
      <c r="AF6" s="9">
        <f>AD6+AE6</f>
        <v>388.4887576365</v>
      </c>
      <c r="AG6" s="9">
        <v>463.78822837450008</v>
      </c>
      <c r="AH6" s="9">
        <v>0</v>
      </c>
      <c r="AI6" s="9">
        <f>AG6+AH6</f>
        <v>463.78822837450008</v>
      </c>
      <c r="AJ6" s="9">
        <v>395.15753668100007</v>
      </c>
      <c r="AK6" s="9">
        <v>0</v>
      </c>
      <c r="AL6" s="9">
        <f>AJ6+AK6</f>
        <v>395.15753668100007</v>
      </c>
    </row>
    <row r="7" spans="1:38" x14ac:dyDescent="0.3">
      <c r="A7" s="3">
        <v>2</v>
      </c>
      <c r="B7" s="2" t="s">
        <v>1</v>
      </c>
      <c r="C7" s="8">
        <f t="shared" ref="C7:C43" si="1">F7+I7+L7+O7+R7+U7+X7+AA7+AD7+AG7+AJ7+AM7</f>
        <v>3608.0460654845006</v>
      </c>
      <c r="D7" s="8">
        <f t="shared" ref="D7:D43" si="2">G7+J7+M7+P7+S7+V7+Y7+AB7+AE7+AH7+AK7+AN7</f>
        <v>0</v>
      </c>
      <c r="E7" s="8">
        <f t="shared" ref="E7:E43" si="3">H7+K7+N7+Q7+T7+W7+Z7+AC7+AF7+AI7+AL7+AO7</f>
        <v>3608.0460654845006</v>
      </c>
      <c r="F7" s="9">
        <v>431.22853366000004</v>
      </c>
      <c r="G7" s="9">
        <v>0</v>
      </c>
      <c r="H7" s="9">
        <f t="shared" ref="H7:H43" si="4">F7+G7</f>
        <v>431.22853366000004</v>
      </c>
      <c r="I7" s="9">
        <v>302.94437691999997</v>
      </c>
      <c r="J7" s="9">
        <v>0</v>
      </c>
      <c r="K7" s="9">
        <f t="shared" ref="K7:K43" si="5">I7+J7</f>
        <v>302.94437691999997</v>
      </c>
      <c r="L7" s="9">
        <v>271.96113199000001</v>
      </c>
      <c r="M7" s="9">
        <v>0</v>
      </c>
      <c r="N7" s="9">
        <f t="shared" ref="N7:N43" si="6">L7+M7</f>
        <v>271.96113199000001</v>
      </c>
      <c r="O7" s="9">
        <v>363.279546396</v>
      </c>
      <c r="P7" s="9">
        <v>0</v>
      </c>
      <c r="Q7" s="9">
        <f t="shared" ref="Q7:Q43" si="7">O7+P7</f>
        <v>363.279546396</v>
      </c>
      <c r="R7" s="9">
        <v>294.39933341900002</v>
      </c>
      <c r="S7" s="9">
        <v>0</v>
      </c>
      <c r="T7" s="9">
        <f t="shared" ref="T7:T43" si="8">R7+S7</f>
        <v>294.39933341900002</v>
      </c>
      <c r="U7" s="9">
        <v>201.43472032400001</v>
      </c>
      <c r="V7" s="9">
        <v>0</v>
      </c>
      <c r="W7" s="9">
        <f t="shared" ref="W7:W43" si="9">U7+V7</f>
        <v>201.43472032400001</v>
      </c>
      <c r="X7" s="9">
        <v>334.150656223</v>
      </c>
      <c r="Y7" s="9">
        <v>0</v>
      </c>
      <c r="Z7" s="9">
        <f t="shared" ref="Z7:Z43" si="10">X7+Y7</f>
        <v>334.150656223</v>
      </c>
      <c r="AA7" s="9">
        <v>366.3621677305</v>
      </c>
      <c r="AB7" s="9">
        <v>0</v>
      </c>
      <c r="AC7" s="9">
        <f t="shared" ref="AC7:AC43" si="11">AA7+AB7</f>
        <v>366.3621677305</v>
      </c>
      <c r="AD7" s="9">
        <v>301.31978257450004</v>
      </c>
      <c r="AE7" s="9">
        <v>0</v>
      </c>
      <c r="AF7" s="9">
        <f t="shared" ref="AF7:AF43" si="12">AD7+AE7</f>
        <v>301.31978257450004</v>
      </c>
      <c r="AG7" s="9">
        <v>408.69506338299999</v>
      </c>
      <c r="AH7" s="9">
        <v>0</v>
      </c>
      <c r="AI7" s="9">
        <f t="shared" ref="AI7:AI43" si="13">AG7+AH7</f>
        <v>408.69506338299999</v>
      </c>
      <c r="AJ7" s="9">
        <v>332.27075286450003</v>
      </c>
      <c r="AK7" s="9">
        <v>0</v>
      </c>
      <c r="AL7" s="9">
        <f t="shared" ref="AL7:AL43" si="14">AJ7+AK7</f>
        <v>332.27075286450003</v>
      </c>
    </row>
    <row r="8" spans="1:38" x14ac:dyDescent="0.3">
      <c r="A8" s="3">
        <v>3</v>
      </c>
      <c r="B8" s="2" t="s">
        <v>2</v>
      </c>
      <c r="C8" s="8">
        <f t="shared" si="1"/>
        <v>16406.927051874496</v>
      </c>
      <c r="D8" s="8">
        <f t="shared" si="2"/>
        <v>0</v>
      </c>
      <c r="E8" s="8">
        <f t="shared" si="3"/>
        <v>16406.927051874496</v>
      </c>
      <c r="F8" s="9">
        <v>1571.3228304389997</v>
      </c>
      <c r="G8" s="9">
        <v>0</v>
      </c>
      <c r="H8" s="9">
        <f t="shared" si="4"/>
        <v>1571.3228304389997</v>
      </c>
      <c r="I8" s="9">
        <v>1285.8516971529998</v>
      </c>
      <c r="J8" s="9">
        <v>0</v>
      </c>
      <c r="K8" s="9">
        <f t="shared" si="5"/>
        <v>1285.8516971529998</v>
      </c>
      <c r="L8" s="9">
        <v>1622.5587918630001</v>
      </c>
      <c r="M8" s="9">
        <v>0</v>
      </c>
      <c r="N8" s="9">
        <f t="shared" si="6"/>
        <v>1622.5587918630001</v>
      </c>
      <c r="O8" s="9">
        <v>1598.0790073819999</v>
      </c>
      <c r="P8" s="9">
        <v>0</v>
      </c>
      <c r="Q8" s="9">
        <f t="shared" si="7"/>
        <v>1598.0790073819999</v>
      </c>
      <c r="R8" s="9">
        <v>1512.6020563860002</v>
      </c>
      <c r="S8" s="9">
        <v>0</v>
      </c>
      <c r="T8" s="9">
        <f t="shared" si="8"/>
        <v>1512.6020563860002</v>
      </c>
      <c r="U8" s="9">
        <v>1402.774785261</v>
      </c>
      <c r="V8" s="9">
        <v>0</v>
      </c>
      <c r="W8" s="9">
        <f t="shared" si="9"/>
        <v>1402.774785261</v>
      </c>
      <c r="X8" s="9">
        <v>1691.0811114200001</v>
      </c>
      <c r="Y8" s="9">
        <v>0</v>
      </c>
      <c r="Z8" s="9">
        <f t="shared" si="10"/>
        <v>1691.0811114200001</v>
      </c>
      <c r="AA8" s="9">
        <v>1440.5972680559996</v>
      </c>
      <c r="AB8" s="9">
        <v>0</v>
      </c>
      <c r="AC8" s="9">
        <f t="shared" si="11"/>
        <v>1440.5972680559996</v>
      </c>
      <c r="AD8" s="9">
        <v>1247.063783458</v>
      </c>
      <c r="AE8" s="9">
        <v>0</v>
      </c>
      <c r="AF8" s="9">
        <f t="shared" si="12"/>
        <v>1247.063783458</v>
      </c>
      <c r="AG8" s="9">
        <v>1514.1949733394999</v>
      </c>
      <c r="AH8" s="9">
        <v>0</v>
      </c>
      <c r="AI8" s="9">
        <f t="shared" si="13"/>
        <v>1514.1949733394999</v>
      </c>
      <c r="AJ8" s="9">
        <v>1520.8007471170004</v>
      </c>
      <c r="AK8" s="9">
        <v>0</v>
      </c>
      <c r="AL8" s="9">
        <f t="shared" si="14"/>
        <v>1520.8007471170004</v>
      </c>
    </row>
    <row r="9" spans="1:38" x14ac:dyDescent="0.3">
      <c r="A9" s="3">
        <v>4</v>
      </c>
      <c r="B9" s="2" t="s">
        <v>3</v>
      </c>
      <c r="C9" s="8">
        <f t="shared" si="1"/>
        <v>1601.5850351154997</v>
      </c>
      <c r="D9" s="8">
        <f t="shared" si="2"/>
        <v>0</v>
      </c>
      <c r="E9" s="8">
        <f t="shared" si="3"/>
        <v>1601.5850351154997</v>
      </c>
      <c r="F9" s="9">
        <v>179.76297837400003</v>
      </c>
      <c r="G9" s="9">
        <v>0</v>
      </c>
      <c r="H9" s="9">
        <f t="shared" si="4"/>
        <v>179.76297837400003</v>
      </c>
      <c r="I9" s="9">
        <v>133.51093873599999</v>
      </c>
      <c r="J9" s="9">
        <v>0</v>
      </c>
      <c r="K9" s="9">
        <f t="shared" si="5"/>
        <v>133.51093873599999</v>
      </c>
      <c r="L9" s="9">
        <v>125.31229048500002</v>
      </c>
      <c r="M9" s="9">
        <v>0</v>
      </c>
      <c r="N9" s="9">
        <f t="shared" si="6"/>
        <v>125.31229048500002</v>
      </c>
      <c r="O9" s="9">
        <v>138.31146150699996</v>
      </c>
      <c r="P9" s="9">
        <v>0</v>
      </c>
      <c r="Q9" s="9">
        <f t="shared" si="7"/>
        <v>138.31146150699996</v>
      </c>
      <c r="R9" s="9">
        <v>130.98164834099998</v>
      </c>
      <c r="S9" s="9">
        <v>0</v>
      </c>
      <c r="T9" s="9">
        <f t="shared" si="8"/>
        <v>130.98164834099998</v>
      </c>
      <c r="U9" s="9">
        <v>126.45196739500001</v>
      </c>
      <c r="V9" s="9">
        <v>0</v>
      </c>
      <c r="W9" s="9">
        <f t="shared" si="9"/>
        <v>126.45196739500001</v>
      </c>
      <c r="X9" s="9">
        <v>154.97598494299999</v>
      </c>
      <c r="Y9" s="9">
        <v>0</v>
      </c>
      <c r="Z9" s="9">
        <f t="shared" si="10"/>
        <v>154.97598494299999</v>
      </c>
      <c r="AA9" s="9">
        <v>178.41977986350003</v>
      </c>
      <c r="AB9" s="9">
        <v>0</v>
      </c>
      <c r="AC9" s="9">
        <f t="shared" si="11"/>
        <v>178.41977986350003</v>
      </c>
      <c r="AD9" s="9">
        <v>125.49099169250002</v>
      </c>
      <c r="AE9" s="9">
        <v>0</v>
      </c>
      <c r="AF9" s="9">
        <f t="shared" si="12"/>
        <v>125.49099169250002</v>
      </c>
      <c r="AG9" s="9">
        <v>165.64240617499996</v>
      </c>
      <c r="AH9" s="9">
        <v>0</v>
      </c>
      <c r="AI9" s="9">
        <f t="shared" si="13"/>
        <v>165.64240617499996</v>
      </c>
      <c r="AJ9" s="9">
        <v>142.7245876035</v>
      </c>
      <c r="AK9" s="9">
        <v>0</v>
      </c>
      <c r="AL9" s="9">
        <f t="shared" si="14"/>
        <v>142.7245876035</v>
      </c>
    </row>
    <row r="10" spans="1:38" x14ac:dyDescent="0.3">
      <c r="A10" s="3">
        <v>5</v>
      </c>
      <c r="B10" s="2" t="s">
        <v>4</v>
      </c>
      <c r="C10" s="8">
        <f t="shared" si="1"/>
        <v>4021.7140542569996</v>
      </c>
      <c r="D10" s="8">
        <f t="shared" si="2"/>
        <v>0</v>
      </c>
      <c r="E10" s="8">
        <f t="shared" si="3"/>
        <v>4021.7140542569996</v>
      </c>
      <c r="F10" s="9">
        <v>447.64504802400006</v>
      </c>
      <c r="G10" s="9">
        <v>0</v>
      </c>
      <c r="H10" s="9">
        <f t="shared" si="4"/>
        <v>447.64504802400006</v>
      </c>
      <c r="I10" s="9">
        <v>302.95949141200003</v>
      </c>
      <c r="J10" s="9">
        <v>0</v>
      </c>
      <c r="K10" s="9">
        <f t="shared" si="5"/>
        <v>302.95949141200003</v>
      </c>
      <c r="L10" s="9">
        <v>243.48186591999999</v>
      </c>
      <c r="M10" s="9">
        <v>0</v>
      </c>
      <c r="N10" s="9">
        <f t="shared" si="6"/>
        <v>243.48186591999999</v>
      </c>
      <c r="O10" s="9">
        <v>379.38163334000001</v>
      </c>
      <c r="P10" s="9">
        <v>0</v>
      </c>
      <c r="Q10" s="9">
        <f t="shared" si="7"/>
        <v>379.38163334000001</v>
      </c>
      <c r="R10" s="9">
        <v>340.03842859500003</v>
      </c>
      <c r="S10" s="9">
        <v>0</v>
      </c>
      <c r="T10" s="9">
        <f t="shared" si="8"/>
        <v>340.03842859500003</v>
      </c>
      <c r="U10" s="9">
        <v>285.25485149999997</v>
      </c>
      <c r="V10" s="9">
        <v>0</v>
      </c>
      <c r="W10" s="9">
        <f t="shared" si="9"/>
        <v>285.25485149999997</v>
      </c>
      <c r="X10" s="9">
        <v>415.57350418999999</v>
      </c>
      <c r="Y10" s="9">
        <v>0</v>
      </c>
      <c r="Z10" s="9">
        <f t="shared" si="10"/>
        <v>415.57350418999999</v>
      </c>
      <c r="AA10" s="9">
        <v>403.65433135250004</v>
      </c>
      <c r="AB10" s="9">
        <v>0</v>
      </c>
      <c r="AC10" s="9">
        <f t="shared" si="11"/>
        <v>403.65433135250004</v>
      </c>
      <c r="AD10" s="9">
        <v>366.08365652349994</v>
      </c>
      <c r="AE10" s="9">
        <v>0</v>
      </c>
      <c r="AF10" s="9">
        <f t="shared" si="12"/>
        <v>366.08365652349994</v>
      </c>
      <c r="AG10" s="9">
        <v>464.62056833299999</v>
      </c>
      <c r="AH10" s="9">
        <v>0</v>
      </c>
      <c r="AI10" s="9">
        <f t="shared" si="13"/>
        <v>464.62056833299999</v>
      </c>
      <c r="AJ10" s="9">
        <v>373.02067506700001</v>
      </c>
      <c r="AK10" s="9">
        <v>0</v>
      </c>
      <c r="AL10" s="9">
        <f t="shared" si="14"/>
        <v>373.02067506700001</v>
      </c>
    </row>
    <row r="11" spans="1:38" x14ac:dyDescent="0.3">
      <c r="A11" s="3">
        <v>6</v>
      </c>
      <c r="B11" s="2" t="s">
        <v>5</v>
      </c>
      <c r="C11" s="8">
        <f t="shared" si="1"/>
        <v>22659.912426228497</v>
      </c>
      <c r="D11" s="8">
        <f t="shared" si="2"/>
        <v>0</v>
      </c>
      <c r="E11" s="8">
        <f t="shared" si="3"/>
        <v>22659.912426228497</v>
      </c>
      <c r="F11" s="9">
        <v>2097.8142966089999</v>
      </c>
      <c r="G11" s="9">
        <v>0</v>
      </c>
      <c r="H11" s="9">
        <f t="shared" si="4"/>
        <v>2097.8142966089999</v>
      </c>
      <c r="I11" s="9">
        <v>1568.2694670149997</v>
      </c>
      <c r="J11" s="9">
        <v>0</v>
      </c>
      <c r="K11" s="9">
        <f t="shared" si="5"/>
        <v>1568.2694670149997</v>
      </c>
      <c r="L11" s="9">
        <v>1521.5965986229999</v>
      </c>
      <c r="M11" s="9">
        <v>0</v>
      </c>
      <c r="N11" s="9">
        <f t="shared" si="6"/>
        <v>1521.5965986229999</v>
      </c>
      <c r="O11" s="9">
        <v>1976.8706121380001</v>
      </c>
      <c r="P11" s="9">
        <v>0</v>
      </c>
      <c r="Q11" s="9">
        <f t="shared" si="7"/>
        <v>1976.8706121380001</v>
      </c>
      <c r="R11" s="9">
        <v>2121.1604510920001</v>
      </c>
      <c r="S11" s="9">
        <v>0</v>
      </c>
      <c r="T11" s="9">
        <f t="shared" si="8"/>
        <v>2121.1604510920001</v>
      </c>
      <c r="U11" s="9">
        <v>1945.9129432539996</v>
      </c>
      <c r="V11" s="9">
        <v>0</v>
      </c>
      <c r="W11" s="9">
        <f t="shared" si="9"/>
        <v>1945.9129432539996</v>
      </c>
      <c r="X11" s="9">
        <v>2806.9077730049999</v>
      </c>
      <c r="Y11" s="9">
        <v>0</v>
      </c>
      <c r="Z11" s="9">
        <f t="shared" si="10"/>
        <v>2806.9077730049999</v>
      </c>
      <c r="AA11" s="9">
        <v>1962.3642363424999</v>
      </c>
      <c r="AB11" s="9">
        <v>0</v>
      </c>
      <c r="AC11" s="9">
        <f t="shared" si="11"/>
        <v>1962.3642363424999</v>
      </c>
      <c r="AD11" s="9">
        <v>1792.6044324735005</v>
      </c>
      <c r="AE11" s="9">
        <v>0</v>
      </c>
      <c r="AF11" s="9">
        <f t="shared" si="12"/>
        <v>1792.6044324735005</v>
      </c>
      <c r="AG11" s="9">
        <v>2488.6932552344997</v>
      </c>
      <c r="AH11" s="9">
        <v>0</v>
      </c>
      <c r="AI11" s="9">
        <f t="shared" si="13"/>
        <v>2488.6932552344997</v>
      </c>
      <c r="AJ11" s="9">
        <v>2377.7183604420002</v>
      </c>
      <c r="AK11" s="9">
        <v>0</v>
      </c>
      <c r="AL11" s="9">
        <f t="shared" si="14"/>
        <v>2377.7183604420002</v>
      </c>
    </row>
    <row r="12" spans="1:38" x14ac:dyDescent="0.3">
      <c r="A12" s="3">
        <v>7</v>
      </c>
      <c r="B12" s="2" t="s">
        <v>6</v>
      </c>
      <c r="C12" s="8">
        <f t="shared" si="1"/>
        <v>17838.268651232502</v>
      </c>
      <c r="D12" s="8">
        <f t="shared" si="2"/>
        <v>0</v>
      </c>
      <c r="E12" s="8">
        <f t="shared" si="3"/>
        <v>17838.268651232502</v>
      </c>
      <c r="F12" s="9">
        <v>2061.8576271830002</v>
      </c>
      <c r="G12" s="9">
        <v>0</v>
      </c>
      <c r="H12" s="9">
        <f t="shared" si="4"/>
        <v>2061.8576271830002</v>
      </c>
      <c r="I12" s="9">
        <v>1684.4847743189996</v>
      </c>
      <c r="J12" s="9">
        <v>0</v>
      </c>
      <c r="K12" s="9">
        <f t="shared" si="5"/>
        <v>1684.4847743189996</v>
      </c>
      <c r="L12" s="9">
        <v>1375.679701386</v>
      </c>
      <c r="M12" s="9">
        <v>0</v>
      </c>
      <c r="N12" s="9">
        <f t="shared" si="6"/>
        <v>1375.679701386</v>
      </c>
      <c r="O12" s="9">
        <v>1661.2405283210001</v>
      </c>
      <c r="P12" s="9">
        <v>0</v>
      </c>
      <c r="Q12" s="9">
        <f t="shared" si="7"/>
        <v>1661.2405283210001</v>
      </c>
      <c r="R12" s="9">
        <v>1703.0732684179998</v>
      </c>
      <c r="S12" s="9">
        <v>0</v>
      </c>
      <c r="T12" s="9">
        <f t="shared" si="8"/>
        <v>1703.0732684179998</v>
      </c>
      <c r="U12" s="9">
        <v>1442.2345352469999</v>
      </c>
      <c r="V12" s="9">
        <v>0</v>
      </c>
      <c r="W12" s="9">
        <f t="shared" si="9"/>
        <v>1442.2345352469999</v>
      </c>
      <c r="X12" s="9">
        <v>1596.3325899479998</v>
      </c>
      <c r="Y12" s="9">
        <v>0</v>
      </c>
      <c r="Z12" s="9">
        <f t="shared" si="10"/>
        <v>1596.3325899479998</v>
      </c>
      <c r="AA12" s="9">
        <v>1582.5797766980002</v>
      </c>
      <c r="AB12" s="9">
        <v>0</v>
      </c>
      <c r="AC12" s="9">
        <f t="shared" si="11"/>
        <v>1582.5797766980002</v>
      </c>
      <c r="AD12" s="9">
        <v>1386.1998871890003</v>
      </c>
      <c r="AE12" s="9">
        <v>0</v>
      </c>
      <c r="AF12" s="9">
        <f t="shared" si="12"/>
        <v>1386.1998871890003</v>
      </c>
      <c r="AG12" s="9">
        <v>1792.4155100584999</v>
      </c>
      <c r="AH12" s="9">
        <v>0</v>
      </c>
      <c r="AI12" s="9">
        <f t="shared" si="13"/>
        <v>1792.4155100584999</v>
      </c>
      <c r="AJ12" s="9">
        <v>1552.1704524649997</v>
      </c>
      <c r="AK12" s="9">
        <v>0</v>
      </c>
      <c r="AL12" s="9">
        <f t="shared" si="14"/>
        <v>1552.1704524649997</v>
      </c>
    </row>
    <row r="13" spans="1:38" x14ac:dyDescent="0.3">
      <c r="A13" s="3">
        <v>8</v>
      </c>
      <c r="B13" s="2" t="s">
        <v>7</v>
      </c>
      <c r="C13" s="8">
        <f t="shared" si="1"/>
        <v>25188.596583890005</v>
      </c>
      <c r="D13" s="8">
        <f t="shared" si="2"/>
        <v>0</v>
      </c>
      <c r="E13" s="8">
        <f t="shared" si="3"/>
        <v>25188.596583890005</v>
      </c>
      <c r="F13" s="9">
        <v>2655.2886687270002</v>
      </c>
      <c r="G13" s="9">
        <v>0</v>
      </c>
      <c r="H13" s="9">
        <f t="shared" si="4"/>
        <v>2655.2886687270002</v>
      </c>
      <c r="I13" s="9">
        <v>2096.6029709650002</v>
      </c>
      <c r="J13" s="9">
        <v>0</v>
      </c>
      <c r="K13" s="9">
        <f t="shared" si="5"/>
        <v>2096.6029709650002</v>
      </c>
      <c r="L13" s="9">
        <v>2049.8482200030003</v>
      </c>
      <c r="M13" s="9">
        <v>0</v>
      </c>
      <c r="N13" s="9">
        <f t="shared" si="6"/>
        <v>2049.8482200030003</v>
      </c>
      <c r="O13" s="9">
        <v>2337.521700019</v>
      </c>
      <c r="P13" s="9">
        <v>0</v>
      </c>
      <c r="Q13" s="9">
        <f t="shared" si="7"/>
        <v>2337.521700019</v>
      </c>
      <c r="R13" s="9">
        <v>2190.6329823599999</v>
      </c>
      <c r="S13" s="9">
        <v>0</v>
      </c>
      <c r="T13" s="9">
        <f t="shared" si="8"/>
        <v>2190.6329823599999</v>
      </c>
      <c r="U13" s="9">
        <v>2068.3197419180001</v>
      </c>
      <c r="V13" s="9">
        <v>0</v>
      </c>
      <c r="W13" s="9">
        <f t="shared" si="9"/>
        <v>2068.3197419180001</v>
      </c>
      <c r="X13" s="9">
        <v>2735.8645395839994</v>
      </c>
      <c r="Y13" s="9">
        <v>0</v>
      </c>
      <c r="Z13" s="9">
        <f t="shared" si="10"/>
        <v>2735.8645395839994</v>
      </c>
      <c r="AA13" s="9">
        <v>2406.083959601001</v>
      </c>
      <c r="AB13" s="9">
        <v>0</v>
      </c>
      <c r="AC13" s="9">
        <f t="shared" si="11"/>
        <v>2406.083959601001</v>
      </c>
      <c r="AD13" s="9">
        <v>2013.3737246185001</v>
      </c>
      <c r="AE13" s="9">
        <v>0</v>
      </c>
      <c r="AF13" s="9">
        <f t="shared" si="12"/>
        <v>2013.3737246185001</v>
      </c>
      <c r="AG13" s="9">
        <v>2374.122648474</v>
      </c>
      <c r="AH13" s="9">
        <v>0</v>
      </c>
      <c r="AI13" s="9">
        <f t="shared" si="13"/>
        <v>2374.122648474</v>
      </c>
      <c r="AJ13" s="9">
        <v>2260.9374276205008</v>
      </c>
      <c r="AK13" s="9">
        <v>0</v>
      </c>
      <c r="AL13" s="9">
        <f t="shared" si="14"/>
        <v>2260.9374276205008</v>
      </c>
    </row>
    <row r="14" spans="1:38" x14ac:dyDescent="0.3">
      <c r="A14" s="3">
        <v>9</v>
      </c>
      <c r="B14" s="2" t="s">
        <v>8</v>
      </c>
      <c r="C14" s="8">
        <f t="shared" si="1"/>
        <v>47235.998239977002</v>
      </c>
      <c r="D14" s="8">
        <f t="shared" si="2"/>
        <v>0</v>
      </c>
      <c r="E14" s="8">
        <f t="shared" si="3"/>
        <v>47235.998239977002</v>
      </c>
      <c r="F14" s="9">
        <v>4877.5089042420004</v>
      </c>
      <c r="G14" s="9">
        <v>0</v>
      </c>
      <c r="H14" s="9">
        <f t="shared" si="4"/>
        <v>4877.5089042420004</v>
      </c>
      <c r="I14" s="9">
        <v>4310.8733814339994</v>
      </c>
      <c r="J14" s="9">
        <v>0</v>
      </c>
      <c r="K14" s="9">
        <f t="shared" si="5"/>
        <v>4310.8733814339994</v>
      </c>
      <c r="L14" s="9">
        <v>3952.1221429309999</v>
      </c>
      <c r="M14" s="9">
        <v>0</v>
      </c>
      <c r="N14" s="9">
        <f t="shared" si="6"/>
        <v>3952.1221429309999</v>
      </c>
      <c r="O14" s="9">
        <v>4031.4252189830004</v>
      </c>
      <c r="P14" s="9">
        <v>0</v>
      </c>
      <c r="Q14" s="9">
        <f t="shared" si="7"/>
        <v>4031.4252189830004</v>
      </c>
      <c r="R14" s="9">
        <v>4055.4712974860008</v>
      </c>
      <c r="S14" s="9">
        <v>0</v>
      </c>
      <c r="T14" s="9">
        <f t="shared" si="8"/>
        <v>4055.4712974860008</v>
      </c>
      <c r="U14" s="9">
        <v>3218.2326969410001</v>
      </c>
      <c r="V14" s="9">
        <v>0</v>
      </c>
      <c r="W14" s="9">
        <f t="shared" si="9"/>
        <v>3218.2326969410001</v>
      </c>
      <c r="X14" s="9">
        <v>4614.0913597140006</v>
      </c>
      <c r="Y14" s="9">
        <v>0</v>
      </c>
      <c r="Z14" s="9">
        <f t="shared" si="10"/>
        <v>4614.0913597140006</v>
      </c>
      <c r="AA14" s="9">
        <v>5002.8695567064997</v>
      </c>
      <c r="AB14" s="9">
        <v>0</v>
      </c>
      <c r="AC14" s="9">
        <f t="shared" si="11"/>
        <v>5002.8695567064997</v>
      </c>
      <c r="AD14" s="9">
        <v>4132.2674942884996</v>
      </c>
      <c r="AE14" s="9">
        <v>0</v>
      </c>
      <c r="AF14" s="9">
        <f t="shared" si="12"/>
        <v>4132.2674942884996</v>
      </c>
      <c r="AG14" s="9">
        <v>4448.0893735894997</v>
      </c>
      <c r="AH14" s="9">
        <v>0</v>
      </c>
      <c r="AI14" s="9">
        <f t="shared" si="13"/>
        <v>4448.0893735894997</v>
      </c>
      <c r="AJ14" s="9">
        <v>4593.0468136615009</v>
      </c>
      <c r="AK14" s="9">
        <v>0</v>
      </c>
      <c r="AL14" s="9">
        <f t="shared" si="14"/>
        <v>4593.0468136615009</v>
      </c>
    </row>
    <row r="15" spans="1:38" x14ac:dyDescent="0.3">
      <c r="A15" s="4">
        <v>10</v>
      </c>
      <c r="B15" s="2" t="s">
        <v>9</v>
      </c>
      <c r="C15" s="8">
        <f t="shared" si="1"/>
        <v>19643.245106585004</v>
      </c>
      <c r="D15" s="8">
        <f t="shared" si="2"/>
        <v>0</v>
      </c>
      <c r="E15" s="8">
        <f t="shared" si="3"/>
        <v>19643.245106585004</v>
      </c>
      <c r="F15" s="9">
        <v>1998.3971381449996</v>
      </c>
      <c r="G15" s="9">
        <v>0</v>
      </c>
      <c r="H15" s="9">
        <f t="shared" si="4"/>
        <v>1998.3971381449996</v>
      </c>
      <c r="I15" s="9">
        <v>1844.7777796180001</v>
      </c>
      <c r="J15" s="9">
        <v>0</v>
      </c>
      <c r="K15" s="9">
        <f t="shared" si="5"/>
        <v>1844.7777796180001</v>
      </c>
      <c r="L15" s="9">
        <v>1764.8241081359999</v>
      </c>
      <c r="M15" s="9">
        <v>0</v>
      </c>
      <c r="N15" s="9">
        <f t="shared" si="6"/>
        <v>1764.8241081359999</v>
      </c>
      <c r="O15" s="9">
        <v>1757.7783351999999</v>
      </c>
      <c r="P15" s="9">
        <v>0</v>
      </c>
      <c r="Q15" s="9">
        <f t="shared" si="7"/>
        <v>1757.7783351999999</v>
      </c>
      <c r="R15" s="9">
        <v>1777.9567237910001</v>
      </c>
      <c r="S15" s="9">
        <v>0</v>
      </c>
      <c r="T15" s="9">
        <f t="shared" si="8"/>
        <v>1777.9567237910001</v>
      </c>
      <c r="U15" s="9">
        <v>1621.388217168</v>
      </c>
      <c r="V15" s="9">
        <v>0</v>
      </c>
      <c r="W15" s="9">
        <f t="shared" si="9"/>
        <v>1621.388217168</v>
      </c>
      <c r="X15" s="9">
        <v>1817.7902387460003</v>
      </c>
      <c r="Y15" s="9">
        <v>0</v>
      </c>
      <c r="Z15" s="9">
        <f t="shared" si="10"/>
        <v>1817.7902387460003</v>
      </c>
      <c r="AA15" s="9">
        <v>1769.1498050175007</v>
      </c>
      <c r="AB15" s="9">
        <v>0</v>
      </c>
      <c r="AC15" s="9">
        <f t="shared" si="11"/>
        <v>1769.1498050175007</v>
      </c>
      <c r="AD15" s="9">
        <v>1718.5870557620003</v>
      </c>
      <c r="AE15" s="9">
        <v>0</v>
      </c>
      <c r="AF15" s="9">
        <f t="shared" si="12"/>
        <v>1718.5870557620003</v>
      </c>
      <c r="AG15" s="9">
        <v>1812.3105067405002</v>
      </c>
      <c r="AH15" s="9">
        <v>0</v>
      </c>
      <c r="AI15" s="9">
        <f t="shared" si="13"/>
        <v>1812.3105067405002</v>
      </c>
      <c r="AJ15" s="9">
        <v>1760.285198261</v>
      </c>
      <c r="AK15" s="9">
        <v>0</v>
      </c>
      <c r="AL15" s="9">
        <f t="shared" si="14"/>
        <v>1760.285198261</v>
      </c>
    </row>
    <row r="16" spans="1:38" x14ac:dyDescent="0.3">
      <c r="A16" s="4">
        <v>11</v>
      </c>
      <c r="B16" s="2" t="s">
        <v>10</v>
      </c>
      <c r="C16" s="8">
        <f t="shared" si="1"/>
        <v>615.50635557800001</v>
      </c>
      <c r="D16" s="8">
        <f t="shared" si="2"/>
        <v>0</v>
      </c>
      <c r="E16" s="8">
        <f t="shared" si="3"/>
        <v>615.50635557800001</v>
      </c>
      <c r="F16" s="9">
        <v>79.491136306999991</v>
      </c>
      <c r="G16" s="9">
        <v>0</v>
      </c>
      <c r="H16" s="9">
        <f t="shared" si="4"/>
        <v>79.491136306999991</v>
      </c>
      <c r="I16" s="9">
        <v>47.449416978999999</v>
      </c>
      <c r="J16" s="9">
        <v>0</v>
      </c>
      <c r="K16" s="9">
        <f t="shared" si="5"/>
        <v>47.449416978999999</v>
      </c>
      <c r="L16" s="9">
        <v>51.048078821000004</v>
      </c>
      <c r="M16" s="9">
        <v>0</v>
      </c>
      <c r="N16" s="9">
        <f t="shared" si="6"/>
        <v>51.048078821000004</v>
      </c>
      <c r="O16" s="9">
        <v>60.383157407000006</v>
      </c>
      <c r="P16" s="9">
        <v>0</v>
      </c>
      <c r="Q16" s="9">
        <f t="shared" si="7"/>
        <v>60.383157407000006</v>
      </c>
      <c r="R16" s="9">
        <v>48.632467864000013</v>
      </c>
      <c r="S16" s="9">
        <v>0</v>
      </c>
      <c r="T16" s="9">
        <f t="shared" si="8"/>
        <v>48.632467864000013</v>
      </c>
      <c r="U16" s="9">
        <v>44.858365169000002</v>
      </c>
      <c r="V16" s="9">
        <v>0</v>
      </c>
      <c r="W16" s="9">
        <f t="shared" si="9"/>
        <v>44.858365169000002</v>
      </c>
      <c r="X16" s="9">
        <v>65.915156851999996</v>
      </c>
      <c r="Y16" s="9">
        <v>0</v>
      </c>
      <c r="Z16" s="9">
        <f t="shared" si="10"/>
        <v>65.915156851999996</v>
      </c>
      <c r="AA16" s="9">
        <v>53.226902647999999</v>
      </c>
      <c r="AB16" s="9">
        <v>0</v>
      </c>
      <c r="AC16" s="9">
        <f t="shared" si="11"/>
        <v>53.226902647999999</v>
      </c>
      <c r="AD16" s="9">
        <v>56.079420807500007</v>
      </c>
      <c r="AE16" s="9">
        <v>0</v>
      </c>
      <c r="AF16" s="9">
        <f t="shared" si="12"/>
        <v>56.079420807500007</v>
      </c>
      <c r="AG16" s="9">
        <v>59.889964882000008</v>
      </c>
      <c r="AH16" s="9">
        <v>0</v>
      </c>
      <c r="AI16" s="9">
        <f t="shared" si="13"/>
        <v>59.889964882000008</v>
      </c>
      <c r="AJ16" s="9">
        <v>48.532287841500001</v>
      </c>
      <c r="AK16" s="9">
        <v>0</v>
      </c>
      <c r="AL16" s="9">
        <f t="shared" si="14"/>
        <v>48.532287841500001</v>
      </c>
    </row>
    <row r="17" spans="1:38" x14ac:dyDescent="0.3">
      <c r="A17" s="4">
        <v>12</v>
      </c>
      <c r="B17" s="2" t="s">
        <v>11</v>
      </c>
      <c r="C17" s="8">
        <f t="shared" si="1"/>
        <v>1185.107994983</v>
      </c>
      <c r="D17" s="8">
        <f t="shared" si="2"/>
        <v>0</v>
      </c>
      <c r="E17" s="8">
        <f t="shared" si="3"/>
        <v>1185.107994983</v>
      </c>
      <c r="F17" s="9">
        <v>163.89321527199999</v>
      </c>
      <c r="G17" s="9">
        <v>0</v>
      </c>
      <c r="H17" s="9">
        <f t="shared" si="4"/>
        <v>163.89321527199999</v>
      </c>
      <c r="I17" s="9">
        <v>114.45829996299999</v>
      </c>
      <c r="J17" s="9">
        <v>0</v>
      </c>
      <c r="K17" s="9">
        <f t="shared" si="5"/>
        <v>114.45829996299999</v>
      </c>
      <c r="L17" s="9">
        <v>120.71468994499998</v>
      </c>
      <c r="M17" s="9">
        <v>0</v>
      </c>
      <c r="N17" s="9">
        <f t="shared" si="6"/>
        <v>120.71468994499998</v>
      </c>
      <c r="O17" s="9">
        <v>112.61372890999999</v>
      </c>
      <c r="P17" s="9">
        <v>0</v>
      </c>
      <c r="Q17" s="9">
        <f t="shared" si="7"/>
        <v>112.61372890999999</v>
      </c>
      <c r="R17" s="9">
        <v>98.950051467999998</v>
      </c>
      <c r="S17" s="9">
        <v>0</v>
      </c>
      <c r="T17" s="9">
        <f t="shared" si="8"/>
        <v>98.950051467999998</v>
      </c>
      <c r="U17" s="9">
        <v>93.278157667000002</v>
      </c>
      <c r="V17" s="9">
        <v>0</v>
      </c>
      <c r="W17" s="9">
        <f t="shared" si="9"/>
        <v>93.278157667000002</v>
      </c>
      <c r="X17" s="9">
        <v>97.739337387999981</v>
      </c>
      <c r="Y17" s="9">
        <v>0</v>
      </c>
      <c r="Z17" s="9">
        <f t="shared" si="10"/>
        <v>97.739337387999981</v>
      </c>
      <c r="AA17" s="9">
        <v>92.069769258500003</v>
      </c>
      <c r="AB17" s="9">
        <v>0</v>
      </c>
      <c r="AC17" s="9">
        <f t="shared" si="11"/>
        <v>92.069769258500003</v>
      </c>
      <c r="AD17" s="9">
        <v>92.373565840000012</v>
      </c>
      <c r="AE17" s="9">
        <v>0</v>
      </c>
      <c r="AF17" s="9">
        <f t="shared" si="12"/>
        <v>92.373565840000012</v>
      </c>
      <c r="AG17" s="9">
        <v>98.849441059</v>
      </c>
      <c r="AH17" s="9">
        <v>0</v>
      </c>
      <c r="AI17" s="9">
        <f t="shared" si="13"/>
        <v>98.849441059</v>
      </c>
      <c r="AJ17" s="9">
        <v>100.16773821250001</v>
      </c>
      <c r="AK17" s="9">
        <v>0</v>
      </c>
      <c r="AL17" s="9">
        <f t="shared" si="14"/>
        <v>100.16773821250001</v>
      </c>
    </row>
    <row r="18" spans="1:38" x14ac:dyDescent="0.3">
      <c r="A18" s="4">
        <v>13</v>
      </c>
      <c r="B18" s="2" t="s">
        <v>12</v>
      </c>
      <c r="C18" s="8">
        <f t="shared" si="1"/>
        <v>744.625907869</v>
      </c>
      <c r="D18" s="8">
        <f t="shared" si="2"/>
        <v>0</v>
      </c>
      <c r="E18" s="8">
        <f t="shared" si="3"/>
        <v>744.625907869</v>
      </c>
      <c r="F18" s="9">
        <v>94.159376584</v>
      </c>
      <c r="G18" s="9">
        <v>0</v>
      </c>
      <c r="H18" s="9">
        <f t="shared" si="4"/>
        <v>94.159376584</v>
      </c>
      <c r="I18" s="9">
        <v>69.03163416400001</v>
      </c>
      <c r="J18" s="9">
        <v>0</v>
      </c>
      <c r="K18" s="9">
        <f t="shared" si="5"/>
        <v>69.03163416400001</v>
      </c>
      <c r="L18" s="9">
        <v>66.040342343000006</v>
      </c>
      <c r="M18" s="9">
        <v>0</v>
      </c>
      <c r="N18" s="9">
        <f t="shared" si="6"/>
        <v>66.040342343000006</v>
      </c>
      <c r="O18" s="9">
        <v>67.602686976000001</v>
      </c>
      <c r="P18" s="9">
        <v>0</v>
      </c>
      <c r="Q18" s="9">
        <f t="shared" si="7"/>
        <v>67.602686976000001</v>
      </c>
      <c r="R18" s="9">
        <v>67.42220565800001</v>
      </c>
      <c r="S18" s="9">
        <v>0</v>
      </c>
      <c r="T18" s="9">
        <f t="shared" si="8"/>
        <v>67.42220565800001</v>
      </c>
      <c r="U18" s="9">
        <v>59.588488108999989</v>
      </c>
      <c r="V18" s="9">
        <v>0</v>
      </c>
      <c r="W18" s="9">
        <f t="shared" si="9"/>
        <v>59.588488108999989</v>
      </c>
      <c r="X18" s="9">
        <v>65.878579434999992</v>
      </c>
      <c r="Y18" s="9">
        <v>0</v>
      </c>
      <c r="Z18" s="9">
        <f t="shared" si="10"/>
        <v>65.878579434999992</v>
      </c>
      <c r="AA18" s="9">
        <v>67.816233990000015</v>
      </c>
      <c r="AB18" s="9">
        <v>0</v>
      </c>
      <c r="AC18" s="9">
        <f t="shared" si="11"/>
        <v>67.816233990000015</v>
      </c>
      <c r="AD18" s="9">
        <v>61.645193871000004</v>
      </c>
      <c r="AE18" s="9">
        <v>0</v>
      </c>
      <c r="AF18" s="9">
        <f t="shared" si="12"/>
        <v>61.645193871000004</v>
      </c>
      <c r="AG18" s="9">
        <v>62.812550102499998</v>
      </c>
      <c r="AH18" s="9">
        <v>0</v>
      </c>
      <c r="AI18" s="9">
        <f t="shared" si="13"/>
        <v>62.812550102499998</v>
      </c>
      <c r="AJ18" s="9">
        <v>62.628616636499999</v>
      </c>
      <c r="AK18" s="9">
        <v>0</v>
      </c>
      <c r="AL18" s="9">
        <f t="shared" si="14"/>
        <v>62.628616636499999</v>
      </c>
    </row>
    <row r="19" spans="1:38" x14ac:dyDescent="0.3">
      <c r="A19" s="4">
        <v>14</v>
      </c>
      <c r="B19" s="2" t="s">
        <v>13</v>
      </c>
      <c r="C19" s="8">
        <f t="shared" si="1"/>
        <v>751.02640003199986</v>
      </c>
      <c r="D19" s="8">
        <f t="shared" si="2"/>
        <v>0</v>
      </c>
      <c r="E19" s="8">
        <f t="shared" si="3"/>
        <v>751.02640003199986</v>
      </c>
      <c r="F19" s="9">
        <v>63.435431519999995</v>
      </c>
      <c r="G19" s="9">
        <v>0</v>
      </c>
      <c r="H19" s="9">
        <f t="shared" si="4"/>
        <v>63.435431519999995</v>
      </c>
      <c r="I19" s="9">
        <v>62.465791393999993</v>
      </c>
      <c r="J19" s="9">
        <v>0</v>
      </c>
      <c r="K19" s="9">
        <f t="shared" si="5"/>
        <v>62.465791393999993</v>
      </c>
      <c r="L19" s="9">
        <v>60.552820324000002</v>
      </c>
      <c r="M19" s="9">
        <v>0</v>
      </c>
      <c r="N19" s="9">
        <f t="shared" si="6"/>
        <v>60.552820324000002</v>
      </c>
      <c r="O19" s="9">
        <v>55.566758160000013</v>
      </c>
      <c r="P19" s="9">
        <v>0</v>
      </c>
      <c r="Q19" s="9">
        <f t="shared" si="7"/>
        <v>55.566758160000013</v>
      </c>
      <c r="R19" s="9">
        <v>71.656786148000009</v>
      </c>
      <c r="S19" s="9">
        <v>0</v>
      </c>
      <c r="T19" s="9">
        <f t="shared" si="8"/>
        <v>71.656786148000009</v>
      </c>
      <c r="U19" s="9">
        <v>69.682772579000002</v>
      </c>
      <c r="V19" s="9">
        <v>0</v>
      </c>
      <c r="W19" s="9">
        <f t="shared" si="9"/>
        <v>69.682772579000002</v>
      </c>
      <c r="X19" s="9">
        <v>72.518106141000004</v>
      </c>
      <c r="Y19" s="9">
        <v>0</v>
      </c>
      <c r="Z19" s="9">
        <f t="shared" si="10"/>
        <v>72.518106141000004</v>
      </c>
      <c r="AA19" s="9">
        <v>82.238264365999996</v>
      </c>
      <c r="AB19" s="9">
        <v>0</v>
      </c>
      <c r="AC19" s="9">
        <f t="shared" si="11"/>
        <v>82.238264365999996</v>
      </c>
      <c r="AD19" s="9">
        <v>58.460170431499982</v>
      </c>
      <c r="AE19" s="9">
        <v>0</v>
      </c>
      <c r="AF19" s="9">
        <f t="shared" si="12"/>
        <v>58.460170431499982</v>
      </c>
      <c r="AG19" s="9">
        <v>84.075199388000016</v>
      </c>
      <c r="AH19" s="9">
        <v>0</v>
      </c>
      <c r="AI19" s="9">
        <f t="shared" si="13"/>
        <v>84.075199388000016</v>
      </c>
      <c r="AJ19" s="9">
        <v>70.374299580499994</v>
      </c>
      <c r="AK19" s="9">
        <v>0</v>
      </c>
      <c r="AL19" s="9">
        <f t="shared" si="14"/>
        <v>70.374299580499994</v>
      </c>
    </row>
    <row r="20" spans="1:38" x14ac:dyDescent="0.3">
      <c r="A20" s="4">
        <v>15</v>
      </c>
      <c r="B20" s="2" t="s">
        <v>14</v>
      </c>
      <c r="C20" s="8">
        <f t="shared" si="1"/>
        <v>659.57188306300009</v>
      </c>
      <c r="D20" s="8">
        <f t="shared" si="2"/>
        <v>0</v>
      </c>
      <c r="E20" s="8">
        <f t="shared" si="3"/>
        <v>659.57188306300009</v>
      </c>
      <c r="F20" s="9">
        <v>72.995567592000015</v>
      </c>
      <c r="G20" s="9">
        <v>0</v>
      </c>
      <c r="H20" s="9">
        <f t="shared" si="4"/>
        <v>72.995567592000015</v>
      </c>
      <c r="I20" s="9">
        <v>58.368533007000003</v>
      </c>
      <c r="J20" s="9">
        <v>0</v>
      </c>
      <c r="K20" s="9">
        <f t="shared" si="5"/>
        <v>58.368533007000003</v>
      </c>
      <c r="L20" s="9">
        <v>61.933888373000002</v>
      </c>
      <c r="M20" s="9">
        <v>0</v>
      </c>
      <c r="N20" s="9">
        <f t="shared" si="6"/>
        <v>61.933888373000002</v>
      </c>
      <c r="O20" s="9">
        <v>59.971183105999991</v>
      </c>
      <c r="P20" s="9">
        <v>0</v>
      </c>
      <c r="Q20" s="9">
        <f t="shared" si="7"/>
        <v>59.971183105999991</v>
      </c>
      <c r="R20" s="9">
        <v>50.798295798000005</v>
      </c>
      <c r="S20" s="9">
        <v>0</v>
      </c>
      <c r="T20" s="9">
        <f t="shared" si="8"/>
        <v>50.798295798000005</v>
      </c>
      <c r="U20" s="9">
        <v>57.70053036900002</v>
      </c>
      <c r="V20" s="9">
        <v>0</v>
      </c>
      <c r="W20" s="9">
        <f t="shared" si="9"/>
        <v>57.70053036900002</v>
      </c>
      <c r="X20" s="9">
        <v>59.705695357999993</v>
      </c>
      <c r="Y20" s="9">
        <v>0</v>
      </c>
      <c r="Z20" s="9">
        <f t="shared" si="10"/>
        <v>59.705695357999993</v>
      </c>
      <c r="AA20" s="9">
        <v>61.846226956499997</v>
      </c>
      <c r="AB20" s="9">
        <v>0</v>
      </c>
      <c r="AC20" s="9">
        <f t="shared" si="11"/>
        <v>61.846226956499997</v>
      </c>
      <c r="AD20" s="9">
        <v>60.717001118000006</v>
      </c>
      <c r="AE20" s="9">
        <v>0</v>
      </c>
      <c r="AF20" s="9">
        <f t="shared" si="12"/>
        <v>60.717001118000006</v>
      </c>
      <c r="AG20" s="9">
        <v>52.214223296500002</v>
      </c>
      <c r="AH20" s="9">
        <v>0</v>
      </c>
      <c r="AI20" s="9">
        <f t="shared" si="13"/>
        <v>52.214223296500002</v>
      </c>
      <c r="AJ20" s="9">
        <v>63.320738088999995</v>
      </c>
      <c r="AK20" s="9">
        <v>0</v>
      </c>
      <c r="AL20" s="9">
        <f t="shared" si="14"/>
        <v>63.320738088999995</v>
      </c>
    </row>
    <row r="21" spans="1:38" x14ac:dyDescent="0.3">
      <c r="A21" s="4">
        <v>16</v>
      </c>
      <c r="B21" s="2" t="s">
        <v>15</v>
      </c>
      <c r="C21" s="8">
        <f t="shared" si="1"/>
        <v>1022.5331961625</v>
      </c>
      <c r="D21" s="8">
        <f t="shared" si="2"/>
        <v>0</v>
      </c>
      <c r="E21" s="8">
        <f t="shared" si="3"/>
        <v>1022.5331961625</v>
      </c>
      <c r="F21" s="9">
        <v>124.29654346299999</v>
      </c>
      <c r="G21" s="9">
        <v>0</v>
      </c>
      <c r="H21" s="9">
        <f t="shared" si="4"/>
        <v>124.29654346299999</v>
      </c>
      <c r="I21" s="9">
        <v>99.557831413000017</v>
      </c>
      <c r="J21" s="9">
        <v>0</v>
      </c>
      <c r="K21" s="9">
        <f t="shared" si="5"/>
        <v>99.557831413000017</v>
      </c>
      <c r="L21" s="9">
        <v>103.43166979999999</v>
      </c>
      <c r="M21" s="9">
        <v>0</v>
      </c>
      <c r="N21" s="9">
        <f t="shared" si="6"/>
        <v>103.43166979999999</v>
      </c>
      <c r="O21" s="9">
        <v>85.858172488999998</v>
      </c>
      <c r="P21" s="9">
        <v>0</v>
      </c>
      <c r="Q21" s="9">
        <f t="shared" si="7"/>
        <v>85.858172488999998</v>
      </c>
      <c r="R21" s="9">
        <v>89.785617147999986</v>
      </c>
      <c r="S21" s="9">
        <v>0</v>
      </c>
      <c r="T21" s="9">
        <f t="shared" si="8"/>
        <v>89.785617147999986</v>
      </c>
      <c r="U21" s="9">
        <v>96.361138044</v>
      </c>
      <c r="V21" s="9">
        <v>0</v>
      </c>
      <c r="W21" s="9">
        <f t="shared" si="9"/>
        <v>96.361138044</v>
      </c>
      <c r="X21" s="9">
        <v>97.494341006000013</v>
      </c>
      <c r="Y21" s="9">
        <v>0</v>
      </c>
      <c r="Z21" s="9">
        <f t="shared" si="10"/>
        <v>97.494341006000013</v>
      </c>
      <c r="AA21" s="9">
        <v>77.807544949999993</v>
      </c>
      <c r="AB21" s="9">
        <v>0</v>
      </c>
      <c r="AC21" s="9">
        <f t="shared" si="11"/>
        <v>77.807544949999993</v>
      </c>
      <c r="AD21" s="9">
        <v>77.074376025500001</v>
      </c>
      <c r="AE21" s="9">
        <v>0</v>
      </c>
      <c r="AF21" s="9">
        <f t="shared" si="12"/>
        <v>77.074376025500001</v>
      </c>
      <c r="AG21" s="9">
        <v>89.279243637000008</v>
      </c>
      <c r="AH21" s="9">
        <v>0</v>
      </c>
      <c r="AI21" s="9">
        <f t="shared" si="13"/>
        <v>89.279243637000008</v>
      </c>
      <c r="AJ21" s="9">
        <v>81.586718187000017</v>
      </c>
      <c r="AK21" s="9">
        <v>0</v>
      </c>
      <c r="AL21" s="9">
        <f t="shared" si="14"/>
        <v>81.586718187000017</v>
      </c>
    </row>
    <row r="22" spans="1:38" x14ac:dyDescent="0.3">
      <c r="A22" s="4">
        <v>17</v>
      </c>
      <c r="B22" s="2" t="s">
        <v>16</v>
      </c>
      <c r="C22" s="8">
        <f t="shared" si="1"/>
        <v>1035.7487112765</v>
      </c>
      <c r="D22" s="8">
        <f t="shared" si="2"/>
        <v>0</v>
      </c>
      <c r="E22" s="8">
        <f t="shared" si="3"/>
        <v>1035.7487112765</v>
      </c>
      <c r="F22" s="9">
        <v>114.67371064700001</v>
      </c>
      <c r="G22" s="9">
        <v>0</v>
      </c>
      <c r="H22" s="9">
        <f t="shared" si="4"/>
        <v>114.67371064700001</v>
      </c>
      <c r="I22" s="9">
        <v>87.537401944999999</v>
      </c>
      <c r="J22" s="9">
        <v>0</v>
      </c>
      <c r="K22" s="9">
        <f t="shared" si="5"/>
        <v>87.537401944999999</v>
      </c>
      <c r="L22" s="9">
        <v>82.516829540999979</v>
      </c>
      <c r="M22" s="9">
        <v>0</v>
      </c>
      <c r="N22" s="9">
        <f t="shared" si="6"/>
        <v>82.516829540999979</v>
      </c>
      <c r="O22" s="9">
        <v>91.245092807000006</v>
      </c>
      <c r="P22" s="9">
        <v>0</v>
      </c>
      <c r="Q22" s="9">
        <f t="shared" si="7"/>
        <v>91.245092807000006</v>
      </c>
      <c r="R22" s="9">
        <v>90.512239257000004</v>
      </c>
      <c r="S22" s="9">
        <v>0</v>
      </c>
      <c r="T22" s="9">
        <f t="shared" si="8"/>
        <v>90.512239257000004</v>
      </c>
      <c r="U22" s="9">
        <v>87.080434855999997</v>
      </c>
      <c r="V22" s="9">
        <v>0</v>
      </c>
      <c r="W22" s="9">
        <f t="shared" si="9"/>
        <v>87.080434855999997</v>
      </c>
      <c r="X22" s="9">
        <v>96.565798635999982</v>
      </c>
      <c r="Y22" s="9">
        <v>0</v>
      </c>
      <c r="Z22" s="9">
        <f t="shared" si="10"/>
        <v>96.565798635999982</v>
      </c>
      <c r="AA22" s="9">
        <v>103.53253725200001</v>
      </c>
      <c r="AB22" s="9">
        <v>0</v>
      </c>
      <c r="AC22" s="9">
        <f t="shared" si="11"/>
        <v>103.53253725200001</v>
      </c>
      <c r="AD22" s="9">
        <v>86.613262283999987</v>
      </c>
      <c r="AE22" s="9">
        <v>0</v>
      </c>
      <c r="AF22" s="9">
        <f t="shared" si="12"/>
        <v>86.613262283999987</v>
      </c>
      <c r="AG22" s="9">
        <v>100.01833746150001</v>
      </c>
      <c r="AH22" s="9">
        <v>0</v>
      </c>
      <c r="AI22" s="9">
        <f t="shared" si="13"/>
        <v>100.01833746150001</v>
      </c>
      <c r="AJ22" s="9">
        <v>95.453066590000006</v>
      </c>
      <c r="AK22" s="9">
        <v>0</v>
      </c>
      <c r="AL22" s="9">
        <f t="shared" si="14"/>
        <v>95.453066590000006</v>
      </c>
    </row>
    <row r="23" spans="1:38" x14ac:dyDescent="0.3">
      <c r="A23" s="4">
        <v>18</v>
      </c>
      <c r="B23" s="2" t="s">
        <v>17</v>
      </c>
      <c r="C23" s="8">
        <f t="shared" si="1"/>
        <v>10578.991125386499</v>
      </c>
      <c r="D23" s="8">
        <f t="shared" si="2"/>
        <v>0</v>
      </c>
      <c r="E23" s="8">
        <f t="shared" si="3"/>
        <v>10578.991125386499</v>
      </c>
      <c r="F23" s="12">
        <v>858.96011183299993</v>
      </c>
      <c r="G23" s="12">
        <v>0</v>
      </c>
      <c r="H23" s="12">
        <f t="shared" si="4"/>
        <v>858.96011183299993</v>
      </c>
      <c r="I23" s="12">
        <v>781.50774115800004</v>
      </c>
      <c r="J23" s="12">
        <v>0</v>
      </c>
      <c r="K23" s="12">
        <f t="shared" si="5"/>
        <v>781.50774115800004</v>
      </c>
      <c r="L23" s="12">
        <v>732.95787772199992</v>
      </c>
      <c r="M23" s="12">
        <v>0</v>
      </c>
      <c r="N23" s="12">
        <f t="shared" si="6"/>
        <v>732.95787772199992</v>
      </c>
      <c r="O23" s="12">
        <v>734.30142802900002</v>
      </c>
      <c r="P23" s="12">
        <v>0</v>
      </c>
      <c r="Q23" s="12">
        <f t="shared" si="7"/>
        <v>734.30142802900002</v>
      </c>
      <c r="R23" s="12">
        <v>728.85141392200001</v>
      </c>
      <c r="S23" s="12">
        <v>0</v>
      </c>
      <c r="T23" s="12">
        <f t="shared" si="8"/>
        <v>728.85141392200001</v>
      </c>
      <c r="U23" s="12">
        <v>1769.7702108159999</v>
      </c>
      <c r="V23" s="12">
        <v>0</v>
      </c>
      <c r="W23" s="12">
        <f t="shared" si="9"/>
        <v>1769.7702108159999</v>
      </c>
      <c r="X23" s="9">
        <v>1598.0905681699999</v>
      </c>
      <c r="Y23" s="12">
        <v>0</v>
      </c>
      <c r="Z23" s="12">
        <f t="shared" si="10"/>
        <v>1598.0905681699999</v>
      </c>
      <c r="AA23" s="9">
        <v>1088.8509651430008</v>
      </c>
      <c r="AB23" s="12">
        <v>0</v>
      </c>
      <c r="AC23" s="12">
        <f t="shared" si="11"/>
        <v>1088.8509651430008</v>
      </c>
      <c r="AD23" s="9">
        <v>715.80900423800006</v>
      </c>
      <c r="AE23" s="12">
        <v>0</v>
      </c>
      <c r="AF23" s="12">
        <f t="shared" si="12"/>
        <v>715.80900423800006</v>
      </c>
      <c r="AG23" s="9">
        <v>805.5984795585</v>
      </c>
      <c r="AH23" s="12">
        <v>0</v>
      </c>
      <c r="AI23" s="12">
        <f t="shared" si="13"/>
        <v>805.5984795585</v>
      </c>
      <c r="AJ23" s="9">
        <v>764.2933247970002</v>
      </c>
      <c r="AK23" s="12">
        <v>0</v>
      </c>
      <c r="AL23" s="12">
        <f t="shared" si="14"/>
        <v>764.2933247970002</v>
      </c>
    </row>
    <row r="24" spans="1:38" x14ac:dyDescent="0.3">
      <c r="A24" s="4">
        <v>19</v>
      </c>
      <c r="B24" s="2" t="s">
        <v>18</v>
      </c>
      <c r="C24" s="8">
        <f t="shared" si="1"/>
        <v>21367.751690930498</v>
      </c>
      <c r="D24" s="8">
        <f t="shared" si="2"/>
        <v>0</v>
      </c>
      <c r="E24" s="8">
        <f t="shared" si="3"/>
        <v>21367.751690930498</v>
      </c>
      <c r="F24" s="9">
        <v>2195.5006374370005</v>
      </c>
      <c r="G24" s="9">
        <v>0</v>
      </c>
      <c r="H24" s="9">
        <f t="shared" si="4"/>
        <v>2195.5006374370005</v>
      </c>
      <c r="I24" s="9">
        <v>1771.3375567169999</v>
      </c>
      <c r="J24" s="9">
        <v>0</v>
      </c>
      <c r="K24" s="9">
        <f t="shared" si="5"/>
        <v>1771.3375567169999</v>
      </c>
      <c r="L24" s="9">
        <v>1793.9479531339994</v>
      </c>
      <c r="M24" s="9">
        <v>0</v>
      </c>
      <c r="N24" s="9">
        <f t="shared" si="6"/>
        <v>1793.9479531339994</v>
      </c>
      <c r="O24" s="9">
        <v>1675.2662402509998</v>
      </c>
      <c r="P24" s="9">
        <v>0</v>
      </c>
      <c r="Q24" s="9">
        <f t="shared" si="7"/>
        <v>1675.2662402509998</v>
      </c>
      <c r="R24" s="9">
        <v>2048.0906940510004</v>
      </c>
      <c r="S24" s="9">
        <v>0</v>
      </c>
      <c r="T24" s="9">
        <f t="shared" si="8"/>
        <v>2048.0906940510004</v>
      </c>
      <c r="U24" s="9">
        <v>1792.9219238935002</v>
      </c>
      <c r="V24" s="9">
        <v>0</v>
      </c>
      <c r="W24" s="9">
        <f t="shared" si="9"/>
        <v>1792.9219238935002</v>
      </c>
      <c r="X24" s="9">
        <v>2376.8884942490004</v>
      </c>
      <c r="Y24" s="9">
        <v>0</v>
      </c>
      <c r="Z24" s="9">
        <f t="shared" si="10"/>
        <v>2376.8884942490004</v>
      </c>
      <c r="AA24" s="9">
        <v>1873.4891838030003</v>
      </c>
      <c r="AB24" s="9">
        <v>0</v>
      </c>
      <c r="AC24" s="9">
        <f t="shared" si="11"/>
        <v>1873.4891838030003</v>
      </c>
      <c r="AD24" s="9">
        <v>1711.3659510584998</v>
      </c>
      <c r="AE24" s="9">
        <v>0</v>
      </c>
      <c r="AF24" s="9">
        <f t="shared" si="12"/>
        <v>1711.3659510584998</v>
      </c>
      <c r="AG24" s="9">
        <v>2289.741915223</v>
      </c>
      <c r="AH24" s="9">
        <v>0</v>
      </c>
      <c r="AI24" s="9">
        <f t="shared" si="13"/>
        <v>2289.741915223</v>
      </c>
      <c r="AJ24" s="9">
        <v>1839.2011411134999</v>
      </c>
      <c r="AK24" s="9">
        <v>0</v>
      </c>
      <c r="AL24" s="9">
        <f t="shared" si="14"/>
        <v>1839.2011411134999</v>
      </c>
    </row>
    <row r="25" spans="1:38" x14ac:dyDescent="0.3">
      <c r="A25" s="4">
        <v>20</v>
      </c>
      <c r="B25" s="2" t="s">
        <v>19</v>
      </c>
      <c r="C25" s="8">
        <f t="shared" si="1"/>
        <v>3457.6752452939995</v>
      </c>
      <c r="D25" s="8">
        <f t="shared" si="2"/>
        <v>0</v>
      </c>
      <c r="E25" s="8">
        <f t="shared" si="3"/>
        <v>3457.6752452939995</v>
      </c>
      <c r="F25" s="9">
        <v>561.74262967599998</v>
      </c>
      <c r="G25" s="9">
        <v>0</v>
      </c>
      <c r="H25" s="9">
        <f t="shared" si="4"/>
        <v>561.74262967599998</v>
      </c>
      <c r="I25" s="9">
        <v>485.79203312299995</v>
      </c>
      <c r="J25" s="9">
        <v>0</v>
      </c>
      <c r="K25" s="9">
        <f t="shared" si="5"/>
        <v>485.79203312299995</v>
      </c>
      <c r="L25" s="9">
        <v>550.3804517399999</v>
      </c>
      <c r="M25" s="9">
        <v>0</v>
      </c>
      <c r="N25" s="9">
        <f t="shared" si="6"/>
        <v>550.3804517399999</v>
      </c>
      <c r="O25" s="9">
        <v>583.75807965499985</v>
      </c>
      <c r="P25" s="9">
        <v>0</v>
      </c>
      <c r="Q25" s="9">
        <f t="shared" si="7"/>
        <v>583.75807965499985</v>
      </c>
      <c r="R25" s="9">
        <v>449.1070403380001</v>
      </c>
      <c r="S25" s="9">
        <v>0</v>
      </c>
      <c r="T25" s="9">
        <f t="shared" si="8"/>
        <v>449.1070403380001</v>
      </c>
      <c r="U25" s="9">
        <v>326.00553799800002</v>
      </c>
      <c r="V25" s="9">
        <v>0</v>
      </c>
      <c r="W25" s="9">
        <f t="shared" si="9"/>
        <v>326.00553799800002</v>
      </c>
      <c r="X25" s="9">
        <v>440.60557612500008</v>
      </c>
      <c r="Y25" s="9">
        <v>0</v>
      </c>
      <c r="Z25" s="9">
        <f t="shared" si="10"/>
        <v>440.60557612500008</v>
      </c>
      <c r="AA25" s="9">
        <v>106.8778388035</v>
      </c>
      <c r="AB25" s="9">
        <v>0</v>
      </c>
      <c r="AC25" s="9">
        <f t="shared" si="11"/>
        <v>106.8778388035</v>
      </c>
      <c r="AD25" s="9">
        <v>146.27055004050004</v>
      </c>
      <c r="AE25" s="9">
        <v>0</v>
      </c>
      <c r="AF25" s="9">
        <f t="shared" si="12"/>
        <v>146.27055004050004</v>
      </c>
      <c r="AG25" s="9">
        <v>-100.56204390899994</v>
      </c>
      <c r="AH25" s="9">
        <v>0</v>
      </c>
      <c r="AI25" s="9">
        <f t="shared" si="13"/>
        <v>-100.56204390899994</v>
      </c>
      <c r="AJ25" s="9">
        <v>-92.302448296000065</v>
      </c>
      <c r="AK25" s="9">
        <v>0</v>
      </c>
      <c r="AL25" s="9">
        <f t="shared" si="14"/>
        <v>-92.302448296000065</v>
      </c>
    </row>
    <row r="26" spans="1:38" x14ac:dyDescent="0.3">
      <c r="A26" s="4">
        <v>21</v>
      </c>
      <c r="B26" s="2" t="s">
        <v>20</v>
      </c>
      <c r="C26" s="8">
        <f t="shared" si="1"/>
        <v>5330.5714153769995</v>
      </c>
      <c r="D26" s="8">
        <f t="shared" si="2"/>
        <v>0</v>
      </c>
      <c r="E26" s="8">
        <f t="shared" si="3"/>
        <v>5330.5714153769995</v>
      </c>
      <c r="F26" s="9">
        <v>962.28610711599981</v>
      </c>
      <c r="G26" s="9">
        <v>0</v>
      </c>
      <c r="H26" s="9">
        <f t="shared" si="4"/>
        <v>962.28610711599981</v>
      </c>
      <c r="I26" s="9">
        <v>515.58570980999991</v>
      </c>
      <c r="J26" s="9">
        <v>0</v>
      </c>
      <c r="K26" s="9">
        <f t="shared" si="5"/>
        <v>515.58570980999991</v>
      </c>
      <c r="L26" s="9">
        <v>477.77540292699985</v>
      </c>
      <c r="M26" s="9">
        <v>0</v>
      </c>
      <c r="N26" s="9">
        <f t="shared" si="6"/>
        <v>477.77540292699985</v>
      </c>
      <c r="O26" s="9">
        <v>532.92243205499994</v>
      </c>
      <c r="P26" s="9">
        <v>0</v>
      </c>
      <c r="Q26" s="9">
        <f t="shared" si="7"/>
        <v>532.92243205499994</v>
      </c>
      <c r="R26" s="9">
        <v>487.102709979</v>
      </c>
      <c r="S26" s="9">
        <v>0</v>
      </c>
      <c r="T26" s="9">
        <f t="shared" si="8"/>
        <v>487.102709979</v>
      </c>
      <c r="U26" s="9">
        <v>493.98906276700012</v>
      </c>
      <c r="V26" s="9">
        <v>0</v>
      </c>
      <c r="W26" s="9">
        <f t="shared" si="9"/>
        <v>493.98906276700012</v>
      </c>
      <c r="X26" s="9">
        <v>830.06181510199997</v>
      </c>
      <c r="Y26" s="9">
        <v>0</v>
      </c>
      <c r="Z26" s="9">
        <f t="shared" si="10"/>
        <v>830.06181510199997</v>
      </c>
      <c r="AA26" s="9">
        <v>404.89153489900008</v>
      </c>
      <c r="AB26" s="9">
        <v>0</v>
      </c>
      <c r="AC26" s="9">
        <f t="shared" si="11"/>
        <v>404.89153489900008</v>
      </c>
      <c r="AD26" s="9">
        <v>205.46030560000011</v>
      </c>
      <c r="AE26" s="9">
        <v>0</v>
      </c>
      <c r="AF26" s="9">
        <f t="shared" si="12"/>
        <v>205.46030560000011</v>
      </c>
      <c r="AG26" s="9">
        <v>284.39296772849991</v>
      </c>
      <c r="AH26" s="9">
        <v>0</v>
      </c>
      <c r="AI26" s="9">
        <f t="shared" si="13"/>
        <v>284.39296772849991</v>
      </c>
      <c r="AJ26" s="9">
        <v>136.10336739349992</v>
      </c>
      <c r="AK26" s="9">
        <v>0</v>
      </c>
      <c r="AL26" s="9">
        <f t="shared" si="14"/>
        <v>136.10336739349992</v>
      </c>
    </row>
    <row r="27" spans="1:38" x14ac:dyDescent="0.3">
      <c r="A27" s="4">
        <v>22</v>
      </c>
      <c r="B27" s="2" t="s">
        <v>33</v>
      </c>
      <c r="C27" s="8">
        <f t="shared" si="1"/>
        <v>4918.0009654340001</v>
      </c>
      <c r="D27" s="8">
        <f t="shared" si="2"/>
        <v>0</v>
      </c>
      <c r="E27" s="8">
        <f t="shared" si="3"/>
        <v>4918.0009654340001</v>
      </c>
      <c r="F27" s="9">
        <v>570.23229198699994</v>
      </c>
      <c r="G27" s="9">
        <v>0</v>
      </c>
      <c r="H27" s="9">
        <f t="shared" si="4"/>
        <v>570.23229198699994</v>
      </c>
      <c r="I27" s="9">
        <v>385.349229589</v>
      </c>
      <c r="J27" s="9">
        <v>0</v>
      </c>
      <c r="K27" s="9">
        <f t="shared" si="5"/>
        <v>385.349229589</v>
      </c>
      <c r="L27" s="9">
        <v>465.06172228899993</v>
      </c>
      <c r="M27" s="9">
        <v>0</v>
      </c>
      <c r="N27" s="9">
        <f t="shared" si="6"/>
        <v>465.06172228899993</v>
      </c>
      <c r="O27" s="9">
        <v>673.687007924</v>
      </c>
      <c r="P27" s="9">
        <v>0</v>
      </c>
      <c r="Q27" s="9">
        <f t="shared" si="7"/>
        <v>673.687007924</v>
      </c>
      <c r="R27" s="9">
        <v>499.03025073700007</v>
      </c>
      <c r="S27" s="9">
        <v>0</v>
      </c>
      <c r="T27" s="9">
        <f t="shared" si="8"/>
        <v>499.03025073700007</v>
      </c>
      <c r="U27" s="9">
        <v>409.055615719</v>
      </c>
      <c r="V27" s="9">
        <v>0</v>
      </c>
      <c r="W27" s="9">
        <f t="shared" si="9"/>
        <v>409.055615719</v>
      </c>
      <c r="X27" s="9">
        <v>574.67818346599995</v>
      </c>
      <c r="Y27" s="9">
        <v>0</v>
      </c>
      <c r="Z27" s="9">
        <f t="shared" si="10"/>
        <v>574.67818346599995</v>
      </c>
      <c r="AA27" s="9">
        <v>643.63708636649983</v>
      </c>
      <c r="AB27" s="9">
        <v>0</v>
      </c>
      <c r="AC27" s="9">
        <f t="shared" si="11"/>
        <v>643.63708636649983</v>
      </c>
      <c r="AD27" s="9">
        <v>151.45075508499997</v>
      </c>
      <c r="AE27" s="9">
        <v>0</v>
      </c>
      <c r="AF27" s="9">
        <f t="shared" si="12"/>
        <v>151.45075508499997</v>
      </c>
      <c r="AG27" s="9">
        <v>197.79863182350005</v>
      </c>
      <c r="AH27" s="9">
        <v>0</v>
      </c>
      <c r="AI27" s="9">
        <f t="shared" si="13"/>
        <v>197.79863182350005</v>
      </c>
      <c r="AJ27" s="9">
        <v>348.02019044800011</v>
      </c>
      <c r="AK27" s="9">
        <v>0</v>
      </c>
      <c r="AL27" s="9">
        <f t="shared" si="14"/>
        <v>348.02019044800011</v>
      </c>
    </row>
    <row r="28" spans="1:38" x14ac:dyDescent="0.3">
      <c r="A28" s="4">
        <v>23</v>
      </c>
      <c r="B28" s="2" t="s">
        <v>21</v>
      </c>
      <c r="C28" s="8">
        <f t="shared" si="1"/>
        <v>19172.402267979498</v>
      </c>
      <c r="D28" s="8">
        <f t="shared" si="2"/>
        <v>0</v>
      </c>
      <c r="E28" s="8">
        <f t="shared" si="3"/>
        <v>19172.402267979498</v>
      </c>
      <c r="F28" s="9">
        <v>2326.5623952519995</v>
      </c>
      <c r="G28" s="9">
        <v>0</v>
      </c>
      <c r="H28" s="9">
        <f t="shared" si="4"/>
        <v>2326.5623952519995</v>
      </c>
      <c r="I28" s="9">
        <v>1698.5460056280001</v>
      </c>
      <c r="J28" s="9">
        <v>0</v>
      </c>
      <c r="K28" s="9">
        <f t="shared" si="5"/>
        <v>1698.5460056280001</v>
      </c>
      <c r="L28" s="9">
        <v>1691.4250687839999</v>
      </c>
      <c r="M28" s="9">
        <v>0</v>
      </c>
      <c r="N28" s="9">
        <f t="shared" si="6"/>
        <v>1691.4250687839999</v>
      </c>
      <c r="O28" s="9">
        <v>1890.3697969869995</v>
      </c>
      <c r="P28" s="9">
        <v>0</v>
      </c>
      <c r="Q28" s="9">
        <f t="shared" si="7"/>
        <v>1890.3697969869995</v>
      </c>
      <c r="R28" s="9">
        <v>1699.6568594859998</v>
      </c>
      <c r="S28" s="9">
        <v>0</v>
      </c>
      <c r="T28" s="9">
        <f t="shared" si="8"/>
        <v>1699.6568594859998</v>
      </c>
      <c r="U28" s="9">
        <v>1442.6243930879998</v>
      </c>
      <c r="V28" s="9">
        <v>0</v>
      </c>
      <c r="W28" s="9">
        <f t="shared" si="9"/>
        <v>1442.6243930879998</v>
      </c>
      <c r="X28" s="9">
        <v>1970.5706781449996</v>
      </c>
      <c r="Y28" s="9">
        <v>0</v>
      </c>
      <c r="Z28" s="9">
        <f t="shared" si="10"/>
        <v>1970.5706781449996</v>
      </c>
      <c r="AA28" s="9">
        <v>1613.4981971404998</v>
      </c>
      <c r="AB28" s="9">
        <v>0</v>
      </c>
      <c r="AC28" s="9">
        <f t="shared" si="11"/>
        <v>1613.4981971404998</v>
      </c>
      <c r="AD28" s="9">
        <v>1722.9252631050003</v>
      </c>
      <c r="AE28" s="9">
        <v>0</v>
      </c>
      <c r="AF28" s="9">
        <f t="shared" si="12"/>
        <v>1722.9252631050003</v>
      </c>
      <c r="AG28" s="9">
        <v>1549.4597011020003</v>
      </c>
      <c r="AH28" s="9">
        <v>0</v>
      </c>
      <c r="AI28" s="9">
        <f t="shared" si="13"/>
        <v>1549.4597011020003</v>
      </c>
      <c r="AJ28" s="9">
        <v>1566.7639092620002</v>
      </c>
      <c r="AK28" s="9">
        <v>0</v>
      </c>
      <c r="AL28" s="9">
        <f t="shared" si="14"/>
        <v>1566.7639092620002</v>
      </c>
    </row>
    <row r="29" spans="1:38" x14ac:dyDescent="0.3">
      <c r="A29" s="4">
        <v>24</v>
      </c>
      <c r="B29" s="2" t="s">
        <v>34</v>
      </c>
      <c r="C29" s="8">
        <f t="shared" si="1"/>
        <v>31582.581832861</v>
      </c>
      <c r="D29" s="8">
        <f t="shared" si="2"/>
        <v>0</v>
      </c>
      <c r="E29" s="8">
        <f t="shared" si="3"/>
        <v>31582.581832861</v>
      </c>
      <c r="F29" s="9">
        <v>3282.9994654389998</v>
      </c>
      <c r="G29" s="9">
        <v>0</v>
      </c>
      <c r="H29" s="9">
        <f t="shared" si="4"/>
        <v>3282.9994654389998</v>
      </c>
      <c r="I29" s="9">
        <v>2267.9699762640003</v>
      </c>
      <c r="J29" s="9">
        <v>0</v>
      </c>
      <c r="K29" s="9">
        <f t="shared" si="5"/>
        <v>2267.9699762640003</v>
      </c>
      <c r="L29" s="9">
        <v>2359.2960669160002</v>
      </c>
      <c r="M29" s="9">
        <v>0</v>
      </c>
      <c r="N29" s="9">
        <f t="shared" si="6"/>
        <v>2359.2960669160002</v>
      </c>
      <c r="O29" s="9">
        <v>2696.1242972879995</v>
      </c>
      <c r="P29" s="9">
        <v>0</v>
      </c>
      <c r="Q29" s="9">
        <f t="shared" si="7"/>
        <v>2696.1242972879995</v>
      </c>
      <c r="R29" s="9">
        <v>2588.1403450079993</v>
      </c>
      <c r="S29" s="9">
        <v>0</v>
      </c>
      <c r="T29" s="9">
        <f t="shared" si="8"/>
        <v>2588.1403450079993</v>
      </c>
      <c r="U29" s="9">
        <v>2358.114506159</v>
      </c>
      <c r="V29" s="9">
        <v>0</v>
      </c>
      <c r="W29" s="9">
        <f t="shared" si="9"/>
        <v>2358.114506159</v>
      </c>
      <c r="X29" s="9">
        <v>3604.3722429210006</v>
      </c>
      <c r="Y29" s="9">
        <v>0</v>
      </c>
      <c r="Z29" s="9">
        <f t="shared" si="10"/>
        <v>3604.3722429210006</v>
      </c>
      <c r="AA29" s="9">
        <v>2898.0175852915008</v>
      </c>
      <c r="AB29" s="9">
        <v>0</v>
      </c>
      <c r="AC29" s="9">
        <f t="shared" si="11"/>
        <v>2898.0175852915008</v>
      </c>
      <c r="AD29" s="9">
        <v>2801.4231426870006</v>
      </c>
      <c r="AE29" s="9">
        <v>0</v>
      </c>
      <c r="AF29" s="9">
        <f t="shared" si="12"/>
        <v>2801.4231426870006</v>
      </c>
      <c r="AG29" s="9">
        <v>3403.8918179984994</v>
      </c>
      <c r="AH29" s="9">
        <v>0</v>
      </c>
      <c r="AI29" s="9">
        <f t="shared" si="13"/>
        <v>3403.8918179984994</v>
      </c>
      <c r="AJ29" s="9">
        <v>3322.2323868889994</v>
      </c>
      <c r="AK29" s="9">
        <v>0</v>
      </c>
      <c r="AL29" s="9">
        <f t="shared" si="14"/>
        <v>3322.2323868889994</v>
      </c>
    </row>
    <row r="30" spans="1:38" x14ac:dyDescent="0.3">
      <c r="A30" s="4">
        <v>25</v>
      </c>
      <c r="B30" s="2" t="s">
        <v>22</v>
      </c>
      <c r="C30" s="8">
        <f t="shared" si="1"/>
        <v>0.43035982</v>
      </c>
      <c r="D30" s="8">
        <f t="shared" si="2"/>
        <v>0</v>
      </c>
      <c r="E30" s="8">
        <f t="shared" si="3"/>
        <v>0.43035982</v>
      </c>
      <c r="F30" s="9">
        <v>4.6224979999999999E-2</v>
      </c>
      <c r="G30" s="9">
        <v>0</v>
      </c>
      <c r="H30" s="9">
        <f t="shared" si="4"/>
        <v>4.6224979999999999E-2</v>
      </c>
      <c r="I30" s="9">
        <v>4.6890992999999999E-2</v>
      </c>
      <c r="J30" s="9">
        <v>0</v>
      </c>
      <c r="K30" s="9">
        <f t="shared" si="5"/>
        <v>4.6890992999999999E-2</v>
      </c>
      <c r="L30" s="9">
        <v>5.0085406999999998E-2</v>
      </c>
      <c r="M30" s="9">
        <v>0</v>
      </c>
      <c r="N30" s="9">
        <f t="shared" si="6"/>
        <v>5.0085406999999998E-2</v>
      </c>
      <c r="O30" s="9">
        <v>3.2655284999999999E-2</v>
      </c>
      <c r="P30" s="9">
        <v>0</v>
      </c>
      <c r="Q30" s="9">
        <f t="shared" si="7"/>
        <v>3.2655284999999999E-2</v>
      </c>
      <c r="R30" s="9">
        <v>0.10806967099999999</v>
      </c>
      <c r="S30" s="9">
        <v>0</v>
      </c>
      <c r="T30" s="9">
        <f t="shared" si="8"/>
        <v>0.10806967099999999</v>
      </c>
      <c r="U30" s="9">
        <v>1.6297824999999998E-2</v>
      </c>
      <c r="V30" s="9">
        <v>0</v>
      </c>
      <c r="W30" s="9">
        <f t="shared" si="9"/>
        <v>1.6297824999999998E-2</v>
      </c>
      <c r="X30" s="9">
        <v>5.2621132000000008E-2</v>
      </c>
      <c r="Y30" s="9">
        <v>0</v>
      </c>
      <c r="Z30" s="9">
        <f t="shared" si="10"/>
        <v>5.2621132000000008E-2</v>
      </c>
      <c r="AA30" s="9">
        <v>3.0305739000000002E-2</v>
      </c>
      <c r="AB30" s="9">
        <v>0</v>
      </c>
      <c r="AC30" s="9">
        <f t="shared" si="11"/>
        <v>3.0305739000000002E-2</v>
      </c>
      <c r="AD30" s="9">
        <v>1.3303706E-2</v>
      </c>
      <c r="AE30" s="9">
        <v>0</v>
      </c>
      <c r="AF30" s="9">
        <f t="shared" si="12"/>
        <v>1.3303706E-2</v>
      </c>
      <c r="AG30" s="9">
        <v>1.3597418999999999E-2</v>
      </c>
      <c r="AH30" s="9">
        <v>0</v>
      </c>
      <c r="AI30" s="9">
        <f t="shared" si="13"/>
        <v>1.3597418999999999E-2</v>
      </c>
      <c r="AJ30" s="9">
        <v>2.0307663E-2</v>
      </c>
      <c r="AK30" s="9">
        <v>0</v>
      </c>
      <c r="AL30" s="9">
        <f t="shared" si="14"/>
        <v>2.0307663E-2</v>
      </c>
    </row>
    <row r="31" spans="1:38" x14ac:dyDescent="0.3">
      <c r="A31" s="4">
        <v>26</v>
      </c>
      <c r="B31" s="2" t="s">
        <v>23</v>
      </c>
      <c r="C31" s="8">
        <f t="shared" si="1"/>
        <v>575.89892075299997</v>
      </c>
      <c r="D31" s="8">
        <f t="shared" si="2"/>
        <v>0</v>
      </c>
      <c r="E31" s="8">
        <f t="shared" si="3"/>
        <v>575.89892075299997</v>
      </c>
      <c r="F31" s="9">
        <v>51.840296495999993</v>
      </c>
      <c r="G31" s="9">
        <v>0</v>
      </c>
      <c r="H31" s="9">
        <f t="shared" si="4"/>
        <v>51.840296495999993</v>
      </c>
      <c r="I31" s="9">
        <v>38.255408975000002</v>
      </c>
      <c r="J31" s="9">
        <v>0</v>
      </c>
      <c r="K31" s="9">
        <f t="shared" si="5"/>
        <v>38.255408975000002</v>
      </c>
      <c r="L31" s="9">
        <v>24.033917401000011</v>
      </c>
      <c r="M31" s="9">
        <v>0</v>
      </c>
      <c r="N31" s="9">
        <f t="shared" si="6"/>
        <v>24.033917401000011</v>
      </c>
      <c r="O31" s="9">
        <v>41.887689338999984</v>
      </c>
      <c r="P31" s="9">
        <v>0</v>
      </c>
      <c r="Q31" s="9">
        <f t="shared" si="7"/>
        <v>41.887689338999984</v>
      </c>
      <c r="R31" s="9">
        <v>48.078596694000005</v>
      </c>
      <c r="S31" s="9">
        <v>0</v>
      </c>
      <c r="T31" s="9">
        <f t="shared" si="8"/>
        <v>48.078596694000005</v>
      </c>
      <c r="U31" s="9">
        <v>20.910719102000009</v>
      </c>
      <c r="V31" s="9">
        <v>0</v>
      </c>
      <c r="W31" s="9">
        <f t="shared" si="9"/>
        <v>20.910719102000009</v>
      </c>
      <c r="X31" s="9">
        <v>64.345941746999998</v>
      </c>
      <c r="Y31" s="9">
        <v>0</v>
      </c>
      <c r="Z31" s="9">
        <f t="shared" si="10"/>
        <v>64.345941746999998</v>
      </c>
      <c r="AA31" s="9">
        <v>90.870080140000013</v>
      </c>
      <c r="AB31" s="9">
        <v>0</v>
      </c>
      <c r="AC31" s="9">
        <f t="shared" si="11"/>
        <v>90.870080140000013</v>
      </c>
      <c r="AD31" s="9">
        <v>47.493975793000004</v>
      </c>
      <c r="AE31" s="9">
        <v>0</v>
      </c>
      <c r="AF31" s="9">
        <f t="shared" si="12"/>
        <v>47.493975793000004</v>
      </c>
      <c r="AG31" s="9">
        <v>55.56505432999996</v>
      </c>
      <c r="AH31" s="9">
        <v>0</v>
      </c>
      <c r="AI31" s="9">
        <f t="shared" si="13"/>
        <v>55.56505432999996</v>
      </c>
      <c r="AJ31" s="9">
        <v>92.617240735999971</v>
      </c>
      <c r="AK31" s="9">
        <v>0</v>
      </c>
      <c r="AL31" s="9">
        <f t="shared" si="14"/>
        <v>92.617240735999971</v>
      </c>
    </row>
    <row r="32" spans="1:38" x14ac:dyDescent="0.3">
      <c r="A32" s="4">
        <v>27</v>
      </c>
      <c r="B32" s="2" t="s">
        <v>35</v>
      </c>
      <c r="C32" s="8">
        <f t="shared" si="1"/>
        <v>70174.976960212487</v>
      </c>
      <c r="D32" s="8">
        <f t="shared" si="2"/>
        <v>0</v>
      </c>
      <c r="E32" s="8">
        <f t="shared" si="3"/>
        <v>70174.976960212487</v>
      </c>
      <c r="F32" s="9">
        <v>6723.8567862060008</v>
      </c>
      <c r="G32" s="9">
        <v>0</v>
      </c>
      <c r="H32" s="9">
        <f t="shared" si="4"/>
        <v>6723.8567862060008</v>
      </c>
      <c r="I32" s="9">
        <v>6332.3905820320006</v>
      </c>
      <c r="J32" s="9">
        <v>0</v>
      </c>
      <c r="K32" s="9">
        <f t="shared" si="5"/>
        <v>6332.3905820320006</v>
      </c>
      <c r="L32" s="9">
        <v>5425.5852525359996</v>
      </c>
      <c r="M32" s="9">
        <v>0</v>
      </c>
      <c r="N32" s="9">
        <f t="shared" si="6"/>
        <v>5425.5852525359996</v>
      </c>
      <c r="O32" s="9">
        <v>6033.1752945929993</v>
      </c>
      <c r="P32" s="9">
        <v>0</v>
      </c>
      <c r="Q32" s="9">
        <f t="shared" si="7"/>
        <v>6033.1752945929993</v>
      </c>
      <c r="R32" s="9">
        <v>6304.986334594998</v>
      </c>
      <c r="S32" s="9">
        <v>0</v>
      </c>
      <c r="T32" s="9">
        <f t="shared" si="8"/>
        <v>6304.986334594998</v>
      </c>
      <c r="U32" s="9">
        <v>5870.1581837659996</v>
      </c>
      <c r="V32" s="9">
        <v>0</v>
      </c>
      <c r="W32" s="9">
        <f t="shared" si="9"/>
        <v>5870.1581837659996</v>
      </c>
      <c r="X32" s="9">
        <v>7527.9114157430004</v>
      </c>
      <c r="Y32" s="9">
        <v>0</v>
      </c>
      <c r="Z32" s="9">
        <f t="shared" si="10"/>
        <v>7527.9114157430004</v>
      </c>
      <c r="AA32" s="9">
        <v>6198.4246892579995</v>
      </c>
      <c r="AB32" s="9">
        <v>0</v>
      </c>
      <c r="AC32" s="9">
        <f t="shared" si="11"/>
        <v>6198.4246892579995</v>
      </c>
      <c r="AD32" s="9">
        <v>6288.6453714555</v>
      </c>
      <c r="AE32" s="9">
        <v>0</v>
      </c>
      <c r="AF32" s="9">
        <f t="shared" si="12"/>
        <v>6288.6453714555</v>
      </c>
      <c r="AG32" s="9">
        <v>7175.2036124284987</v>
      </c>
      <c r="AH32" s="9">
        <v>0</v>
      </c>
      <c r="AI32" s="9">
        <f t="shared" si="13"/>
        <v>7175.2036124284987</v>
      </c>
      <c r="AJ32" s="9">
        <v>6294.6394375995005</v>
      </c>
      <c r="AK32" s="9">
        <v>0</v>
      </c>
      <c r="AL32" s="9">
        <f t="shared" si="14"/>
        <v>6294.6394375995005</v>
      </c>
    </row>
    <row r="33" spans="1:38" x14ac:dyDescent="0.3">
      <c r="A33" s="4">
        <v>29</v>
      </c>
      <c r="B33" s="2" t="s">
        <v>24</v>
      </c>
      <c r="C33" s="8">
        <f t="shared" si="1"/>
        <v>36526.58438557401</v>
      </c>
      <c r="D33" s="8">
        <f t="shared" si="2"/>
        <v>0</v>
      </c>
      <c r="E33" s="8">
        <f t="shared" si="3"/>
        <v>36526.58438557401</v>
      </c>
      <c r="F33" s="9">
        <v>3519.6222573769996</v>
      </c>
      <c r="G33" s="9">
        <v>0</v>
      </c>
      <c r="H33" s="9">
        <f t="shared" si="4"/>
        <v>3519.6222573769996</v>
      </c>
      <c r="I33" s="9">
        <v>2890.6473648439996</v>
      </c>
      <c r="J33" s="9">
        <v>0</v>
      </c>
      <c r="K33" s="9">
        <f t="shared" si="5"/>
        <v>2890.6473648439996</v>
      </c>
      <c r="L33" s="9">
        <v>2910.6668840180005</v>
      </c>
      <c r="M33" s="9">
        <v>0</v>
      </c>
      <c r="N33" s="9">
        <f t="shared" si="6"/>
        <v>2910.6668840180005</v>
      </c>
      <c r="O33" s="9">
        <v>3263.7321095640009</v>
      </c>
      <c r="P33" s="9">
        <v>0</v>
      </c>
      <c r="Q33" s="9">
        <f t="shared" si="7"/>
        <v>3263.7321095640009</v>
      </c>
      <c r="R33" s="9">
        <v>3251.3678715910005</v>
      </c>
      <c r="S33" s="9">
        <v>0</v>
      </c>
      <c r="T33" s="9">
        <f t="shared" si="8"/>
        <v>3251.3678715910005</v>
      </c>
      <c r="U33" s="9">
        <v>3225.8434055660005</v>
      </c>
      <c r="V33" s="9">
        <v>0</v>
      </c>
      <c r="W33" s="9">
        <f t="shared" si="9"/>
        <v>3225.8434055660005</v>
      </c>
      <c r="X33" s="9">
        <v>3902.8832275939994</v>
      </c>
      <c r="Y33" s="9">
        <v>0</v>
      </c>
      <c r="Z33" s="9">
        <f t="shared" si="10"/>
        <v>3902.8832275939994</v>
      </c>
      <c r="AA33" s="9">
        <v>3696.0823523399999</v>
      </c>
      <c r="AB33" s="9">
        <v>0</v>
      </c>
      <c r="AC33" s="9">
        <f t="shared" si="11"/>
        <v>3696.0823523399999</v>
      </c>
      <c r="AD33" s="9">
        <v>2899.8853818945004</v>
      </c>
      <c r="AE33" s="9">
        <v>0</v>
      </c>
      <c r="AF33" s="9">
        <f t="shared" si="12"/>
        <v>2899.8853818945004</v>
      </c>
      <c r="AG33" s="9">
        <v>3258.1781766010004</v>
      </c>
      <c r="AH33" s="9">
        <v>0</v>
      </c>
      <c r="AI33" s="9">
        <f t="shared" si="13"/>
        <v>3258.1781766010004</v>
      </c>
      <c r="AJ33" s="9">
        <v>3707.6753541845001</v>
      </c>
      <c r="AK33" s="9">
        <v>0</v>
      </c>
      <c r="AL33" s="9">
        <f t="shared" si="14"/>
        <v>3707.6753541845001</v>
      </c>
    </row>
    <row r="34" spans="1:38" x14ac:dyDescent="0.3">
      <c r="A34" s="4">
        <v>30</v>
      </c>
      <c r="B34" s="2" t="s">
        <v>25</v>
      </c>
      <c r="C34" s="8">
        <f t="shared" si="1"/>
        <v>1867.7323433279998</v>
      </c>
      <c r="D34" s="8">
        <f t="shared" si="2"/>
        <v>0</v>
      </c>
      <c r="E34" s="8">
        <f t="shared" si="3"/>
        <v>1867.7323433279998</v>
      </c>
      <c r="F34" s="9">
        <v>222.02109286500001</v>
      </c>
      <c r="G34" s="9">
        <v>0</v>
      </c>
      <c r="H34" s="9">
        <f t="shared" si="4"/>
        <v>222.02109286500001</v>
      </c>
      <c r="I34" s="9">
        <v>154.01945663000001</v>
      </c>
      <c r="J34" s="9">
        <v>0</v>
      </c>
      <c r="K34" s="9">
        <f t="shared" si="5"/>
        <v>154.01945663000001</v>
      </c>
      <c r="L34" s="9">
        <v>149.22638659500001</v>
      </c>
      <c r="M34" s="9">
        <v>0</v>
      </c>
      <c r="N34" s="9">
        <f t="shared" si="6"/>
        <v>149.22638659500001</v>
      </c>
      <c r="O34" s="9">
        <v>161.09349404099996</v>
      </c>
      <c r="P34" s="9">
        <v>0</v>
      </c>
      <c r="Q34" s="9">
        <f t="shared" si="7"/>
        <v>161.09349404099996</v>
      </c>
      <c r="R34" s="9">
        <v>161.912071</v>
      </c>
      <c r="S34" s="9">
        <v>0</v>
      </c>
      <c r="T34" s="9">
        <f t="shared" si="8"/>
        <v>161.912071</v>
      </c>
      <c r="U34" s="9">
        <v>134.36135263099999</v>
      </c>
      <c r="V34" s="9">
        <v>0</v>
      </c>
      <c r="W34" s="9">
        <f t="shared" si="9"/>
        <v>134.36135263099999</v>
      </c>
      <c r="X34" s="9">
        <v>172.92396366399996</v>
      </c>
      <c r="Y34" s="9">
        <v>0</v>
      </c>
      <c r="Z34" s="9">
        <f t="shared" si="10"/>
        <v>172.92396366399996</v>
      </c>
      <c r="AA34" s="9">
        <v>183.67285108250002</v>
      </c>
      <c r="AB34" s="9">
        <v>0</v>
      </c>
      <c r="AC34" s="9">
        <f t="shared" si="11"/>
        <v>183.67285108250002</v>
      </c>
      <c r="AD34" s="9">
        <v>151.01094516149999</v>
      </c>
      <c r="AE34" s="9">
        <v>0</v>
      </c>
      <c r="AF34" s="9">
        <f t="shared" si="12"/>
        <v>151.01094516149999</v>
      </c>
      <c r="AG34" s="9">
        <v>199.497032604</v>
      </c>
      <c r="AH34" s="9">
        <v>0</v>
      </c>
      <c r="AI34" s="9">
        <f t="shared" si="13"/>
        <v>199.497032604</v>
      </c>
      <c r="AJ34" s="9">
        <v>177.99369705399999</v>
      </c>
      <c r="AK34" s="9">
        <v>0</v>
      </c>
      <c r="AL34" s="9">
        <f t="shared" si="14"/>
        <v>177.99369705399999</v>
      </c>
    </row>
    <row r="35" spans="1:38" x14ac:dyDescent="0.3">
      <c r="A35" s="4">
        <v>31</v>
      </c>
      <c r="B35" s="2" t="s">
        <v>26</v>
      </c>
      <c r="C35" s="8">
        <f t="shared" si="1"/>
        <v>14.046889030000006</v>
      </c>
      <c r="D35" s="8">
        <f t="shared" si="2"/>
        <v>0</v>
      </c>
      <c r="E35" s="8">
        <f t="shared" si="3"/>
        <v>14.046889030000006</v>
      </c>
      <c r="F35" s="9">
        <v>10.197584595999999</v>
      </c>
      <c r="G35" s="9">
        <v>0</v>
      </c>
      <c r="H35" s="9">
        <f t="shared" si="4"/>
        <v>10.197584595999999</v>
      </c>
      <c r="I35" s="9">
        <v>5.5548617690000004</v>
      </c>
      <c r="J35" s="9">
        <v>0</v>
      </c>
      <c r="K35" s="9">
        <f t="shared" si="5"/>
        <v>5.5548617690000004</v>
      </c>
      <c r="L35" s="9">
        <v>6.4210203149999998</v>
      </c>
      <c r="M35" s="9">
        <v>0</v>
      </c>
      <c r="N35" s="9">
        <f t="shared" si="6"/>
        <v>6.4210203149999998</v>
      </c>
      <c r="O35" s="9">
        <v>8.0451891299999989</v>
      </c>
      <c r="P35" s="9">
        <v>0</v>
      </c>
      <c r="Q35" s="9">
        <f t="shared" si="7"/>
        <v>8.0451891299999989</v>
      </c>
      <c r="R35" s="9">
        <v>7.0497243380000008</v>
      </c>
      <c r="S35" s="9">
        <v>0</v>
      </c>
      <c r="T35" s="9">
        <f t="shared" si="8"/>
        <v>7.0497243380000008</v>
      </c>
      <c r="U35" s="9">
        <v>6.8378722139999999</v>
      </c>
      <c r="V35" s="9">
        <v>0</v>
      </c>
      <c r="W35" s="9">
        <f t="shared" si="9"/>
        <v>6.8378722139999999</v>
      </c>
      <c r="X35" s="9">
        <v>7.5183301980000001</v>
      </c>
      <c r="Y35" s="9">
        <v>0</v>
      </c>
      <c r="Z35" s="9">
        <f t="shared" si="10"/>
        <v>7.5183301980000001</v>
      </c>
      <c r="AA35" s="9">
        <v>-60.358669334999988</v>
      </c>
      <c r="AB35" s="9">
        <v>0</v>
      </c>
      <c r="AC35" s="9">
        <f t="shared" si="11"/>
        <v>-60.358669334999988</v>
      </c>
      <c r="AD35" s="9">
        <v>6.8995689790000005</v>
      </c>
      <c r="AE35" s="9">
        <v>0</v>
      </c>
      <c r="AF35" s="9">
        <f t="shared" si="12"/>
        <v>6.8995689790000005</v>
      </c>
      <c r="AG35" s="9">
        <v>7.182623456</v>
      </c>
      <c r="AH35" s="9">
        <v>0</v>
      </c>
      <c r="AI35" s="9">
        <f t="shared" si="13"/>
        <v>7.182623456</v>
      </c>
      <c r="AJ35" s="9">
        <v>8.698783370000001</v>
      </c>
      <c r="AK35" s="9">
        <v>0</v>
      </c>
      <c r="AL35" s="9">
        <f t="shared" si="14"/>
        <v>8.698783370000001</v>
      </c>
    </row>
    <row r="36" spans="1:38" x14ac:dyDescent="0.3">
      <c r="A36" s="4">
        <v>32</v>
      </c>
      <c r="B36" s="2" t="s">
        <v>27</v>
      </c>
      <c r="C36" s="8">
        <f t="shared" si="1"/>
        <v>17243.8488658075</v>
      </c>
      <c r="D36" s="8">
        <f t="shared" si="2"/>
        <v>0</v>
      </c>
      <c r="E36" s="8">
        <f t="shared" si="3"/>
        <v>17243.8488658075</v>
      </c>
      <c r="F36" s="9">
        <v>1700.565150185</v>
      </c>
      <c r="G36" s="9">
        <v>0</v>
      </c>
      <c r="H36" s="9">
        <f t="shared" si="4"/>
        <v>1700.565150185</v>
      </c>
      <c r="I36" s="9">
        <v>1446.899062171</v>
      </c>
      <c r="J36" s="9">
        <v>0</v>
      </c>
      <c r="K36" s="9">
        <f t="shared" si="5"/>
        <v>1446.899062171</v>
      </c>
      <c r="L36" s="9">
        <v>1546.7078586170001</v>
      </c>
      <c r="M36" s="9">
        <v>0</v>
      </c>
      <c r="N36" s="9">
        <f t="shared" si="6"/>
        <v>1546.7078586170001</v>
      </c>
      <c r="O36" s="9">
        <v>1496.806510911</v>
      </c>
      <c r="P36" s="9">
        <v>0</v>
      </c>
      <c r="Q36" s="9">
        <f t="shared" si="7"/>
        <v>1496.806510911</v>
      </c>
      <c r="R36" s="9">
        <v>1582.3294935620002</v>
      </c>
      <c r="S36" s="9">
        <v>0</v>
      </c>
      <c r="T36" s="9">
        <f t="shared" si="8"/>
        <v>1582.3294935620002</v>
      </c>
      <c r="U36" s="9">
        <v>1790.5148806529999</v>
      </c>
      <c r="V36" s="9">
        <v>0</v>
      </c>
      <c r="W36" s="9">
        <f t="shared" si="9"/>
        <v>1790.5148806529999</v>
      </c>
      <c r="X36" s="9">
        <v>1614.441177852</v>
      </c>
      <c r="Y36" s="9">
        <v>0</v>
      </c>
      <c r="Z36" s="9">
        <f t="shared" si="10"/>
        <v>1614.441177852</v>
      </c>
      <c r="AA36" s="9">
        <v>1658.3186296790002</v>
      </c>
      <c r="AB36" s="9">
        <v>0</v>
      </c>
      <c r="AC36" s="9">
        <f t="shared" si="11"/>
        <v>1658.3186296790002</v>
      </c>
      <c r="AD36" s="9">
        <v>1407.0723561694997</v>
      </c>
      <c r="AE36" s="9">
        <v>0</v>
      </c>
      <c r="AF36" s="9">
        <f t="shared" si="12"/>
        <v>1407.0723561694997</v>
      </c>
      <c r="AG36" s="9">
        <v>1500.6561604500002</v>
      </c>
      <c r="AH36" s="9">
        <v>0</v>
      </c>
      <c r="AI36" s="9">
        <f t="shared" si="13"/>
        <v>1500.6561604500002</v>
      </c>
      <c r="AJ36" s="9">
        <v>1499.537585558</v>
      </c>
      <c r="AK36" s="9">
        <v>0</v>
      </c>
      <c r="AL36" s="9">
        <f t="shared" si="14"/>
        <v>1499.537585558</v>
      </c>
    </row>
    <row r="37" spans="1:38" x14ac:dyDescent="0.3">
      <c r="A37" s="4">
        <v>33</v>
      </c>
      <c r="B37" s="2" t="s">
        <v>28</v>
      </c>
      <c r="C37" s="8">
        <f t="shared" si="1"/>
        <v>29741.034670823505</v>
      </c>
      <c r="D37" s="8">
        <f t="shared" si="2"/>
        <v>0</v>
      </c>
      <c r="E37" s="8">
        <f t="shared" si="3"/>
        <v>29741.034670823505</v>
      </c>
      <c r="F37" s="9">
        <v>2635.5875665139997</v>
      </c>
      <c r="G37" s="9">
        <v>0</v>
      </c>
      <c r="H37" s="9">
        <f t="shared" si="4"/>
        <v>2635.5875665139997</v>
      </c>
      <c r="I37" s="9">
        <v>2232.8949389739996</v>
      </c>
      <c r="J37" s="9">
        <v>0</v>
      </c>
      <c r="K37" s="9">
        <f t="shared" si="5"/>
        <v>2232.8949389739996</v>
      </c>
      <c r="L37" s="9">
        <v>2595.793840239</v>
      </c>
      <c r="M37" s="9">
        <v>0</v>
      </c>
      <c r="N37" s="9">
        <f t="shared" si="6"/>
        <v>2595.793840239</v>
      </c>
      <c r="O37" s="9">
        <v>2973.3041865300002</v>
      </c>
      <c r="P37" s="9">
        <v>0</v>
      </c>
      <c r="Q37" s="9">
        <f t="shared" si="7"/>
        <v>2973.3041865300002</v>
      </c>
      <c r="R37" s="9">
        <v>2776.9985247260006</v>
      </c>
      <c r="S37" s="9">
        <v>0</v>
      </c>
      <c r="T37" s="9">
        <f t="shared" si="8"/>
        <v>2776.9985247260006</v>
      </c>
      <c r="U37" s="9">
        <v>2251.6206451909998</v>
      </c>
      <c r="V37" s="9">
        <v>0</v>
      </c>
      <c r="W37" s="9">
        <f t="shared" si="9"/>
        <v>2251.6206451909998</v>
      </c>
      <c r="X37" s="9">
        <v>3076.2457671770003</v>
      </c>
      <c r="Y37" s="9">
        <v>0</v>
      </c>
      <c r="Z37" s="9">
        <f t="shared" si="10"/>
        <v>3076.2457671770003</v>
      </c>
      <c r="AA37" s="9">
        <v>3036.4368159030005</v>
      </c>
      <c r="AB37" s="9">
        <v>0</v>
      </c>
      <c r="AC37" s="9">
        <f t="shared" si="11"/>
        <v>3036.4368159030005</v>
      </c>
      <c r="AD37" s="9">
        <v>2393.2559927860007</v>
      </c>
      <c r="AE37" s="9">
        <v>0</v>
      </c>
      <c r="AF37" s="9">
        <f t="shared" si="12"/>
        <v>2393.2559927860007</v>
      </c>
      <c r="AG37" s="9">
        <v>2670.9746824820004</v>
      </c>
      <c r="AH37" s="9">
        <v>0</v>
      </c>
      <c r="AI37" s="9">
        <f t="shared" si="13"/>
        <v>2670.9746824820004</v>
      </c>
      <c r="AJ37" s="9">
        <v>3097.9217103014998</v>
      </c>
      <c r="AK37" s="9">
        <v>0</v>
      </c>
      <c r="AL37" s="9">
        <f t="shared" si="14"/>
        <v>3097.9217103014998</v>
      </c>
    </row>
    <row r="38" spans="1:38" x14ac:dyDescent="0.3">
      <c r="A38" s="4">
        <v>34</v>
      </c>
      <c r="B38" s="2" t="s">
        <v>29</v>
      </c>
      <c r="C38" s="8">
        <f t="shared" si="1"/>
        <v>846.70070766349988</v>
      </c>
      <c r="D38" s="8">
        <f t="shared" si="2"/>
        <v>0</v>
      </c>
      <c r="E38" s="8">
        <f t="shared" si="3"/>
        <v>846.70070766349988</v>
      </c>
      <c r="F38" s="9">
        <v>80.09905869100001</v>
      </c>
      <c r="G38" s="9">
        <v>0</v>
      </c>
      <c r="H38" s="9">
        <f t="shared" si="4"/>
        <v>80.09905869100001</v>
      </c>
      <c r="I38" s="9">
        <v>71.379415123999991</v>
      </c>
      <c r="J38" s="9">
        <v>0</v>
      </c>
      <c r="K38" s="9">
        <f t="shared" si="5"/>
        <v>71.379415123999991</v>
      </c>
      <c r="L38" s="9">
        <v>72.918662544</v>
      </c>
      <c r="M38" s="9">
        <v>0</v>
      </c>
      <c r="N38" s="9">
        <f t="shared" si="6"/>
        <v>72.918662544</v>
      </c>
      <c r="O38" s="9">
        <v>66.956680645000006</v>
      </c>
      <c r="P38" s="9">
        <v>0</v>
      </c>
      <c r="Q38" s="9">
        <f t="shared" si="7"/>
        <v>66.956680645000006</v>
      </c>
      <c r="R38" s="9">
        <v>85.811662428999995</v>
      </c>
      <c r="S38" s="9">
        <v>0</v>
      </c>
      <c r="T38" s="9">
        <f t="shared" si="8"/>
        <v>85.811662428999995</v>
      </c>
      <c r="U38" s="9">
        <v>79.782704699000007</v>
      </c>
      <c r="V38" s="9">
        <v>0</v>
      </c>
      <c r="W38" s="9">
        <f t="shared" si="9"/>
        <v>79.782704699000007</v>
      </c>
      <c r="X38" s="9">
        <v>74.311613800000018</v>
      </c>
      <c r="Y38" s="9">
        <v>0</v>
      </c>
      <c r="Z38" s="9">
        <f t="shared" si="10"/>
        <v>74.311613800000018</v>
      </c>
      <c r="AA38" s="9">
        <v>88.360149727500016</v>
      </c>
      <c r="AB38" s="9">
        <v>0</v>
      </c>
      <c r="AC38" s="9">
        <f t="shared" si="11"/>
        <v>88.360149727500016</v>
      </c>
      <c r="AD38" s="9">
        <v>64.770783234999996</v>
      </c>
      <c r="AE38" s="9">
        <v>0</v>
      </c>
      <c r="AF38" s="9">
        <f t="shared" si="12"/>
        <v>64.770783234999996</v>
      </c>
      <c r="AG38" s="9">
        <v>83.185403481000023</v>
      </c>
      <c r="AH38" s="9">
        <v>0</v>
      </c>
      <c r="AI38" s="9">
        <f t="shared" si="13"/>
        <v>83.185403481000023</v>
      </c>
      <c r="AJ38" s="9">
        <v>79.124573287999993</v>
      </c>
      <c r="AK38" s="9">
        <v>0</v>
      </c>
      <c r="AL38" s="9">
        <f t="shared" si="14"/>
        <v>79.124573287999993</v>
      </c>
    </row>
    <row r="39" spans="1:38" x14ac:dyDescent="0.3">
      <c r="A39" s="4">
        <v>35</v>
      </c>
      <c r="B39" s="2" t="s">
        <v>36</v>
      </c>
      <c r="C39" s="8">
        <f t="shared" si="1"/>
        <v>456.73860090249997</v>
      </c>
      <c r="D39" s="8">
        <f t="shared" si="2"/>
        <v>0</v>
      </c>
      <c r="E39" s="8">
        <f t="shared" si="3"/>
        <v>456.73860090249997</v>
      </c>
      <c r="F39" s="9">
        <v>59.646514219999993</v>
      </c>
      <c r="G39" s="9">
        <v>0</v>
      </c>
      <c r="H39" s="9">
        <f t="shared" si="4"/>
        <v>59.646514219999993</v>
      </c>
      <c r="I39" s="9">
        <v>35.915207579000004</v>
      </c>
      <c r="J39" s="9">
        <v>0</v>
      </c>
      <c r="K39" s="9">
        <f t="shared" si="5"/>
        <v>35.915207579000004</v>
      </c>
      <c r="L39" s="9">
        <v>33.314549311</v>
      </c>
      <c r="M39" s="9">
        <v>0</v>
      </c>
      <c r="N39" s="9">
        <f t="shared" si="6"/>
        <v>33.314549311</v>
      </c>
      <c r="O39" s="9">
        <v>33.917747606000006</v>
      </c>
      <c r="P39" s="9">
        <v>0</v>
      </c>
      <c r="Q39" s="9">
        <f t="shared" si="7"/>
        <v>33.917747606000006</v>
      </c>
      <c r="R39" s="9">
        <v>36.617068317999994</v>
      </c>
      <c r="S39" s="9">
        <v>0</v>
      </c>
      <c r="T39" s="9">
        <f t="shared" si="8"/>
        <v>36.617068317999994</v>
      </c>
      <c r="U39" s="9">
        <v>78.129866175999993</v>
      </c>
      <c r="V39" s="9">
        <v>0</v>
      </c>
      <c r="W39" s="9">
        <f t="shared" si="9"/>
        <v>78.129866175999993</v>
      </c>
      <c r="X39" s="9">
        <v>40.071236776000006</v>
      </c>
      <c r="Y39" s="9">
        <v>0</v>
      </c>
      <c r="Z39" s="9">
        <f t="shared" si="10"/>
        <v>40.071236776000006</v>
      </c>
      <c r="AA39" s="9">
        <v>30.851079055</v>
      </c>
      <c r="AB39" s="9">
        <v>0</v>
      </c>
      <c r="AC39" s="9">
        <f t="shared" si="11"/>
        <v>30.851079055</v>
      </c>
      <c r="AD39" s="9">
        <v>37.720941591999996</v>
      </c>
      <c r="AE39" s="9">
        <v>0</v>
      </c>
      <c r="AF39" s="9">
        <f t="shared" si="12"/>
        <v>37.720941591999996</v>
      </c>
      <c r="AG39" s="9">
        <v>37.703683072499999</v>
      </c>
      <c r="AH39" s="9">
        <v>0</v>
      </c>
      <c r="AI39" s="9">
        <f t="shared" si="13"/>
        <v>37.703683072499999</v>
      </c>
      <c r="AJ39" s="9">
        <v>32.850707196999998</v>
      </c>
      <c r="AK39" s="9">
        <v>0</v>
      </c>
      <c r="AL39" s="9">
        <f t="shared" si="14"/>
        <v>32.850707196999998</v>
      </c>
    </row>
    <row r="40" spans="1:38" x14ac:dyDescent="0.3">
      <c r="A40" s="4">
        <v>36</v>
      </c>
      <c r="B40" s="2" t="s">
        <v>30</v>
      </c>
      <c r="C40" s="8">
        <f t="shared" si="1"/>
        <v>22696.283985155504</v>
      </c>
      <c r="D40" s="8">
        <f t="shared" si="2"/>
        <v>0</v>
      </c>
      <c r="E40" s="8">
        <f t="shared" si="3"/>
        <v>22696.283985155504</v>
      </c>
      <c r="F40" s="9">
        <v>2289.7651787750001</v>
      </c>
      <c r="G40" s="9">
        <v>0</v>
      </c>
      <c r="H40" s="9">
        <f t="shared" si="4"/>
        <v>2289.7651787750001</v>
      </c>
      <c r="I40" s="9">
        <v>1789.8142835379997</v>
      </c>
      <c r="J40" s="9">
        <v>0</v>
      </c>
      <c r="K40" s="9">
        <f t="shared" si="5"/>
        <v>1789.8142835379997</v>
      </c>
      <c r="L40" s="9">
        <v>1877.9150182789997</v>
      </c>
      <c r="M40" s="9">
        <v>0</v>
      </c>
      <c r="N40" s="9">
        <f t="shared" si="6"/>
        <v>1877.9150182789997</v>
      </c>
      <c r="O40" s="9">
        <v>2051.1961788449998</v>
      </c>
      <c r="P40" s="9">
        <v>0</v>
      </c>
      <c r="Q40" s="9">
        <f t="shared" si="7"/>
        <v>2051.1961788449998</v>
      </c>
      <c r="R40" s="9">
        <v>2110.692929155</v>
      </c>
      <c r="S40" s="9">
        <v>0</v>
      </c>
      <c r="T40" s="9">
        <f t="shared" si="8"/>
        <v>2110.692929155</v>
      </c>
      <c r="U40" s="9">
        <v>2177.3091570639999</v>
      </c>
      <c r="V40" s="9">
        <v>0</v>
      </c>
      <c r="W40" s="9">
        <f t="shared" si="9"/>
        <v>2177.3091570639999</v>
      </c>
      <c r="X40" s="9">
        <v>2270.3332409220002</v>
      </c>
      <c r="Y40" s="9">
        <v>0</v>
      </c>
      <c r="Z40" s="9">
        <f t="shared" si="10"/>
        <v>2270.3332409220002</v>
      </c>
      <c r="AA40" s="9">
        <v>2101.1811924950002</v>
      </c>
      <c r="AB40" s="9">
        <v>0</v>
      </c>
      <c r="AC40" s="9">
        <f t="shared" si="11"/>
        <v>2101.1811924950002</v>
      </c>
      <c r="AD40" s="9">
        <v>1790.8426154170002</v>
      </c>
      <c r="AE40" s="9">
        <v>0</v>
      </c>
      <c r="AF40" s="9">
        <f t="shared" si="12"/>
        <v>1790.8426154170002</v>
      </c>
      <c r="AG40" s="9">
        <v>2070.7978001265005</v>
      </c>
      <c r="AH40" s="9">
        <v>0</v>
      </c>
      <c r="AI40" s="9">
        <f t="shared" si="13"/>
        <v>2070.7978001265005</v>
      </c>
      <c r="AJ40" s="9">
        <v>2166.4363905390001</v>
      </c>
      <c r="AK40" s="9">
        <v>0</v>
      </c>
      <c r="AL40" s="9">
        <f t="shared" si="14"/>
        <v>2166.4363905390001</v>
      </c>
    </row>
    <row r="41" spans="1:38" x14ac:dyDescent="0.3">
      <c r="A41" s="4">
        <v>37</v>
      </c>
      <c r="B41" s="2" t="s">
        <v>31</v>
      </c>
      <c r="C41" s="8">
        <f t="shared" si="1"/>
        <v>18312.686206466497</v>
      </c>
      <c r="D41" s="8">
        <f t="shared" si="2"/>
        <v>0</v>
      </c>
      <c r="E41" s="8">
        <f t="shared" si="3"/>
        <v>18312.686206466497</v>
      </c>
      <c r="F41" s="9">
        <v>1942.8355840589995</v>
      </c>
      <c r="G41" s="9">
        <v>0</v>
      </c>
      <c r="H41" s="9">
        <f t="shared" si="4"/>
        <v>1942.8355840589995</v>
      </c>
      <c r="I41" s="9">
        <v>1439.505459753</v>
      </c>
      <c r="J41" s="9">
        <v>0</v>
      </c>
      <c r="K41" s="9">
        <f t="shared" si="5"/>
        <v>1439.505459753</v>
      </c>
      <c r="L41" s="9">
        <v>1365.702602333</v>
      </c>
      <c r="M41" s="9">
        <v>0</v>
      </c>
      <c r="N41" s="9">
        <f t="shared" si="6"/>
        <v>1365.702602333</v>
      </c>
      <c r="O41" s="9">
        <v>1703.5541859649998</v>
      </c>
      <c r="P41" s="9">
        <v>0</v>
      </c>
      <c r="Q41" s="9">
        <f t="shared" si="7"/>
        <v>1703.5541859649998</v>
      </c>
      <c r="R41" s="9">
        <v>1612.9777230210002</v>
      </c>
      <c r="S41" s="9">
        <v>0</v>
      </c>
      <c r="T41" s="9">
        <f t="shared" si="8"/>
        <v>1612.9777230210002</v>
      </c>
      <c r="U41" s="9">
        <v>1604.6878289009999</v>
      </c>
      <c r="V41" s="9">
        <v>0</v>
      </c>
      <c r="W41" s="9">
        <f t="shared" si="9"/>
        <v>1604.6878289009999</v>
      </c>
      <c r="X41" s="9">
        <v>1907.3547092159995</v>
      </c>
      <c r="Y41" s="9">
        <v>0</v>
      </c>
      <c r="Z41" s="9">
        <f t="shared" si="10"/>
        <v>1907.3547092159995</v>
      </c>
      <c r="AA41" s="9">
        <v>1588.1478362749999</v>
      </c>
      <c r="AB41" s="9">
        <v>0</v>
      </c>
      <c r="AC41" s="9">
        <f t="shared" si="11"/>
        <v>1588.1478362749999</v>
      </c>
      <c r="AD41" s="9">
        <v>1549.2687995844997</v>
      </c>
      <c r="AE41" s="9">
        <v>0</v>
      </c>
      <c r="AF41" s="9">
        <f t="shared" si="12"/>
        <v>1549.2687995844997</v>
      </c>
      <c r="AG41" s="9">
        <v>1788.7931018539998</v>
      </c>
      <c r="AH41" s="9">
        <v>0</v>
      </c>
      <c r="AI41" s="9">
        <f t="shared" si="13"/>
        <v>1788.7931018539998</v>
      </c>
      <c r="AJ41" s="9">
        <v>1809.8583755049999</v>
      </c>
      <c r="AK41" s="9">
        <v>0</v>
      </c>
      <c r="AL41" s="9">
        <f t="shared" si="14"/>
        <v>1809.8583755049999</v>
      </c>
    </row>
    <row r="42" spans="1:38" x14ac:dyDescent="0.3">
      <c r="A42" s="4">
        <v>38</v>
      </c>
      <c r="B42" s="2" t="s">
        <v>38</v>
      </c>
      <c r="C42" s="8">
        <f t="shared" si="1"/>
        <v>426.96615189799991</v>
      </c>
      <c r="D42" s="8">
        <f t="shared" si="2"/>
        <v>0</v>
      </c>
      <c r="E42" s="8">
        <f t="shared" si="3"/>
        <v>426.96615189799991</v>
      </c>
      <c r="F42" s="9">
        <v>25.636797481999999</v>
      </c>
      <c r="G42" s="9">
        <v>0</v>
      </c>
      <c r="H42" s="9">
        <f t="shared" si="4"/>
        <v>25.636797481999999</v>
      </c>
      <c r="I42" s="9">
        <v>24.086091371999999</v>
      </c>
      <c r="J42" s="9">
        <v>0</v>
      </c>
      <c r="K42" s="9">
        <f t="shared" si="5"/>
        <v>24.086091371999999</v>
      </c>
      <c r="L42" s="9">
        <v>38.380342660999993</v>
      </c>
      <c r="M42" s="9">
        <v>0</v>
      </c>
      <c r="N42" s="9">
        <f t="shared" si="6"/>
        <v>38.380342660999993</v>
      </c>
      <c r="O42" s="9">
        <v>47.986791451999999</v>
      </c>
      <c r="P42" s="9">
        <v>0</v>
      </c>
      <c r="Q42" s="9">
        <f t="shared" si="7"/>
        <v>47.986791451999999</v>
      </c>
      <c r="R42" s="9">
        <v>43.489929357000001</v>
      </c>
      <c r="S42" s="9">
        <v>0</v>
      </c>
      <c r="T42" s="9">
        <f t="shared" si="8"/>
        <v>43.489929357000001</v>
      </c>
      <c r="U42" s="9">
        <v>44.566973300000001</v>
      </c>
      <c r="V42" s="9">
        <v>0</v>
      </c>
      <c r="W42" s="9">
        <f t="shared" si="9"/>
        <v>44.566973300000001</v>
      </c>
      <c r="X42" s="9">
        <v>63.717060381999993</v>
      </c>
      <c r="Y42" s="9">
        <v>0</v>
      </c>
      <c r="Z42" s="9">
        <f t="shared" si="10"/>
        <v>63.717060381999993</v>
      </c>
      <c r="AA42" s="9">
        <v>51.847747743999996</v>
      </c>
      <c r="AB42" s="9">
        <v>0</v>
      </c>
      <c r="AC42" s="9">
        <f t="shared" si="11"/>
        <v>51.847747743999996</v>
      </c>
      <c r="AD42" s="9">
        <v>34.423953978500002</v>
      </c>
      <c r="AE42" s="9">
        <v>0</v>
      </c>
      <c r="AF42" s="9">
        <f t="shared" si="12"/>
        <v>34.423953978500002</v>
      </c>
      <c r="AG42" s="9">
        <v>33.843571136999998</v>
      </c>
      <c r="AH42" s="9">
        <v>0</v>
      </c>
      <c r="AI42" s="9">
        <f t="shared" si="13"/>
        <v>33.843571136999998</v>
      </c>
      <c r="AJ42" s="9">
        <v>18.986893032499999</v>
      </c>
      <c r="AK42" s="9">
        <v>0</v>
      </c>
      <c r="AL42" s="9">
        <f t="shared" si="14"/>
        <v>18.986893032499999</v>
      </c>
    </row>
    <row r="43" spans="1:38" x14ac:dyDescent="0.3">
      <c r="A43" s="4">
        <v>97</v>
      </c>
      <c r="B43" s="2" t="s">
        <v>32</v>
      </c>
      <c r="C43" s="8">
        <f t="shared" si="1"/>
        <v>2054.2886286634998</v>
      </c>
      <c r="D43" s="8">
        <f t="shared" si="2"/>
        <v>0</v>
      </c>
      <c r="E43" s="8">
        <f t="shared" si="3"/>
        <v>2054.2886286634998</v>
      </c>
      <c r="F43" s="9">
        <v>74.096976180999988</v>
      </c>
      <c r="G43" s="9">
        <v>0</v>
      </c>
      <c r="H43" s="9">
        <f t="shared" si="4"/>
        <v>74.096976180999988</v>
      </c>
      <c r="I43" s="9">
        <v>102.74058687899999</v>
      </c>
      <c r="J43" s="9">
        <v>0</v>
      </c>
      <c r="K43" s="9">
        <f t="shared" si="5"/>
        <v>102.74058687899999</v>
      </c>
      <c r="L43" s="9">
        <v>86.329089699000008</v>
      </c>
      <c r="M43" s="9">
        <v>0</v>
      </c>
      <c r="N43" s="9">
        <f t="shared" si="6"/>
        <v>86.329089699000008</v>
      </c>
      <c r="O43" s="9">
        <v>152.47666573800001</v>
      </c>
      <c r="P43" s="9">
        <v>0</v>
      </c>
      <c r="Q43" s="9">
        <f t="shared" si="7"/>
        <v>152.47666573800001</v>
      </c>
      <c r="R43" s="9">
        <v>80.477347838</v>
      </c>
      <c r="S43" s="9">
        <v>0</v>
      </c>
      <c r="T43" s="9">
        <f t="shared" si="8"/>
        <v>80.477347838</v>
      </c>
      <c r="U43" s="9">
        <v>60.209168542000008</v>
      </c>
      <c r="V43" s="9">
        <v>0</v>
      </c>
      <c r="W43" s="9">
        <f t="shared" si="9"/>
        <v>60.209168542000008</v>
      </c>
      <c r="X43" s="9">
        <v>135.11125368</v>
      </c>
      <c r="Y43" s="9">
        <v>0</v>
      </c>
      <c r="Z43" s="9">
        <f t="shared" si="10"/>
        <v>135.11125368</v>
      </c>
      <c r="AA43" s="9">
        <v>952.22072498199998</v>
      </c>
      <c r="AB43" s="9">
        <v>0</v>
      </c>
      <c r="AC43" s="9">
        <f t="shared" si="11"/>
        <v>952.22072498199998</v>
      </c>
      <c r="AD43" s="9">
        <v>125.84857923450001</v>
      </c>
      <c r="AE43" s="9">
        <v>0</v>
      </c>
      <c r="AF43" s="9">
        <f t="shared" si="12"/>
        <v>125.84857923450001</v>
      </c>
      <c r="AG43" s="9">
        <v>122.32504943600001</v>
      </c>
      <c r="AH43" s="9">
        <v>0</v>
      </c>
      <c r="AI43" s="9">
        <f t="shared" si="13"/>
        <v>122.32504943600001</v>
      </c>
      <c r="AJ43" s="9">
        <v>162.45318645399999</v>
      </c>
      <c r="AK43" s="9">
        <v>0</v>
      </c>
      <c r="AL43" s="9">
        <f t="shared" si="14"/>
        <v>162.45318645399999</v>
      </c>
    </row>
    <row r="44" spans="1:38" x14ac:dyDescent="0.3">
      <c r="A44" s="5"/>
      <c r="B44" s="6" t="s">
        <v>44</v>
      </c>
      <c r="C44" s="10">
        <f>SUM(C6:C43)</f>
        <v>466468.70707493403</v>
      </c>
      <c r="D44" s="10">
        <f>SUM(D6:D43)</f>
        <v>0</v>
      </c>
      <c r="E44" s="10">
        <f>SUM(E6:E43)</f>
        <v>466468.70707493403</v>
      </c>
      <c r="F44" s="10">
        <f t="shared" ref="F44:K44" si="15">SUM(F6:F43)</f>
        <v>47738.787757050995</v>
      </c>
      <c r="G44" s="10">
        <f t="shared" si="15"/>
        <v>0</v>
      </c>
      <c r="H44" s="10">
        <f t="shared" si="15"/>
        <v>47738.787757050995</v>
      </c>
      <c r="I44" s="10">
        <f t="shared" si="15"/>
        <v>38992.196601749994</v>
      </c>
      <c r="J44" s="10">
        <f t="shared" si="15"/>
        <v>0</v>
      </c>
      <c r="K44" s="10">
        <f t="shared" si="15"/>
        <v>38992.196601749994</v>
      </c>
      <c r="L44" s="10">
        <f t="shared" ref="L44:N44" si="16">SUM(L6:L43)</f>
        <v>38074.18861744499</v>
      </c>
      <c r="M44" s="10">
        <f t="shared" si="16"/>
        <v>0</v>
      </c>
      <c r="N44" s="10">
        <f t="shared" si="16"/>
        <v>38074.18861744499</v>
      </c>
      <c r="O44" s="10">
        <f t="shared" ref="O44:Q44" si="17">SUM(O6:O43)</f>
        <v>42078.166217530998</v>
      </c>
      <c r="P44" s="10">
        <f t="shared" si="17"/>
        <v>0</v>
      </c>
      <c r="Q44" s="10">
        <f t="shared" si="17"/>
        <v>42078.166217530998</v>
      </c>
      <c r="R44" s="10">
        <f t="shared" ref="R44:T44" si="18">SUM(R6:R43)</f>
        <v>41694.38336779199</v>
      </c>
      <c r="S44" s="10">
        <f t="shared" si="18"/>
        <v>0</v>
      </c>
      <c r="T44" s="10">
        <f t="shared" si="18"/>
        <v>41694.38336779199</v>
      </c>
      <c r="U44" s="10">
        <f t="shared" ref="U44:W44" si="19">SUM(U6:U43)</f>
        <v>39126.580360400505</v>
      </c>
      <c r="V44" s="10">
        <f t="shared" si="19"/>
        <v>0</v>
      </c>
      <c r="W44" s="10">
        <f t="shared" si="19"/>
        <v>39126.580360400505</v>
      </c>
      <c r="X44" s="10">
        <f t="shared" ref="X44:Z44" si="20">SUM(X6:X43)</f>
        <v>49411.530814825986</v>
      </c>
      <c r="Y44" s="10">
        <f t="shared" si="20"/>
        <v>0</v>
      </c>
      <c r="Z44" s="10">
        <f t="shared" si="20"/>
        <v>49411.530814825986</v>
      </c>
      <c r="AA44" s="10">
        <f t="shared" ref="AA44:AC44" si="21">SUM(AA6:AA43)</f>
        <v>44359.298597804009</v>
      </c>
      <c r="AB44" s="10">
        <f t="shared" si="21"/>
        <v>0</v>
      </c>
      <c r="AC44" s="10">
        <f t="shared" si="21"/>
        <v>44359.298597804009</v>
      </c>
      <c r="AD44" s="10">
        <f t="shared" ref="AD44:AF44" si="22">SUM(AD6:AD43)</f>
        <v>38216.300097394495</v>
      </c>
      <c r="AE44" s="10">
        <f t="shared" si="22"/>
        <v>0</v>
      </c>
      <c r="AF44" s="10">
        <f t="shared" si="22"/>
        <v>38216.300097394495</v>
      </c>
      <c r="AG44" s="10">
        <f t="shared" ref="AG44:AI44" si="23">SUM(AG6:AG43)</f>
        <v>43913.952511930998</v>
      </c>
      <c r="AH44" s="10">
        <f t="shared" si="23"/>
        <v>0</v>
      </c>
      <c r="AI44" s="10">
        <f t="shared" si="23"/>
        <v>43913.952511930998</v>
      </c>
      <c r="AJ44" s="10">
        <f t="shared" ref="AJ44:AL44" si="24">SUM(AJ6:AJ43)</f>
        <v>42863.322131008994</v>
      </c>
      <c r="AK44" s="10">
        <f t="shared" si="24"/>
        <v>0</v>
      </c>
      <c r="AL44" s="10">
        <f t="shared" si="24"/>
        <v>42863.322131008994</v>
      </c>
    </row>
    <row r="45" spans="1:38" x14ac:dyDescent="0.3">
      <c r="X45" s="13"/>
    </row>
  </sheetData>
  <mergeCells count="14">
    <mergeCell ref="AJ4:AL4"/>
    <mergeCell ref="AG4:AI4"/>
    <mergeCell ref="AD4:AF4"/>
    <mergeCell ref="A1:C1"/>
    <mergeCell ref="A3:B3"/>
    <mergeCell ref="F4:H4"/>
    <mergeCell ref="C4:E4"/>
    <mergeCell ref="L4:N4"/>
    <mergeCell ref="I4:K4"/>
    <mergeCell ref="AA4:AC4"/>
    <mergeCell ref="X4:Z4"/>
    <mergeCell ref="U4:W4"/>
    <mergeCell ref="R4:T4"/>
    <mergeCell ref="O4:Q4"/>
  </mergeCells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Settlement_2025-26</vt:lpstr>
      <vt:lpstr>'Settlement_2025-26'!Print_Titles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cp:lastPrinted>2024-02-29T07:41:23Z</cp:lastPrinted>
  <dcterms:created xsi:type="dcterms:W3CDTF">2019-11-01T02:37:37Z</dcterms:created>
  <dcterms:modified xsi:type="dcterms:W3CDTF">2026-03-11T10:07:19Z</dcterms:modified>
  <cp:category/>
  <dc:identifier/>
  <cp:contentStatus/>
  <dc:language/>
  <cp:version/>
</cp:coreProperties>
</file>