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BF577A77-F313-489A-9A3B-3033178064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definedNames>
    <definedName name="_xlnm._FilterDatabase" localSheetId="0" hidden="1">'GSTR-3B'!$C$9:$BJ$9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1" l="1"/>
  <c r="BI48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G46" i="1" l="1"/>
  <c r="BF48" i="1" l="1"/>
  <c r="BA48" i="1"/>
  <c r="AV48" i="1"/>
  <c r="AQ48" i="1"/>
  <c r="AL48" i="1"/>
  <c r="AB48" i="1"/>
  <c r="W48" i="1"/>
  <c r="R48" i="1"/>
  <c r="M48" i="1"/>
  <c r="H48" i="1"/>
  <c r="C48" i="1"/>
  <c r="U48" i="1" l="1"/>
  <c r="F48" i="1"/>
  <c r="D48" i="1"/>
  <c r="K48" i="1"/>
  <c r="I48" i="1"/>
  <c r="P48" i="1"/>
  <c r="N48" i="1"/>
  <c r="S48" i="1"/>
  <c r="Z48" i="1"/>
  <c r="X48" i="1"/>
  <c r="AE48" i="1"/>
  <c r="AC48" i="1"/>
  <c r="AJ48" i="1"/>
  <c r="AH48" i="1"/>
  <c r="AG48" i="1"/>
  <c r="AO48" i="1"/>
  <c r="AM48" i="1"/>
  <c r="AR48" i="1"/>
  <c r="AY48" i="1"/>
  <c r="AW48" i="1"/>
  <c r="BD48" i="1"/>
  <c r="BB48" i="1"/>
  <c r="BG48" i="1"/>
  <c r="O48" i="1" l="1"/>
  <c r="E48" i="1"/>
  <c r="J48" i="1"/>
  <c r="T48" i="1"/>
  <c r="AI48" i="1"/>
  <c r="AD48" i="1"/>
  <c r="BC48" i="1"/>
  <c r="Y48" i="1"/>
  <c r="AP48" i="1"/>
  <c r="AU48" i="1"/>
  <c r="AZ48" i="1"/>
  <c r="G48" i="1"/>
  <c r="L48" i="1"/>
  <c r="V48" i="1"/>
  <c r="AK48" i="1"/>
  <c r="Q48" i="1"/>
  <c r="AA48" i="1"/>
  <c r="AF48" i="1"/>
  <c r="AN48" i="1"/>
  <c r="AS48" i="1"/>
  <c r="AX48" i="1"/>
  <c r="BE48" i="1"/>
  <c r="BJ11" i="1" l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10" i="1"/>
  <c r="J10" i="1"/>
  <c r="T10" i="1"/>
  <c r="Y10" i="1"/>
  <c r="AD10" i="1"/>
  <c r="AI10" i="1"/>
  <c r="AN10" i="1"/>
  <c r="AS10" i="1"/>
  <c r="AX10" i="1"/>
  <c r="BC10" i="1"/>
  <c r="G10" i="1"/>
  <c r="L10" i="1"/>
  <c r="Q10" i="1"/>
  <c r="V10" i="1"/>
  <c r="AA10" i="1"/>
  <c r="AF10" i="1"/>
  <c r="AK10" i="1"/>
  <c r="AP10" i="1"/>
  <c r="AU10" i="1"/>
  <c r="AZ10" i="1"/>
  <c r="BE10" i="1"/>
  <c r="BH10" i="1" l="1"/>
  <c r="BJ10" i="1"/>
</calcChain>
</file>

<file path=xl/sharedStrings.xml><?xml version="1.0" encoding="utf-8"?>
<sst xmlns="http://schemas.openxmlformats.org/spreadsheetml/2006/main" count="137" uniqueCount="51">
  <si>
    <t>FINANCIAL YEAR 2020-2021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</si>
  <si>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</si>
  <si>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</si>
  <si>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</si>
  <si>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</si>
  <si>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</si>
  <si>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</si>
  <si>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</si>
  <si>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</si>
  <si>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</si>
  <si>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</si>
  <si>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</si>
  <si>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</si>
  <si>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</si>
  <si>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</si>
  <si>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</si>
  <si>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</si>
  <si>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</si>
  <si>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</si>
  <si>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</si>
  <si>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</si>
  <si>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</si>
  <si>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</si>
  <si>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</si>
  <si>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</si>
  <si>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</si>
  <si>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</si>
  <si>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</si>
  <si>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</si>
  <si>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</si>
  <si>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</si>
  <si>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</si>
  <si>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</si>
  <si>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</si>
  <si>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</si>
  <si>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</si>
  <si>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</si>
  <si>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</si>
  <si>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</si>
  <si>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</si>
  <si>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Grand Total</t>
  </si>
  <si>
    <t>*  State Code 97 represents  territories other than States/UTs</t>
  </si>
  <si>
    <t>Ladakh</t>
  </si>
  <si>
    <t>-</t>
  </si>
  <si>
    <t>STATE WISE RETURN PERIOD WISE GSTR-3B FILING SUMMARY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</si>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</sst>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center"/>
    </xf>
    <xf numFmtId="165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wrapText="1"/>
    </xf>
    <xf numFmtId="166" fontId="0" fillId="0" borderId="1" xfId="1" applyNumberFormat="1" applyFont="1" applyFill="1" applyBorder="1" applyAlignment="1">
      <alignment vertical="top" wrapText="1"/>
    </xf>
    <xf numFmtId="166" fontId="0" fillId="0" borderId="1" xfId="1" applyNumberFormat="1" applyFont="1" applyFill="1" applyBorder="1"/>
    <xf numFmtId="166" fontId="0" fillId="0" borderId="1" xfId="1" applyNumberFormat="1" applyFont="1" applyFill="1" applyBorder="1" applyAlignment="1">
      <alignment vertical="top"/>
    </xf>
    <xf numFmtId="0" fontId="0" fillId="0" borderId="1" xfId="0" applyBorder="1"/>
    <xf numFmtId="165" fontId="0" fillId="0" borderId="1" xfId="0" applyNumberFormat="1" applyBorder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166" fontId="0" fillId="0" borderId="3" xfId="1" applyNumberFormat="1" applyFont="1" applyFill="1" applyBorder="1" applyAlignment="1">
      <alignment vertical="top" wrapText="1"/>
    </xf>
    <xf numFmtId="166" fontId="0" fillId="0" borderId="3" xfId="1" applyNumberFormat="1" applyFont="1" applyFill="1" applyBorder="1" applyAlignment="1">
      <alignment vertical="top"/>
    </xf>
    <xf numFmtId="166" fontId="0" fillId="0" borderId="3" xfId="1" applyNumberFormat="1" applyFont="1" applyFill="1" applyBorder="1"/>
    <xf numFmtId="165" fontId="0" fillId="0" borderId="3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vertical="center" wrapText="1"/>
    </xf>
    <xf numFmtId="165" fontId="4" fillId="0" borderId="1" xfId="0" applyNumberFormat="1" applyFont="1" applyBorder="1"/>
    <xf numFmtId="10" fontId="4" fillId="0" borderId="1" xfId="2" applyNumberFormat="1" applyFont="1" applyFill="1" applyBorder="1"/>
    <xf numFmtId="165" fontId="0" fillId="0" borderId="1" xfId="0" applyNumberFormat="1" applyBorder="1"/>
    <xf numFmtId="0" fontId="0" fillId="0" borderId="3" xfId="0" applyBorder="1"/>
    <xf numFmtId="165" fontId="4" fillId="0" borderId="3" xfId="0" applyNumberFormat="1" applyFont="1" applyBorder="1"/>
    <xf numFmtId="10" fontId="4" fillId="0" borderId="3" xfId="2" applyNumberFormat="1" applyFont="1" applyFill="1" applyBorder="1"/>
    <xf numFmtId="165" fontId="7" fillId="3" borderId="1" xfId="0" applyNumberFormat="1" applyFont="1" applyFill="1" applyBorder="1" applyAlignment="1">
      <alignment horizontal="right" vertical="center" wrapText="1"/>
    </xf>
    <xf numFmtId="165" fontId="6" fillId="3" borderId="1" xfId="0" applyNumberFormat="1" applyFont="1" applyFill="1" applyBorder="1"/>
    <xf numFmtId="165" fontId="6" fillId="2" borderId="1" xfId="0" applyNumberFormat="1" applyFont="1" applyFill="1" applyBorder="1" applyAlignment="1">
      <alignment horizontal="right" vertical="center" wrapText="1"/>
    </xf>
    <xf numFmtId="10" fontId="6" fillId="3" borderId="1" xfId="2" applyNumberFormat="1" applyFont="1" applyFill="1" applyBorder="1"/>
    <xf numFmtId="165" fontId="8" fillId="3" borderId="1" xfId="0" applyNumberFormat="1" applyFont="1" applyFill="1" applyBorder="1" applyAlignment="1">
      <alignment horizontal="right" vertical="center" wrapText="1"/>
    </xf>
    <xf numFmtId="166" fontId="0" fillId="0" borderId="1" xfId="1" applyNumberFormat="1" applyFont="1" applyFill="1" applyBorder="1" applyAlignment="1">
      <alignment vertical="center" wrapText="1"/>
    </xf>
    <xf numFmtId="166" fontId="0" fillId="0" borderId="3" xfId="1" applyNumberFormat="1" applyFont="1" applyFill="1" applyBorder="1" applyAlignment="1">
      <alignment vertical="center" wrapText="1"/>
    </xf>
    <xf numFmtId="166" fontId="1" fillId="0" borderId="1" xfId="1" applyNumberFormat="1" applyFont="1" applyFill="1" applyBorder="1" applyAlignment="1">
      <alignment vertical="center" wrapText="1"/>
    </xf>
    <xf numFmtId="166" fontId="1" fillId="0" borderId="3" xfId="1" applyNumberFormat="1" applyFont="1" applyFill="1" applyBorder="1" applyAlignment="1">
      <alignment vertical="center" wrapText="1"/>
    </xf>
    <xf numFmtId="166" fontId="1" fillId="0" borderId="1" xfId="1" applyNumberFormat="1" applyFill="1" applyBorder="1" applyAlignment="1">
      <alignment vertical="center" wrapText="1"/>
    </xf>
    <xf numFmtId="166" fontId="1" fillId="0" borderId="3" xfId="1" applyNumberFormat="1" applyFill="1" applyBorder="1" applyAlignment="1">
      <alignment vertical="center" wrapText="1"/>
    </xf>
    <xf numFmtId="166" fontId="1" fillId="0" borderId="1" xfId="1" applyNumberFormat="1" applyFill="1" applyBorder="1" applyAlignment="1">
      <alignment horizontal="right" vertical="center" wrapText="1"/>
    </xf>
    <xf numFmtId="166" fontId="1" fillId="0" borderId="3" xfId="1" applyNumberFormat="1" applyFill="1" applyBorder="1" applyAlignment="1">
      <alignment horizontal="right" vertical="center" wrapText="1"/>
    </xf>
    <xf numFmtId="166" fontId="0" fillId="0" borderId="1" xfId="1" applyNumberFormat="1" applyFont="1" applyFill="1" applyBorder="1" applyAlignment="1">
      <alignment horizontal="right" vertical="center" wrapText="1"/>
    </xf>
    <xf numFmtId="166" fontId="0" fillId="0" borderId="3" xfId="1" applyNumberFormat="1" applyFont="1" applyFill="1" applyBorder="1" applyAlignment="1">
      <alignment horizontal="right" vertical="center" wrapText="1"/>
    </xf>
    <xf numFmtId="165" fontId="1" fillId="0" borderId="1" xfId="0" applyNumberFormat="1" applyFont="1" applyBorder="1"/>
    <xf numFmtId="165" fontId="9" fillId="0" borderId="1" xfId="0" applyNumberFormat="1" applyFont="1" applyBorder="1" applyAlignment="1">
      <alignment vertical="center" wrapText="1"/>
    </xf>
    <xf numFmtId="165" fontId="9" fillId="0" borderId="4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1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</cellXfs>
  <cellStyles count="11">
    <cellStyle name="Comma" xfId="1" builtinId="3"/>
    <cellStyle name="Comma 2" xfId="3" xr:uid="{00000000-0005-0000-0000-000001000000}"/>
    <cellStyle name="Comma 2 2" xfId="6" xr:uid="{00000000-0005-0000-0000-000002000000}"/>
    <cellStyle name="Comma 2 3" xfId="10" xr:uid="{00000000-0005-0000-0000-000003000000}"/>
    <cellStyle name="Normal" xfId="0" builtinId="0"/>
    <cellStyle name="Normal 2" xfId="7" xr:uid="{00000000-0005-0000-0000-000005000000}"/>
    <cellStyle name="Normal 2 2" xfId="9" xr:uid="{00000000-0005-0000-0000-000006000000}"/>
    <cellStyle name="Normal 3" xfId="4" xr:uid="{00000000-0005-0000-0000-000007000000}"/>
    <cellStyle name="Normal 3 2" xfId="8" xr:uid="{00000000-0005-0000-0000-000008000000}"/>
    <cellStyle name="Normal 4" xfId="5" xr:uid="{00000000-0005-0000-0000-000009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56"/>
  <sheetViews>
    <sheetView tabSelected="1" topLeftCell="A7" zoomScale="57" zoomScaleNormal="57" workbookViewId="0">
      <selection activeCell="A47" sqref="A47"/>
    </sheetView>
  </sheetViews>
  <sheetFormatPr defaultColWidth="12.44140625" defaultRowHeight="14.4" x14ac:dyDescent="0.3"/>
  <cols>
    <col min="2" max="2" width="28.44140625" bestFit="1" customWidth="1"/>
    <col min="3" max="62" width="18.44140625" customWidth="1"/>
  </cols>
  <sheetData>
    <row r="1" spans="1:64" ht="15.6" x14ac:dyDescent="0.3">
      <c r="A1" s="50" t="s">
        <v>44</v>
      </c>
      <c r="B1" s="50"/>
      <c r="C1" s="50"/>
      <c r="D1" s="50"/>
      <c r="E1" s="50"/>
    </row>
    <row r="2" spans="1:64" ht="15.6" x14ac:dyDescent="0.3">
      <c r="A2" s="1"/>
      <c r="B2" s="1"/>
      <c r="C2" s="1"/>
      <c r="D2" s="1"/>
      <c r="E2" s="1"/>
    </row>
    <row r="3" spans="1:64" ht="15.6" x14ac:dyDescent="0.3">
      <c r="A3" s="51" t="s">
        <v>0</v>
      </c>
      <c r="B3" s="5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64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64" ht="15.6" x14ac:dyDescent="0.3">
      <c r="A5" s="51" t="s">
        <v>49</v>
      </c>
      <c r="B5" s="51"/>
      <c r="C5" s="51"/>
    </row>
    <row r="8" spans="1:64" s="42" customFormat="1" ht="15.6" x14ac:dyDescent="0.3">
      <c r="A8" s="52" t="s">
        <v>1</v>
      </c>
      <c r="B8" s="48" t="s">
        <v>2</v>
      </c>
      <c r="C8" s="47">
        <v>43922</v>
      </c>
      <c r="D8" s="48"/>
      <c r="E8" s="48"/>
      <c r="F8" s="48"/>
      <c r="G8" s="48"/>
      <c r="H8" s="47">
        <v>43952</v>
      </c>
      <c r="I8" s="48"/>
      <c r="J8" s="48"/>
      <c r="K8" s="48"/>
      <c r="L8" s="48"/>
      <c r="M8" s="47">
        <v>43983</v>
      </c>
      <c r="N8" s="48"/>
      <c r="O8" s="48"/>
      <c r="P8" s="48"/>
      <c r="Q8" s="48"/>
      <c r="R8" s="47">
        <v>44013</v>
      </c>
      <c r="S8" s="48"/>
      <c r="T8" s="48"/>
      <c r="U8" s="48"/>
      <c r="V8" s="48"/>
      <c r="W8" s="47">
        <v>44044</v>
      </c>
      <c r="X8" s="48"/>
      <c r="Y8" s="48"/>
      <c r="Z8" s="48"/>
      <c r="AA8" s="48"/>
      <c r="AB8" s="47">
        <v>44075</v>
      </c>
      <c r="AC8" s="48"/>
      <c r="AD8" s="48"/>
      <c r="AE8" s="48"/>
      <c r="AF8" s="48"/>
      <c r="AG8" s="47">
        <v>44105</v>
      </c>
      <c r="AH8" s="48"/>
      <c r="AI8" s="48"/>
      <c r="AJ8" s="48"/>
      <c r="AK8" s="48"/>
      <c r="AL8" s="47">
        <v>44136</v>
      </c>
      <c r="AM8" s="48"/>
      <c r="AN8" s="48"/>
      <c r="AO8" s="48"/>
      <c r="AP8" s="48"/>
      <c r="AQ8" s="47">
        <v>44166</v>
      </c>
      <c r="AR8" s="48"/>
      <c r="AS8" s="48"/>
      <c r="AT8" s="48"/>
      <c r="AU8" s="48"/>
      <c r="AV8" s="47">
        <v>44197</v>
      </c>
      <c r="AW8" s="48"/>
      <c r="AX8" s="48"/>
      <c r="AY8" s="48"/>
      <c r="AZ8" s="48"/>
      <c r="BA8" s="47">
        <v>44228</v>
      </c>
      <c r="BB8" s="48"/>
      <c r="BC8" s="48"/>
      <c r="BD8" s="48"/>
      <c r="BE8" s="48"/>
      <c r="BF8" s="47">
        <v>44256</v>
      </c>
      <c r="BG8" s="48"/>
      <c r="BH8" s="48"/>
      <c r="BI8" s="48"/>
      <c r="BJ8" s="48"/>
    </row>
    <row r="9" spans="1:64" s="42" customFormat="1" ht="46.8" x14ac:dyDescent="0.3">
      <c r="A9" s="52"/>
      <c r="B9" s="48"/>
      <c r="C9" s="41" t="s">
        <v>3</v>
      </c>
      <c r="D9" s="41" t="s">
        <v>4</v>
      </c>
      <c r="E9" s="41" t="s">
        <v>5</v>
      </c>
      <c r="F9" s="11" t="s">
        <v>6</v>
      </c>
      <c r="G9" s="41" t="s">
        <v>50</v>
      </c>
      <c r="H9" s="41" t="s">
        <v>3</v>
      </c>
      <c r="I9" s="41" t="s">
        <v>4</v>
      </c>
      <c r="J9" s="41" t="s">
        <v>5</v>
      </c>
      <c r="K9" s="11" t="s">
        <v>6</v>
      </c>
      <c r="L9" s="41" t="s">
        <v>50</v>
      </c>
      <c r="M9" s="41" t="s">
        <v>3</v>
      </c>
      <c r="N9" s="41" t="s">
        <v>4</v>
      </c>
      <c r="O9" s="41" t="s">
        <v>5</v>
      </c>
      <c r="P9" s="11" t="s">
        <v>6</v>
      </c>
      <c r="Q9" s="41" t="s">
        <v>50</v>
      </c>
      <c r="R9" s="41" t="s">
        <v>3</v>
      </c>
      <c r="S9" s="41" t="s">
        <v>4</v>
      </c>
      <c r="T9" s="41" t="s">
        <v>5</v>
      </c>
      <c r="U9" s="11" t="s">
        <v>6</v>
      </c>
      <c r="V9" s="41" t="s">
        <v>50</v>
      </c>
      <c r="W9" s="41" t="s">
        <v>3</v>
      </c>
      <c r="X9" s="41" t="s">
        <v>4</v>
      </c>
      <c r="Y9" s="41" t="s">
        <v>5</v>
      </c>
      <c r="Z9" s="11" t="s">
        <v>6</v>
      </c>
      <c r="AA9" s="41" t="s">
        <v>50</v>
      </c>
      <c r="AB9" s="41" t="s">
        <v>3</v>
      </c>
      <c r="AC9" s="41" t="s">
        <v>4</v>
      </c>
      <c r="AD9" s="41" t="s">
        <v>5</v>
      </c>
      <c r="AE9" s="11" t="s">
        <v>6</v>
      </c>
      <c r="AF9" s="41" t="s">
        <v>50</v>
      </c>
      <c r="AG9" s="41" t="s">
        <v>3</v>
      </c>
      <c r="AH9" s="41" t="s">
        <v>4</v>
      </c>
      <c r="AI9" s="41" t="s">
        <v>5</v>
      </c>
      <c r="AJ9" s="41" t="s">
        <v>6</v>
      </c>
      <c r="AK9" s="41" t="s">
        <v>50</v>
      </c>
      <c r="AL9" s="41" t="s">
        <v>3</v>
      </c>
      <c r="AM9" s="41" t="s">
        <v>4</v>
      </c>
      <c r="AN9" s="41" t="s">
        <v>5</v>
      </c>
      <c r="AO9" s="11" t="s">
        <v>6</v>
      </c>
      <c r="AP9" s="41" t="s">
        <v>50</v>
      </c>
      <c r="AQ9" s="41" t="s">
        <v>3</v>
      </c>
      <c r="AR9" s="41" t="s">
        <v>4</v>
      </c>
      <c r="AS9" s="41" t="s">
        <v>5</v>
      </c>
      <c r="AT9" s="11" t="s">
        <v>6</v>
      </c>
      <c r="AU9" s="41" t="s">
        <v>50</v>
      </c>
      <c r="AV9" s="41" t="s">
        <v>3</v>
      </c>
      <c r="AW9" s="41" t="s">
        <v>4</v>
      </c>
      <c r="AX9" s="41" t="s">
        <v>5</v>
      </c>
      <c r="AY9" s="11" t="s">
        <v>6</v>
      </c>
      <c r="AZ9" s="41" t="s">
        <v>50</v>
      </c>
      <c r="BA9" s="41" t="s">
        <v>3</v>
      </c>
      <c r="BB9" s="41" t="s">
        <v>4</v>
      </c>
      <c r="BC9" s="41" t="s">
        <v>5</v>
      </c>
      <c r="BD9" s="11" t="s">
        <v>6</v>
      </c>
      <c r="BE9" s="41" t="s">
        <v>50</v>
      </c>
      <c r="BF9" s="41" t="s">
        <v>3</v>
      </c>
      <c r="BG9" s="41" t="s">
        <v>4</v>
      </c>
      <c r="BH9" s="41" t="s">
        <v>5</v>
      </c>
      <c r="BI9" s="11" t="s">
        <v>6</v>
      </c>
      <c r="BJ9" s="41" t="s">
        <v>50</v>
      </c>
    </row>
    <row r="10" spans="1:64" x14ac:dyDescent="0.3">
      <c r="A10" s="43">
        <v>1</v>
      </c>
      <c r="B10" s="8" t="s">
        <v>7</v>
      </c>
      <c r="C10" s="5">
        <v>83362</v>
      </c>
      <c r="D10" s="5">
        <v>6915</v>
      </c>
      <c r="E10" s="17">
        <f>F10-D10</f>
        <v>72309</v>
      </c>
      <c r="F10" s="16">
        <v>79224</v>
      </c>
      <c r="G10" s="18">
        <f>F10/C10</f>
        <v>0.95036107578992823</v>
      </c>
      <c r="H10" s="7">
        <v>83081</v>
      </c>
      <c r="I10" s="7">
        <v>20447</v>
      </c>
      <c r="J10" s="17">
        <f>K10-I10</f>
        <v>58733</v>
      </c>
      <c r="K10" s="16">
        <v>79180</v>
      </c>
      <c r="L10" s="18">
        <f>K10/H10</f>
        <v>0.95304582275129091</v>
      </c>
      <c r="M10" s="7">
        <v>83835</v>
      </c>
      <c r="N10" s="7">
        <v>27415</v>
      </c>
      <c r="O10" s="17">
        <f>P10-N10</f>
        <v>52831</v>
      </c>
      <c r="P10" s="16">
        <v>80246</v>
      </c>
      <c r="Q10" s="18">
        <f>P10/M10</f>
        <v>0.95718971789825247</v>
      </c>
      <c r="R10" s="7">
        <v>86377</v>
      </c>
      <c r="S10" s="7">
        <v>27314</v>
      </c>
      <c r="T10" s="17">
        <f>U10-S10</f>
        <v>53980</v>
      </c>
      <c r="U10" s="16">
        <v>81294</v>
      </c>
      <c r="V10" s="18">
        <f>U10/R10</f>
        <v>0.94115331627632359</v>
      </c>
      <c r="W10" s="7">
        <v>87783</v>
      </c>
      <c r="X10" s="7">
        <v>45076</v>
      </c>
      <c r="Y10" s="17">
        <f>Z10-X10</f>
        <v>36866</v>
      </c>
      <c r="Z10" s="16">
        <v>81942</v>
      </c>
      <c r="AA10" s="18">
        <f>Z10/W10</f>
        <v>0.93346092067940267</v>
      </c>
      <c r="AB10" s="28">
        <v>88382</v>
      </c>
      <c r="AC10" s="6">
        <v>57872</v>
      </c>
      <c r="AD10" s="17">
        <f>AE10-AC10</f>
        <v>24422</v>
      </c>
      <c r="AE10" s="39">
        <v>82294</v>
      </c>
      <c r="AF10" s="18">
        <f>AE10/AB10</f>
        <v>0.93111719580910135</v>
      </c>
      <c r="AG10" s="16">
        <v>88352</v>
      </c>
      <c r="AH10" s="6">
        <v>60368</v>
      </c>
      <c r="AI10" s="17">
        <f>AJ10-AH10</f>
        <v>22380</v>
      </c>
      <c r="AJ10" s="16">
        <v>82748</v>
      </c>
      <c r="AK10" s="18">
        <f>AJ10/AG10</f>
        <v>0.9365718942412169</v>
      </c>
      <c r="AL10" s="30">
        <v>86447</v>
      </c>
      <c r="AM10" s="6">
        <v>63625</v>
      </c>
      <c r="AN10" s="17">
        <f>AO10-AM10</f>
        <v>19520</v>
      </c>
      <c r="AO10" s="16">
        <v>83145</v>
      </c>
      <c r="AP10" s="18">
        <f>AO10/AL10</f>
        <v>0.96180318576700174</v>
      </c>
      <c r="AQ10" s="32">
        <v>84627</v>
      </c>
      <c r="AR10" s="6">
        <v>66253</v>
      </c>
      <c r="AS10" s="17">
        <f>AT10-AR10</f>
        <v>17375</v>
      </c>
      <c r="AT10" s="16">
        <v>83628</v>
      </c>
      <c r="AU10" s="18">
        <f>AT10/AQ10</f>
        <v>0.98819525683292564</v>
      </c>
      <c r="AV10" s="34">
        <v>45570</v>
      </c>
      <c r="AW10" s="6">
        <v>27633</v>
      </c>
      <c r="AX10" s="17">
        <f>AY10-AW10</f>
        <v>16806</v>
      </c>
      <c r="AY10" s="19">
        <v>44439</v>
      </c>
      <c r="AZ10" s="18">
        <f>AY10/AV10</f>
        <v>0.97518104015799867</v>
      </c>
      <c r="BA10" s="36">
        <v>44854</v>
      </c>
      <c r="BB10" s="19">
        <v>31323</v>
      </c>
      <c r="BC10" s="17">
        <f>BD10-BB10</f>
        <v>14048</v>
      </c>
      <c r="BD10" s="38">
        <v>45371</v>
      </c>
      <c r="BE10" s="18">
        <f>BD10/BA10</f>
        <v>1.0115262852811344</v>
      </c>
      <c r="BF10" s="9">
        <v>84140</v>
      </c>
      <c r="BG10" s="6">
        <v>60758</v>
      </c>
      <c r="BH10" s="17">
        <f>BI10-BG10</f>
        <v>25074</v>
      </c>
      <c r="BI10" s="19">
        <v>85832</v>
      </c>
      <c r="BJ10" s="18">
        <f>BI10/BF10</f>
        <v>1.0201093415735678</v>
      </c>
      <c r="BK10" s="2"/>
      <c r="BL10" s="2"/>
    </row>
    <row r="11" spans="1:64" x14ac:dyDescent="0.3">
      <c r="A11" s="43">
        <v>2</v>
      </c>
      <c r="B11" s="8" t="s">
        <v>8</v>
      </c>
      <c r="C11" s="5">
        <v>85900</v>
      </c>
      <c r="D11" s="5">
        <v>8356</v>
      </c>
      <c r="E11" s="17">
        <f t="shared" ref="E11:E47" si="0">F11-D11</f>
        <v>72576</v>
      </c>
      <c r="F11" s="16">
        <v>80932</v>
      </c>
      <c r="G11" s="18">
        <f t="shared" ref="G11:G47" si="1">F11/C11</f>
        <v>0.94216530849825375</v>
      </c>
      <c r="H11" s="7">
        <v>85444</v>
      </c>
      <c r="I11" s="7">
        <v>23354</v>
      </c>
      <c r="J11" s="17">
        <f t="shared" ref="J11:J48" si="2">K11-I11</f>
        <v>57590</v>
      </c>
      <c r="K11" s="16">
        <v>80944</v>
      </c>
      <c r="L11" s="18">
        <f t="shared" ref="L11:L48" si="3">K11/H11</f>
        <v>0.94733392631431113</v>
      </c>
      <c r="M11" s="7">
        <v>85305</v>
      </c>
      <c r="N11" s="7">
        <v>33677</v>
      </c>
      <c r="O11" s="17">
        <f t="shared" ref="O11:O48" si="4">P11-N11</f>
        <v>47920</v>
      </c>
      <c r="P11" s="16">
        <v>81597</v>
      </c>
      <c r="Q11" s="18">
        <f t="shared" ref="Q11:Q48" si="5">P11/M11</f>
        <v>0.95653244241251978</v>
      </c>
      <c r="R11" s="7">
        <v>86772</v>
      </c>
      <c r="S11" s="7">
        <v>35023</v>
      </c>
      <c r="T11" s="17">
        <f t="shared" ref="T11:T48" si="6">U11-S11</f>
        <v>47607</v>
      </c>
      <c r="U11" s="16">
        <v>82630</v>
      </c>
      <c r="V11" s="18">
        <f t="shared" ref="V11:V48" si="7">U11/R11</f>
        <v>0.95226570783201958</v>
      </c>
      <c r="W11" s="7">
        <v>88104</v>
      </c>
      <c r="X11" s="7">
        <v>51906</v>
      </c>
      <c r="Y11" s="17">
        <f t="shared" ref="Y11:Y48" si="8">Z11-X11</f>
        <v>31753</v>
      </c>
      <c r="Z11" s="16">
        <v>83659</v>
      </c>
      <c r="AA11" s="18">
        <f t="shared" ref="AA11:AA48" si="9">Z11/W11</f>
        <v>0.9495482611459185</v>
      </c>
      <c r="AB11" s="28">
        <v>89380</v>
      </c>
      <c r="AC11" s="6">
        <v>64989</v>
      </c>
      <c r="AD11" s="17">
        <f t="shared" ref="AD11:AD48" si="10">AE11-AC11</f>
        <v>19522</v>
      </c>
      <c r="AE11" s="40">
        <v>84511</v>
      </c>
      <c r="AF11" s="18">
        <f t="shared" ref="AF11:AF48" si="11">AE11/AB11</f>
        <v>0.94552472588946068</v>
      </c>
      <c r="AG11" s="16">
        <v>90577</v>
      </c>
      <c r="AH11" s="6">
        <v>66916</v>
      </c>
      <c r="AI11" s="17">
        <f t="shared" ref="AI11:AI48" si="12">AJ11-AH11</f>
        <v>18515</v>
      </c>
      <c r="AJ11" s="16">
        <v>85431</v>
      </c>
      <c r="AK11" s="18">
        <f t="shared" ref="AK11:AK48" si="13">AJ11/AG11</f>
        <v>0.94318646013888741</v>
      </c>
      <c r="AL11" s="30">
        <v>90998</v>
      </c>
      <c r="AM11" s="6">
        <v>69719</v>
      </c>
      <c r="AN11" s="17">
        <f t="shared" ref="AN11:AN48" si="14">AO11-AM11</f>
        <v>16461</v>
      </c>
      <c r="AO11" s="16">
        <v>86180</v>
      </c>
      <c r="AP11" s="18">
        <f t="shared" ref="AP11:AP48" si="15">AO11/AL11</f>
        <v>0.94705378140178909</v>
      </c>
      <c r="AQ11" s="32">
        <v>91034</v>
      </c>
      <c r="AR11" s="6">
        <v>70864</v>
      </c>
      <c r="AS11" s="17">
        <f t="shared" ref="AS11:AS48" si="16">AT11-AR11</f>
        <v>16023</v>
      </c>
      <c r="AT11" s="16">
        <v>86887</v>
      </c>
      <c r="AU11" s="18">
        <f t="shared" ref="AU11:AU48" si="17">AT11/AQ11</f>
        <v>0.954445591756926</v>
      </c>
      <c r="AV11" s="34">
        <v>40225</v>
      </c>
      <c r="AW11" s="6">
        <v>24101</v>
      </c>
      <c r="AX11" s="17">
        <f t="shared" ref="AX11:AX48" si="18">AY11-AW11</f>
        <v>12434</v>
      </c>
      <c r="AY11" s="19">
        <v>36535</v>
      </c>
      <c r="AZ11" s="18">
        <f t="shared" ref="AZ11:AZ48" si="19">AY11/AV11</f>
        <v>0.90826600372902422</v>
      </c>
      <c r="BA11" s="36">
        <v>39963</v>
      </c>
      <c r="BB11" s="19">
        <v>27128</v>
      </c>
      <c r="BC11" s="17">
        <f t="shared" ref="BC11:BC48" si="20">BD11-BB11</f>
        <v>10601</v>
      </c>
      <c r="BD11" s="38">
        <v>37729</v>
      </c>
      <c r="BE11" s="18">
        <f t="shared" ref="BE11:BE48" si="21">BD11/BA11</f>
        <v>0.94409829091910014</v>
      </c>
      <c r="BF11" s="9">
        <v>90790</v>
      </c>
      <c r="BG11" s="6">
        <v>66128</v>
      </c>
      <c r="BH11" s="17">
        <f t="shared" ref="BH11:BH48" si="22">BI11-BG11</f>
        <v>23156</v>
      </c>
      <c r="BI11" s="19">
        <v>89284</v>
      </c>
      <c r="BJ11" s="18">
        <f t="shared" ref="BJ11:BJ48" si="23">BI11/BF11</f>
        <v>0.98341227007379672</v>
      </c>
      <c r="BK11" s="2"/>
      <c r="BL11" s="2"/>
    </row>
    <row r="12" spans="1:64" x14ac:dyDescent="0.3">
      <c r="A12" s="43">
        <v>3</v>
      </c>
      <c r="B12" s="8" t="s">
        <v>9</v>
      </c>
      <c r="C12" s="5">
        <v>312045</v>
      </c>
      <c r="D12" s="5">
        <v>21475</v>
      </c>
      <c r="E12" s="17">
        <f t="shared" si="0"/>
        <v>270114</v>
      </c>
      <c r="F12" s="16">
        <v>291589</v>
      </c>
      <c r="G12" s="18">
        <f t="shared" si="1"/>
        <v>0.93444535243314264</v>
      </c>
      <c r="H12" s="7">
        <v>311421</v>
      </c>
      <c r="I12" s="7">
        <v>79839</v>
      </c>
      <c r="J12" s="17">
        <f t="shared" si="2"/>
        <v>211657</v>
      </c>
      <c r="K12" s="16">
        <v>291496</v>
      </c>
      <c r="L12" s="18">
        <f t="shared" si="3"/>
        <v>0.93601908670256662</v>
      </c>
      <c r="M12" s="7">
        <v>312776</v>
      </c>
      <c r="N12" s="7">
        <v>127403</v>
      </c>
      <c r="O12" s="17">
        <f t="shared" si="4"/>
        <v>165096</v>
      </c>
      <c r="P12" s="16">
        <v>292499</v>
      </c>
      <c r="Q12" s="18">
        <f t="shared" si="5"/>
        <v>0.93517085709901016</v>
      </c>
      <c r="R12" s="7">
        <v>313307</v>
      </c>
      <c r="S12" s="7">
        <v>134638</v>
      </c>
      <c r="T12" s="17">
        <f t="shared" si="6"/>
        <v>160590</v>
      </c>
      <c r="U12" s="16">
        <v>295228</v>
      </c>
      <c r="V12" s="18">
        <f t="shared" si="7"/>
        <v>0.9422962142563045</v>
      </c>
      <c r="W12" s="7">
        <v>316396</v>
      </c>
      <c r="X12" s="7">
        <v>181512</v>
      </c>
      <c r="Y12" s="17">
        <f t="shared" si="8"/>
        <v>116007</v>
      </c>
      <c r="Z12" s="16">
        <v>297519</v>
      </c>
      <c r="AA12" s="18">
        <f t="shared" si="9"/>
        <v>0.94033742525189956</v>
      </c>
      <c r="AB12" s="28">
        <v>318929</v>
      </c>
      <c r="AC12" s="6">
        <v>239265</v>
      </c>
      <c r="AD12" s="17">
        <f t="shared" si="10"/>
        <v>60002</v>
      </c>
      <c r="AE12" s="40">
        <v>299267</v>
      </c>
      <c r="AF12" s="18">
        <f t="shared" si="11"/>
        <v>0.93834991487133501</v>
      </c>
      <c r="AG12" s="16">
        <v>321958</v>
      </c>
      <c r="AH12" s="6">
        <v>247418</v>
      </c>
      <c r="AI12" s="17">
        <f t="shared" si="12"/>
        <v>53872</v>
      </c>
      <c r="AJ12" s="16">
        <v>301290</v>
      </c>
      <c r="AK12" s="18">
        <f t="shared" si="13"/>
        <v>0.93580529137340895</v>
      </c>
      <c r="AL12" s="30">
        <v>323060</v>
      </c>
      <c r="AM12" s="6">
        <v>254150</v>
      </c>
      <c r="AN12" s="17">
        <f t="shared" si="14"/>
        <v>48757</v>
      </c>
      <c r="AO12" s="16">
        <v>302907</v>
      </c>
      <c r="AP12" s="18">
        <f t="shared" si="15"/>
        <v>0.93761839905899835</v>
      </c>
      <c r="AQ12" s="32">
        <v>323550</v>
      </c>
      <c r="AR12" s="6">
        <v>263280</v>
      </c>
      <c r="AS12" s="17">
        <f t="shared" si="16"/>
        <v>41155</v>
      </c>
      <c r="AT12" s="16">
        <v>304435</v>
      </c>
      <c r="AU12" s="18">
        <f t="shared" si="17"/>
        <v>0.94092103229794466</v>
      </c>
      <c r="AV12" s="34">
        <v>144815</v>
      </c>
      <c r="AW12" s="6">
        <v>95397</v>
      </c>
      <c r="AX12" s="17">
        <f t="shared" si="18"/>
        <v>34990</v>
      </c>
      <c r="AY12" s="19">
        <v>130387</v>
      </c>
      <c r="AZ12" s="18">
        <f t="shared" si="19"/>
        <v>0.90036943686772775</v>
      </c>
      <c r="BA12" s="36">
        <v>144139</v>
      </c>
      <c r="BB12" s="19">
        <v>103966</v>
      </c>
      <c r="BC12" s="17">
        <f t="shared" si="20"/>
        <v>29051</v>
      </c>
      <c r="BD12" s="38">
        <v>133017</v>
      </c>
      <c r="BE12" s="18">
        <f t="shared" si="21"/>
        <v>0.92283837129437551</v>
      </c>
      <c r="BF12" s="9">
        <v>318519</v>
      </c>
      <c r="BG12" s="6">
        <v>245059</v>
      </c>
      <c r="BH12" s="17">
        <f t="shared" si="22"/>
        <v>63437</v>
      </c>
      <c r="BI12" s="19">
        <v>308496</v>
      </c>
      <c r="BJ12" s="18">
        <f t="shared" si="23"/>
        <v>0.96853248942763226</v>
      </c>
      <c r="BK12" s="2"/>
      <c r="BL12" s="2"/>
    </row>
    <row r="13" spans="1:64" x14ac:dyDescent="0.3">
      <c r="A13" s="43">
        <v>4</v>
      </c>
      <c r="B13" s="8" t="s">
        <v>10</v>
      </c>
      <c r="C13" s="5">
        <v>27102</v>
      </c>
      <c r="D13" s="5">
        <v>2381</v>
      </c>
      <c r="E13" s="17">
        <f t="shared" si="0"/>
        <v>23599</v>
      </c>
      <c r="F13" s="16">
        <v>25980</v>
      </c>
      <c r="G13" s="18">
        <f t="shared" si="1"/>
        <v>0.95860084126632716</v>
      </c>
      <c r="H13" s="7">
        <v>26687</v>
      </c>
      <c r="I13" s="7">
        <v>7124</v>
      </c>
      <c r="J13" s="17">
        <f t="shared" si="2"/>
        <v>18795</v>
      </c>
      <c r="K13" s="16">
        <v>25919</v>
      </c>
      <c r="L13" s="18">
        <f t="shared" si="3"/>
        <v>0.97122194326825795</v>
      </c>
      <c r="M13" s="7">
        <v>26720</v>
      </c>
      <c r="N13" s="7">
        <v>12309</v>
      </c>
      <c r="O13" s="17">
        <f t="shared" si="4"/>
        <v>13587</v>
      </c>
      <c r="P13" s="16">
        <v>25896</v>
      </c>
      <c r="Q13" s="18">
        <f t="shared" si="5"/>
        <v>0.9691616766467066</v>
      </c>
      <c r="R13" s="7">
        <v>26875</v>
      </c>
      <c r="S13" s="7">
        <v>12748</v>
      </c>
      <c r="T13" s="17">
        <f t="shared" si="6"/>
        <v>13177</v>
      </c>
      <c r="U13" s="16">
        <v>25925</v>
      </c>
      <c r="V13" s="18">
        <f t="shared" si="7"/>
        <v>0.96465116279069762</v>
      </c>
      <c r="W13" s="7">
        <v>26954</v>
      </c>
      <c r="X13" s="7">
        <v>16450</v>
      </c>
      <c r="Y13" s="17">
        <f t="shared" si="8"/>
        <v>9593</v>
      </c>
      <c r="Z13" s="16">
        <v>26043</v>
      </c>
      <c r="AA13" s="18">
        <f t="shared" si="9"/>
        <v>0.96620167693106773</v>
      </c>
      <c r="AB13" s="28">
        <v>27174</v>
      </c>
      <c r="AC13" s="6">
        <v>19801</v>
      </c>
      <c r="AD13" s="17">
        <f t="shared" si="10"/>
        <v>6316</v>
      </c>
      <c r="AE13" s="40">
        <v>26117</v>
      </c>
      <c r="AF13" s="18">
        <f t="shared" si="11"/>
        <v>0.96110252447192168</v>
      </c>
      <c r="AG13" s="16">
        <v>27266</v>
      </c>
      <c r="AH13" s="6">
        <v>20548</v>
      </c>
      <c r="AI13" s="17">
        <f t="shared" si="12"/>
        <v>5634</v>
      </c>
      <c r="AJ13" s="16">
        <v>26182</v>
      </c>
      <c r="AK13" s="18">
        <f t="shared" si="13"/>
        <v>0.96024352673659508</v>
      </c>
      <c r="AL13" s="30">
        <v>27151</v>
      </c>
      <c r="AM13" s="6">
        <v>21327</v>
      </c>
      <c r="AN13" s="17">
        <f t="shared" si="14"/>
        <v>4931</v>
      </c>
      <c r="AO13" s="16">
        <v>26258</v>
      </c>
      <c r="AP13" s="18">
        <f t="shared" si="15"/>
        <v>0.96710986703988799</v>
      </c>
      <c r="AQ13" s="32">
        <v>26992</v>
      </c>
      <c r="AR13" s="6">
        <v>22221</v>
      </c>
      <c r="AS13" s="17">
        <f t="shared" si="16"/>
        <v>4083</v>
      </c>
      <c r="AT13" s="16">
        <v>26304</v>
      </c>
      <c r="AU13" s="18">
        <f t="shared" si="17"/>
        <v>0.97451096621221101</v>
      </c>
      <c r="AV13" s="34">
        <v>12937</v>
      </c>
      <c r="AW13" s="6">
        <v>9080</v>
      </c>
      <c r="AX13" s="17">
        <f t="shared" si="18"/>
        <v>3526</v>
      </c>
      <c r="AY13" s="19">
        <v>12606</v>
      </c>
      <c r="AZ13" s="18">
        <f t="shared" si="19"/>
        <v>0.97441447012444926</v>
      </c>
      <c r="BA13" s="36">
        <v>12710</v>
      </c>
      <c r="BB13" s="19">
        <v>9797</v>
      </c>
      <c r="BC13" s="17">
        <f t="shared" si="20"/>
        <v>2940</v>
      </c>
      <c r="BD13" s="38">
        <v>12737</v>
      </c>
      <c r="BE13" s="18">
        <f t="shared" si="21"/>
        <v>1.0021243115656964</v>
      </c>
      <c r="BF13" s="9">
        <v>26399</v>
      </c>
      <c r="BG13" s="6">
        <v>20288</v>
      </c>
      <c r="BH13" s="17">
        <f t="shared" si="22"/>
        <v>6134</v>
      </c>
      <c r="BI13" s="19">
        <v>26422</v>
      </c>
      <c r="BJ13" s="18">
        <f t="shared" si="23"/>
        <v>1.0008712451229214</v>
      </c>
      <c r="BK13" s="2"/>
      <c r="BL13" s="2"/>
    </row>
    <row r="14" spans="1:64" x14ac:dyDescent="0.3">
      <c r="A14" s="43">
        <v>5</v>
      </c>
      <c r="B14" s="8" t="s">
        <v>11</v>
      </c>
      <c r="C14" s="5">
        <v>131425</v>
      </c>
      <c r="D14" s="5">
        <v>16526</v>
      </c>
      <c r="E14" s="17">
        <f t="shared" si="0"/>
        <v>103198</v>
      </c>
      <c r="F14" s="16">
        <v>119724</v>
      </c>
      <c r="G14" s="18">
        <f t="shared" si="1"/>
        <v>0.9109682328324139</v>
      </c>
      <c r="H14" s="7">
        <v>130423</v>
      </c>
      <c r="I14" s="7">
        <v>36716</v>
      </c>
      <c r="J14" s="17">
        <f t="shared" si="2"/>
        <v>83244</v>
      </c>
      <c r="K14" s="16">
        <v>119960</v>
      </c>
      <c r="L14" s="18">
        <f t="shared" si="3"/>
        <v>0.91977641980325553</v>
      </c>
      <c r="M14" s="7">
        <v>130093</v>
      </c>
      <c r="N14" s="7">
        <v>46924</v>
      </c>
      <c r="O14" s="17">
        <f t="shared" si="4"/>
        <v>74186</v>
      </c>
      <c r="P14" s="16">
        <v>121110</v>
      </c>
      <c r="Q14" s="18">
        <f t="shared" si="5"/>
        <v>0.93094939773854091</v>
      </c>
      <c r="R14" s="7">
        <v>132671</v>
      </c>
      <c r="S14" s="7">
        <v>51090</v>
      </c>
      <c r="T14" s="17">
        <f t="shared" si="6"/>
        <v>72118</v>
      </c>
      <c r="U14" s="16">
        <v>123208</v>
      </c>
      <c r="V14" s="18">
        <f t="shared" si="7"/>
        <v>0.92867318404172727</v>
      </c>
      <c r="W14" s="7">
        <v>135332</v>
      </c>
      <c r="X14" s="7">
        <v>73229</v>
      </c>
      <c r="Y14" s="17">
        <f t="shared" si="8"/>
        <v>51644</v>
      </c>
      <c r="Z14" s="16">
        <v>124873</v>
      </c>
      <c r="AA14" s="18">
        <f t="shared" si="9"/>
        <v>0.92271598734962901</v>
      </c>
      <c r="AB14" s="28">
        <v>138271</v>
      </c>
      <c r="AC14" s="6">
        <v>92621</v>
      </c>
      <c r="AD14" s="17">
        <f t="shared" si="10"/>
        <v>33733</v>
      </c>
      <c r="AE14" s="40">
        <v>126354</v>
      </c>
      <c r="AF14" s="18">
        <f t="shared" si="11"/>
        <v>0.91381417650845076</v>
      </c>
      <c r="AG14" s="16">
        <v>140605</v>
      </c>
      <c r="AH14" s="6">
        <v>95239</v>
      </c>
      <c r="AI14" s="17">
        <f t="shared" si="12"/>
        <v>33108</v>
      </c>
      <c r="AJ14" s="16">
        <v>128347</v>
      </c>
      <c r="AK14" s="18">
        <f t="shared" si="13"/>
        <v>0.91281960100992143</v>
      </c>
      <c r="AL14" s="30">
        <v>141075</v>
      </c>
      <c r="AM14" s="6">
        <v>102644</v>
      </c>
      <c r="AN14" s="17">
        <f t="shared" si="14"/>
        <v>27277</v>
      </c>
      <c r="AO14" s="16">
        <v>129921</v>
      </c>
      <c r="AP14" s="18">
        <f t="shared" si="15"/>
        <v>0.92093567251461983</v>
      </c>
      <c r="AQ14" s="32">
        <v>140248</v>
      </c>
      <c r="AR14" s="6">
        <v>106298</v>
      </c>
      <c r="AS14" s="17">
        <f t="shared" si="16"/>
        <v>25066</v>
      </c>
      <c r="AT14" s="16">
        <v>131364</v>
      </c>
      <c r="AU14" s="18">
        <f t="shared" si="17"/>
        <v>0.93665506816496491</v>
      </c>
      <c r="AV14" s="34">
        <v>71169</v>
      </c>
      <c r="AW14" s="6">
        <v>39594</v>
      </c>
      <c r="AX14" s="17">
        <f t="shared" si="18"/>
        <v>24134</v>
      </c>
      <c r="AY14" s="19">
        <v>63728</v>
      </c>
      <c r="AZ14" s="18">
        <f t="shared" si="19"/>
        <v>0.8954460509491492</v>
      </c>
      <c r="BA14" s="36">
        <v>69125</v>
      </c>
      <c r="BB14" s="19">
        <v>44408</v>
      </c>
      <c r="BC14" s="17">
        <f t="shared" si="20"/>
        <v>20957</v>
      </c>
      <c r="BD14" s="38">
        <v>65365</v>
      </c>
      <c r="BE14" s="18">
        <f t="shared" si="21"/>
        <v>0.94560578661844485</v>
      </c>
      <c r="BF14" s="9">
        <v>138667</v>
      </c>
      <c r="BG14" s="6">
        <v>93683</v>
      </c>
      <c r="BH14" s="17">
        <f t="shared" si="22"/>
        <v>41163</v>
      </c>
      <c r="BI14" s="19">
        <v>134846</v>
      </c>
      <c r="BJ14" s="18">
        <f t="shared" si="23"/>
        <v>0.97244477777697647</v>
      </c>
      <c r="BK14" s="2"/>
      <c r="BL14" s="2"/>
    </row>
    <row r="15" spans="1:64" x14ac:dyDescent="0.3">
      <c r="A15" s="43">
        <v>6</v>
      </c>
      <c r="B15" s="8" t="s">
        <v>12</v>
      </c>
      <c r="C15" s="5">
        <v>423209</v>
      </c>
      <c r="D15" s="5">
        <v>38552</v>
      </c>
      <c r="E15" s="17">
        <f t="shared" si="0"/>
        <v>350144</v>
      </c>
      <c r="F15" s="16">
        <v>388696</v>
      </c>
      <c r="G15" s="18">
        <f t="shared" si="1"/>
        <v>0.91844927683484989</v>
      </c>
      <c r="H15" s="7">
        <v>421109</v>
      </c>
      <c r="I15" s="7">
        <v>110504</v>
      </c>
      <c r="J15" s="17">
        <f t="shared" si="2"/>
        <v>278555</v>
      </c>
      <c r="K15" s="16">
        <v>389059</v>
      </c>
      <c r="L15" s="18">
        <f t="shared" si="3"/>
        <v>0.92389143903359938</v>
      </c>
      <c r="M15" s="7">
        <v>424733</v>
      </c>
      <c r="N15" s="7">
        <v>164373</v>
      </c>
      <c r="O15" s="17">
        <f t="shared" si="4"/>
        <v>227335</v>
      </c>
      <c r="P15" s="16">
        <v>391708</v>
      </c>
      <c r="Q15" s="18">
        <f t="shared" si="5"/>
        <v>0.92224526938099938</v>
      </c>
      <c r="R15" s="7">
        <v>432397</v>
      </c>
      <c r="S15" s="7">
        <v>177198</v>
      </c>
      <c r="T15" s="17">
        <f t="shared" si="6"/>
        <v>219450</v>
      </c>
      <c r="U15" s="16">
        <v>396648</v>
      </c>
      <c r="V15" s="18">
        <f t="shared" si="7"/>
        <v>0.91732366320765413</v>
      </c>
      <c r="W15" s="7">
        <v>439116</v>
      </c>
      <c r="X15" s="7">
        <v>245256</v>
      </c>
      <c r="Y15" s="17">
        <f t="shared" si="8"/>
        <v>158023</v>
      </c>
      <c r="Z15" s="16">
        <v>403279</v>
      </c>
      <c r="AA15" s="18">
        <f t="shared" si="9"/>
        <v>0.91838830741763</v>
      </c>
      <c r="AB15" s="28">
        <v>444211</v>
      </c>
      <c r="AC15" s="6">
        <v>299318</v>
      </c>
      <c r="AD15" s="17">
        <f t="shared" si="10"/>
        <v>107856</v>
      </c>
      <c r="AE15" s="40">
        <v>407174</v>
      </c>
      <c r="AF15" s="18">
        <f t="shared" si="11"/>
        <v>0.91662295620774814</v>
      </c>
      <c r="AG15" s="16">
        <v>451674</v>
      </c>
      <c r="AH15" s="6">
        <v>309568</v>
      </c>
      <c r="AI15" s="17">
        <f t="shared" si="12"/>
        <v>102835</v>
      </c>
      <c r="AJ15" s="16">
        <v>412403</v>
      </c>
      <c r="AK15" s="18">
        <f t="shared" si="13"/>
        <v>0.91305454819183751</v>
      </c>
      <c r="AL15" s="30">
        <v>454057</v>
      </c>
      <c r="AM15" s="6">
        <v>326603</v>
      </c>
      <c r="AN15" s="17">
        <f t="shared" si="14"/>
        <v>89700</v>
      </c>
      <c r="AO15" s="16">
        <v>416303</v>
      </c>
      <c r="AP15" s="18">
        <f t="shared" si="15"/>
        <v>0.91685184899693206</v>
      </c>
      <c r="AQ15" s="32">
        <v>454238</v>
      </c>
      <c r="AR15" s="6">
        <v>342430</v>
      </c>
      <c r="AS15" s="17">
        <f t="shared" si="16"/>
        <v>76637</v>
      </c>
      <c r="AT15" s="16">
        <v>419067</v>
      </c>
      <c r="AU15" s="18">
        <f t="shared" si="17"/>
        <v>0.92257142731343478</v>
      </c>
      <c r="AV15" s="34">
        <v>236480</v>
      </c>
      <c r="AW15" s="6">
        <v>136528</v>
      </c>
      <c r="AX15" s="17">
        <f t="shared" si="18"/>
        <v>71301</v>
      </c>
      <c r="AY15" s="19">
        <v>207829</v>
      </c>
      <c r="AZ15" s="18">
        <f t="shared" si="19"/>
        <v>0.87884387686062249</v>
      </c>
      <c r="BA15" s="36">
        <v>230595</v>
      </c>
      <c r="BB15" s="19">
        <v>151499</v>
      </c>
      <c r="BC15" s="17">
        <f t="shared" si="20"/>
        <v>60083</v>
      </c>
      <c r="BD15" s="38">
        <v>211582</v>
      </c>
      <c r="BE15" s="18">
        <f t="shared" si="21"/>
        <v>0.91754808213534556</v>
      </c>
      <c r="BF15" s="9">
        <v>438177</v>
      </c>
      <c r="BG15" s="6">
        <v>308249</v>
      </c>
      <c r="BH15" s="17">
        <f t="shared" si="22"/>
        <v>113653</v>
      </c>
      <c r="BI15" s="19">
        <v>421902</v>
      </c>
      <c r="BJ15" s="18">
        <f t="shared" si="23"/>
        <v>0.9628574754037752</v>
      </c>
      <c r="BK15" s="2"/>
      <c r="BL15" s="2"/>
    </row>
    <row r="16" spans="1:64" x14ac:dyDescent="0.3">
      <c r="A16" s="43">
        <v>7</v>
      </c>
      <c r="B16" s="8" t="s">
        <v>13</v>
      </c>
      <c r="C16" s="5">
        <v>750773</v>
      </c>
      <c r="D16" s="5">
        <v>50872</v>
      </c>
      <c r="E16" s="17">
        <f t="shared" si="0"/>
        <v>593039</v>
      </c>
      <c r="F16" s="16">
        <v>643911</v>
      </c>
      <c r="G16" s="18">
        <f t="shared" si="1"/>
        <v>0.85766403426868043</v>
      </c>
      <c r="H16" s="7">
        <v>738386</v>
      </c>
      <c r="I16" s="7">
        <v>157544</v>
      </c>
      <c r="J16" s="17">
        <f t="shared" si="2"/>
        <v>484665</v>
      </c>
      <c r="K16" s="16">
        <v>642209</v>
      </c>
      <c r="L16" s="18">
        <f t="shared" si="3"/>
        <v>0.86974698870238598</v>
      </c>
      <c r="M16" s="7">
        <v>735720</v>
      </c>
      <c r="N16" s="7">
        <v>241681</v>
      </c>
      <c r="O16" s="17">
        <f t="shared" si="4"/>
        <v>403669</v>
      </c>
      <c r="P16" s="16">
        <v>645350</v>
      </c>
      <c r="Q16" s="18">
        <f t="shared" si="5"/>
        <v>0.87716794432664602</v>
      </c>
      <c r="R16" s="7">
        <v>744442</v>
      </c>
      <c r="S16" s="7">
        <v>260242</v>
      </c>
      <c r="T16" s="17">
        <f t="shared" si="6"/>
        <v>390135</v>
      </c>
      <c r="U16" s="16">
        <v>650377</v>
      </c>
      <c r="V16" s="18">
        <f t="shared" si="7"/>
        <v>0.87364361494918341</v>
      </c>
      <c r="W16" s="7">
        <v>756644</v>
      </c>
      <c r="X16" s="7">
        <v>382047</v>
      </c>
      <c r="Y16" s="17">
        <f t="shared" si="8"/>
        <v>276812</v>
      </c>
      <c r="Z16" s="16">
        <v>658859</v>
      </c>
      <c r="AA16" s="18">
        <f t="shared" si="9"/>
        <v>0.87076485110567192</v>
      </c>
      <c r="AB16" s="28">
        <v>764172</v>
      </c>
      <c r="AC16" s="6">
        <v>477432</v>
      </c>
      <c r="AD16" s="17">
        <f t="shared" si="10"/>
        <v>186676</v>
      </c>
      <c r="AE16" s="40">
        <v>664108</v>
      </c>
      <c r="AF16" s="18">
        <f t="shared" si="11"/>
        <v>0.86905565762681702</v>
      </c>
      <c r="AG16" s="16">
        <v>777864</v>
      </c>
      <c r="AH16" s="6">
        <v>494200</v>
      </c>
      <c r="AI16" s="17">
        <f t="shared" si="12"/>
        <v>177860</v>
      </c>
      <c r="AJ16" s="16">
        <v>672060</v>
      </c>
      <c r="AK16" s="18">
        <f t="shared" si="13"/>
        <v>0.86398136435160899</v>
      </c>
      <c r="AL16" s="30">
        <v>781370</v>
      </c>
      <c r="AM16" s="6">
        <v>531886</v>
      </c>
      <c r="AN16" s="17">
        <f t="shared" si="14"/>
        <v>145972</v>
      </c>
      <c r="AO16" s="16">
        <v>677858</v>
      </c>
      <c r="AP16" s="18">
        <f t="shared" si="15"/>
        <v>0.86752498816181833</v>
      </c>
      <c r="AQ16" s="32">
        <v>767321</v>
      </c>
      <c r="AR16" s="6">
        <v>564644</v>
      </c>
      <c r="AS16" s="17">
        <f t="shared" si="16"/>
        <v>117275</v>
      </c>
      <c r="AT16" s="16">
        <v>681919</v>
      </c>
      <c r="AU16" s="18">
        <f t="shared" si="17"/>
        <v>0.88870107816676458</v>
      </c>
      <c r="AV16" s="34">
        <v>376545</v>
      </c>
      <c r="AW16" s="6">
        <v>205337</v>
      </c>
      <c r="AX16" s="17">
        <f t="shared" si="18"/>
        <v>113471</v>
      </c>
      <c r="AY16" s="19">
        <v>318808</v>
      </c>
      <c r="AZ16" s="18">
        <f t="shared" si="19"/>
        <v>0.84666640109415869</v>
      </c>
      <c r="BA16" s="36">
        <v>362039</v>
      </c>
      <c r="BB16" s="19">
        <v>229612</v>
      </c>
      <c r="BC16" s="17">
        <f t="shared" si="20"/>
        <v>92494</v>
      </c>
      <c r="BD16" s="38">
        <v>322106</v>
      </c>
      <c r="BE16" s="18">
        <f t="shared" si="21"/>
        <v>0.88969972848229062</v>
      </c>
      <c r="BF16" s="9">
        <v>717401</v>
      </c>
      <c r="BG16" s="6">
        <v>464296</v>
      </c>
      <c r="BH16" s="17">
        <f t="shared" si="22"/>
        <v>217658</v>
      </c>
      <c r="BI16" s="19">
        <v>681954</v>
      </c>
      <c r="BJ16" s="18">
        <f t="shared" si="23"/>
        <v>0.950589698090747</v>
      </c>
      <c r="BK16" s="2"/>
      <c r="BL16" s="2"/>
    </row>
    <row r="17" spans="1:64" x14ac:dyDescent="0.3">
      <c r="A17" s="43">
        <v>8</v>
      </c>
      <c r="B17" s="8" t="s">
        <v>14</v>
      </c>
      <c r="C17" s="5">
        <v>551496</v>
      </c>
      <c r="D17" s="5">
        <v>40057</v>
      </c>
      <c r="E17" s="17">
        <f t="shared" si="0"/>
        <v>477735</v>
      </c>
      <c r="F17" s="16">
        <v>517792</v>
      </c>
      <c r="G17" s="18">
        <f t="shared" si="1"/>
        <v>0.93888622945587996</v>
      </c>
      <c r="H17" s="7">
        <v>550123</v>
      </c>
      <c r="I17" s="7">
        <v>147042</v>
      </c>
      <c r="J17" s="17">
        <f t="shared" si="2"/>
        <v>371936</v>
      </c>
      <c r="K17" s="16">
        <v>518978</v>
      </c>
      <c r="L17" s="18">
        <f t="shared" si="3"/>
        <v>0.94338538835860342</v>
      </c>
      <c r="M17" s="7">
        <v>556868</v>
      </c>
      <c r="N17" s="7">
        <v>213082</v>
      </c>
      <c r="O17" s="17">
        <f t="shared" si="4"/>
        <v>312468</v>
      </c>
      <c r="P17" s="16">
        <v>525550</v>
      </c>
      <c r="Q17" s="18">
        <f t="shared" si="5"/>
        <v>0.94376046028861416</v>
      </c>
      <c r="R17" s="7">
        <v>565483</v>
      </c>
      <c r="S17" s="7">
        <v>230484</v>
      </c>
      <c r="T17" s="17">
        <f t="shared" si="6"/>
        <v>303767</v>
      </c>
      <c r="U17" s="16">
        <v>534251</v>
      </c>
      <c r="V17" s="18">
        <f t="shared" si="7"/>
        <v>0.94476933877764668</v>
      </c>
      <c r="W17" s="7">
        <v>572250</v>
      </c>
      <c r="X17" s="7">
        <v>330813</v>
      </c>
      <c r="Y17" s="17">
        <f t="shared" si="8"/>
        <v>209899</v>
      </c>
      <c r="Z17" s="16">
        <v>540712</v>
      </c>
      <c r="AA17" s="18">
        <f t="shared" si="9"/>
        <v>0.94488772389689824</v>
      </c>
      <c r="AB17" s="28">
        <v>582052</v>
      </c>
      <c r="AC17" s="6">
        <v>418470</v>
      </c>
      <c r="AD17" s="17">
        <f t="shared" si="10"/>
        <v>129253</v>
      </c>
      <c r="AE17" s="40">
        <v>547723</v>
      </c>
      <c r="AF17" s="18">
        <f t="shared" si="11"/>
        <v>0.94102073354270754</v>
      </c>
      <c r="AG17" s="16">
        <v>590940</v>
      </c>
      <c r="AH17" s="6">
        <v>429441</v>
      </c>
      <c r="AI17" s="17">
        <f t="shared" si="12"/>
        <v>125630</v>
      </c>
      <c r="AJ17" s="16">
        <v>555071</v>
      </c>
      <c r="AK17" s="18">
        <f t="shared" si="13"/>
        <v>0.93930179036788841</v>
      </c>
      <c r="AL17" s="30">
        <v>594928</v>
      </c>
      <c r="AM17" s="6">
        <v>455539</v>
      </c>
      <c r="AN17" s="17">
        <f t="shared" si="14"/>
        <v>105366</v>
      </c>
      <c r="AO17" s="16">
        <v>560905</v>
      </c>
      <c r="AP17" s="18">
        <f t="shared" si="15"/>
        <v>0.94281156711400371</v>
      </c>
      <c r="AQ17" s="32">
        <v>594970</v>
      </c>
      <c r="AR17" s="6">
        <v>474358</v>
      </c>
      <c r="AS17" s="17">
        <f t="shared" si="16"/>
        <v>92388</v>
      </c>
      <c r="AT17" s="16">
        <v>566746</v>
      </c>
      <c r="AU17" s="18">
        <f t="shared" si="17"/>
        <v>0.95256231406625547</v>
      </c>
      <c r="AV17" s="34">
        <v>254311</v>
      </c>
      <c r="AW17" s="6">
        <v>153353</v>
      </c>
      <c r="AX17" s="17">
        <f t="shared" si="18"/>
        <v>80420</v>
      </c>
      <c r="AY17" s="19">
        <v>233773</v>
      </c>
      <c r="AZ17" s="18">
        <f t="shared" si="19"/>
        <v>0.919240614837738</v>
      </c>
      <c r="BA17" s="36">
        <v>253807</v>
      </c>
      <c r="BB17" s="19">
        <v>176513</v>
      </c>
      <c r="BC17" s="17">
        <f t="shared" si="20"/>
        <v>66019</v>
      </c>
      <c r="BD17" s="38">
        <v>242532</v>
      </c>
      <c r="BE17" s="18">
        <f t="shared" si="21"/>
        <v>0.95557648134212214</v>
      </c>
      <c r="BF17" s="9">
        <v>590776</v>
      </c>
      <c r="BG17" s="6">
        <v>392458</v>
      </c>
      <c r="BH17" s="17">
        <f t="shared" si="22"/>
        <v>190045</v>
      </c>
      <c r="BI17" s="19">
        <v>582503</v>
      </c>
      <c r="BJ17" s="18">
        <f t="shared" si="23"/>
        <v>0.98599638441642856</v>
      </c>
      <c r="BK17" s="2"/>
      <c r="BL17" s="2"/>
    </row>
    <row r="18" spans="1:64" x14ac:dyDescent="0.3">
      <c r="A18" s="43">
        <v>9</v>
      </c>
      <c r="B18" s="8" t="s">
        <v>15</v>
      </c>
      <c r="C18" s="5">
        <v>1152209</v>
      </c>
      <c r="D18" s="5">
        <v>96701</v>
      </c>
      <c r="E18" s="17">
        <f t="shared" si="0"/>
        <v>955304</v>
      </c>
      <c r="F18" s="16">
        <v>1052005</v>
      </c>
      <c r="G18" s="18">
        <f t="shared" si="1"/>
        <v>0.91303313895308924</v>
      </c>
      <c r="H18" s="7">
        <v>1134246</v>
      </c>
      <c r="I18" s="7">
        <v>296243</v>
      </c>
      <c r="J18" s="17">
        <f t="shared" si="2"/>
        <v>754308</v>
      </c>
      <c r="K18" s="16">
        <v>1050551</v>
      </c>
      <c r="L18" s="18">
        <f t="shared" si="3"/>
        <v>0.92621089252243338</v>
      </c>
      <c r="M18" s="7">
        <v>1134575</v>
      </c>
      <c r="N18" s="7">
        <v>408655</v>
      </c>
      <c r="O18" s="17">
        <f t="shared" si="4"/>
        <v>647216</v>
      </c>
      <c r="P18" s="16">
        <v>1055871</v>
      </c>
      <c r="Q18" s="18">
        <f t="shared" si="5"/>
        <v>0.93063129365621489</v>
      </c>
      <c r="R18" s="7">
        <v>1163634</v>
      </c>
      <c r="S18" s="7">
        <v>440961</v>
      </c>
      <c r="T18" s="17">
        <f t="shared" si="6"/>
        <v>637400</v>
      </c>
      <c r="U18" s="16">
        <v>1078361</v>
      </c>
      <c r="V18" s="18">
        <f t="shared" si="7"/>
        <v>0.92671836677168251</v>
      </c>
      <c r="W18" s="7">
        <v>1186115</v>
      </c>
      <c r="X18" s="7">
        <v>681257</v>
      </c>
      <c r="Y18" s="17">
        <f t="shared" si="8"/>
        <v>412866</v>
      </c>
      <c r="Z18" s="16">
        <v>1094123</v>
      </c>
      <c r="AA18" s="18">
        <f t="shared" si="9"/>
        <v>0.92244259620694447</v>
      </c>
      <c r="AB18" s="28">
        <v>1210642</v>
      </c>
      <c r="AC18" s="6">
        <v>852568</v>
      </c>
      <c r="AD18" s="17">
        <f t="shared" si="10"/>
        <v>256984</v>
      </c>
      <c r="AE18" s="40">
        <v>1109552</v>
      </c>
      <c r="AF18" s="18">
        <f t="shared" si="11"/>
        <v>0.9164988493708297</v>
      </c>
      <c r="AG18" s="16">
        <v>1230797</v>
      </c>
      <c r="AH18" s="6">
        <v>870853</v>
      </c>
      <c r="AI18" s="17">
        <f t="shared" si="12"/>
        <v>255670</v>
      </c>
      <c r="AJ18" s="16">
        <v>1126523</v>
      </c>
      <c r="AK18" s="18">
        <f t="shared" si="13"/>
        <v>0.91527928651109813</v>
      </c>
      <c r="AL18" s="30">
        <v>1235793</v>
      </c>
      <c r="AM18" s="6">
        <v>922947</v>
      </c>
      <c r="AN18" s="17">
        <f t="shared" si="14"/>
        <v>215687</v>
      </c>
      <c r="AO18" s="16">
        <v>1138634</v>
      </c>
      <c r="AP18" s="18">
        <f t="shared" si="15"/>
        <v>0.92137922775092596</v>
      </c>
      <c r="AQ18" s="32">
        <v>1231355</v>
      </c>
      <c r="AR18" s="6">
        <v>965854</v>
      </c>
      <c r="AS18" s="17">
        <f t="shared" si="16"/>
        <v>183801</v>
      </c>
      <c r="AT18" s="16">
        <v>1149655</v>
      </c>
      <c r="AU18" s="18">
        <f t="shared" si="17"/>
        <v>0.93365032829687622</v>
      </c>
      <c r="AV18" s="34">
        <v>676084</v>
      </c>
      <c r="AW18" s="6">
        <v>422532</v>
      </c>
      <c r="AX18" s="17">
        <f t="shared" si="18"/>
        <v>184450</v>
      </c>
      <c r="AY18" s="19">
        <v>606982</v>
      </c>
      <c r="AZ18" s="18">
        <f t="shared" si="19"/>
        <v>0.89779080705947778</v>
      </c>
      <c r="BA18" s="36">
        <v>651597</v>
      </c>
      <c r="BB18" s="19">
        <v>466341</v>
      </c>
      <c r="BC18" s="17">
        <f t="shared" si="20"/>
        <v>154178</v>
      </c>
      <c r="BD18" s="38">
        <v>620519</v>
      </c>
      <c r="BE18" s="18">
        <f t="shared" si="21"/>
        <v>0.95230487555958665</v>
      </c>
      <c r="BF18" s="9">
        <v>1203078</v>
      </c>
      <c r="BG18" s="6">
        <v>819148</v>
      </c>
      <c r="BH18" s="17">
        <f t="shared" si="22"/>
        <v>356602</v>
      </c>
      <c r="BI18" s="19">
        <v>1175750</v>
      </c>
      <c r="BJ18" s="18">
        <f t="shared" si="23"/>
        <v>0.9772849308191156</v>
      </c>
      <c r="BK18" s="2"/>
      <c r="BL18" s="2"/>
    </row>
    <row r="19" spans="1:64" x14ac:dyDescent="0.3">
      <c r="A19" s="44">
        <v>10</v>
      </c>
      <c r="B19" s="8" t="s">
        <v>16</v>
      </c>
      <c r="C19" s="5">
        <v>319318</v>
      </c>
      <c r="D19" s="5">
        <v>26977</v>
      </c>
      <c r="E19" s="17">
        <f t="shared" si="0"/>
        <v>264721</v>
      </c>
      <c r="F19" s="16">
        <v>291698</v>
      </c>
      <c r="G19" s="18">
        <f t="shared" si="1"/>
        <v>0.91350315359610168</v>
      </c>
      <c r="H19" s="7">
        <v>318723</v>
      </c>
      <c r="I19" s="7">
        <v>74079</v>
      </c>
      <c r="J19" s="17">
        <f t="shared" si="2"/>
        <v>219284</v>
      </c>
      <c r="K19" s="16">
        <v>293363</v>
      </c>
      <c r="L19" s="18">
        <f t="shared" si="3"/>
        <v>0.92043247584893462</v>
      </c>
      <c r="M19" s="7">
        <v>326795</v>
      </c>
      <c r="N19" s="7">
        <v>72696</v>
      </c>
      <c r="O19" s="17">
        <f t="shared" si="4"/>
        <v>226820</v>
      </c>
      <c r="P19" s="16">
        <v>299516</v>
      </c>
      <c r="Q19" s="18">
        <f t="shared" si="5"/>
        <v>0.91652565063724967</v>
      </c>
      <c r="R19" s="7">
        <v>336400</v>
      </c>
      <c r="S19" s="7">
        <v>84592</v>
      </c>
      <c r="T19" s="17">
        <f t="shared" si="6"/>
        <v>220416</v>
      </c>
      <c r="U19" s="16">
        <v>305008</v>
      </c>
      <c r="V19" s="18">
        <f t="shared" si="7"/>
        <v>0.90668252080856127</v>
      </c>
      <c r="W19" s="7">
        <v>343478</v>
      </c>
      <c r="X19" s="7">
        <v>158518</v>
      </c>
      <c r="Y19" s="17">
        <f t="shared" si="8"/>
        <v>151054</v>
      </c>
      <c r="Z19" s="16">
        <v>309572</v>
      </c>
      <c r="AA19" s="18">
        <f t="shared" si="9"/>
        <v>0.9012862541414588</v>
      </c>
      <c r="AB19" s="28">
        <v>355383</v>
      </c>
      <c r="AC19" s="6">
        <v>221921</v>
      </c>
      <c r="AD19" s="17">
        <f t="shared" si="10"/>
        <v>93729</v>
      </c>
      <c r="AE19" s="40">
        <v>315650</v>
      </c>
      <c r="AF19" s="18">
        <f t="shared" si="11"/>
        <v>0.88819667795026769</v>
      </c>
      <c r="AG19" s="16">
        <v>365633</v>
      </c>
      <c r="AH19" s="6">
        <v>212057</v>
      </c>
      <c r="AI19" s="17">
        <f t="shared" si="12"/>
        <v>109291</v>
      </c>
      <c r="AJ19" s="16">
        <v>321348</v>
      </c>
      <c r="AK19" s="18">
        <f t="shared" si="13"/>
        <v>0.87888128259757736</v>
      </c>
      <c r="AL19" s="30">
        <v>370137</v>
      </c>
      <c r="AM19" s="6">
        <v>239961</v>
      </c>
      <c r="AN19" s="17">
        <f t="shared" si="14"/>
        <v>84854</v>
      </c>
      <c r="AO19" s="16">
        <v>324815</v>
      </c>
      <c r="AP19" s="18">
        <f t="shared" si="15"/>
        <v>0.87755344642659339</v>
      </c>
      <c r="AQ19" s="32">
        <v>372999</v>
      </c>
      <c r="AR19" s="6">
        <v>261867</v>
      </c>
      <c r="AS19" s="17">
        <f t="shared" si="16"/>
        <v>67759</v>
      </c>
      <c r="AT19" s="16">
        <v>329626</v>
      </c>
      <c r="AU19" s="18">
        <f t="shared" si="17"/>
        <v>0.8837181869120293</v>
      </c>
      <c r="AV19" s="34">
        <v>223052</v>
      </c>
      <c r="AW19" s="6">
        <v>108992</v>
      </c>
      <c r="AX19" s="17">
        <f t="shared" si="18"/>
        <v>71738</v>
      </c>
      <c r="AY19" s="19">
        <v>180730</v>
      </c>
      <c r="AZ19" s="18">
        <f t="shared" si="19"/>
        <v>0.81025949106038053</v>
      </c>
      <c r="BA19" s="36">
        <v>218640</v>
      </c>
      <c r="BB19" s="19">
        <v>129207</v>
      </c>
      <c r="BC19" s="17">
        <f t="shared" si="20"/>
        <v>58337</v>
      </c>
      <c r="BD19" s="38">
        <v>187544</v>
      </c>
      <c r="BE19" s="18">
        <f t="shared" si="21"/>
        <v>0.85777533845590925</v>
      </c>
      <c r="BF19" s="9">
        <v>376756</v>
      </c>
      <c r="BG19" s="6">
        <v>224983</v>
      </c>
      <c r="BH19" s="17">
        <f t="shared" si="22"/>
        <v>121138</v>
      </c>
      <c r="BI19" s="19">
        <v>346121</v>
      </c>
      <c r="BJ19" s="18">
        <f t="shared" si="23"/>
        <v>0.9186874263449023</v>
      </c>
      <c r="BK19" s="2"/>
      <c r="BL19" s="2"/>
    </row>
    <row r="20" spans="1:64" x14ac:dyDescent="0.3">
      <c r="A20" s="44">
        <v>11</v>
      </c>
      <c r="B20" s="8" t="s">
        <v>17</v>
      </c>
      <c r="C20" s="5">
        <v>7507</v>
      </c>
      <c r="D20" s="5">
        <v>1112</v>
      </c>
      <c r="E20" s="17">
        <f t="shared" si="0"/>
        <v>5542</v>
      </c>
      <c r="F20" s="16">
        <v>6654</v>
      </c>
      <c r="G20" s="18">
        <f t="shared" si="1"/>
        <v>0.8863727187957906</v>
      </c>
      <c r="H20" s="7">
        <v>7513</v>
      </c>
      <c r="I20" s="7">
        <v>1952</v>
      </c>
      <c r="J20" s="17">
        <f t="shared" si="2"/>
        <v>4713</v>
      </c>
      <c r="K20" s="16">
        <v>6665</v>
      </c>
      <c r="L20" s="18">
        <f t="shared" si="3"/>
        <v>0.88712897644083588</v>
      </c>
      <c r="M20" s="7">
        <v>7574</v>
      </c>
      <c r="N20" s="7">
        <v>2307</v>
      </c>
      <c r="O20" s="17">
        <f t="shared" si="4"/>
        <v>4407</v>
      </c>
      <c r="P20" s="16">
        <v>6714</v>
      </c>
      <c r="Q20" s="18">
        <f t="shared" si="5"/>
        <v>0.88645365724848169</v>
      </c>
      <c r="R20" s="7">
        <v>7650</v>
      </c>
      <c r="S20" s="7">
        <v>2480</v>
      </c>
      <c r="T20" s="17">
        <f t="shared" si="6"/>
        <v>4276</v>
      </c>
      <c r="U20" s="16">
        <v>6756</v>
      </c>
      <c r="V20" s="18">
        <f t="shared" si="7"/>
        <v>0.88313725490196082</v>
      </c>
      <c r="W20" s="7">
        <v>7695</v>
      </c>
      <c r="X20" s="7">
        <v>3248</v>
      </c>
      <c r="Y20" s="17">
        <f t="shared" si="8"/>
        <v>3525</v>
      </c>
      <c r="Z20" s="16">
        <v>6773</v>
      </c>
      <c r="AA20" s="18">
        <f t="shared" si="9"/>
        <v>0.88018193632228725</v>
      </c>
      <c r="AB20" s="28">
        <v>7706</v>
      </c>
      <c r="AC20" s="6">
        <v>4478</v>
      </c>
      <c r="AD20" s="17">
        <f t="shared" si="10"/>
        <v>2303</v>
      </c>
      <c r="AE20" s="40">
        <v>6781</v>
      </c>
      <c r="AF20" s="18">
        <f t="shared" si="11"/>
        <v>0.87996366467687515</v>
      </c>
      <c r="AG20" s="16">
        <v>7795</v>
      </c>
      <c r="AH20" s="6">
        <v>4312</v>
      </c>
      <c r="AI20" s="17">
        <f t="shared" si="12"/>
        <v>2502</v>
      </c>
      <c r="AJ20" s="16">
        <v>6814</v>
      </c>
      <c r="AK20" s="18">
        <f t="shared" si="13"/>
        <v>0.87415009621552275</v>
      </c>
      <c r="AL20" s="30">
        <v>7846</v>
      </c>
      <c r="AM20" s="6">
        <v>4771</v>
      </c>
      <c r="AN20" s="17">
        <f t="shared" si="14"/>
        <v>2099</v>
      </c>
      <c r="AO20" s="16">
        <v>6870</v>
      </c>
      <c r="AP20" s="18">
        <f t="shared" si="15"/>
        <v>0.87560540402752995</v>
      </c>
      <c r="AQ20" s="32">
        <v>7893</v>
      </c>
      <c r="AR20" s="6">
        <v>5046</v>
      </c>
      <c r="AS20" s="17">
        <f t="shared" si="16"/>
        <v>1866</v>
      </c>
      <c r="AT20" s="16">
        <v>6912</v>
      </c>
      <c r="AU20" s="18">
        <f t="shared" si="17"/>
        <v>0.87571265678449262</v>
      </c>
      <c r="AV20" s="34">
        <v>5264</v>
      </c>
      <c r="AW20" s="6">
        <v>2499</v>
      </c>
      <c r="AX20" s="17">
        <f t="shared" si="18"/>
        <v>1765</v>
      </c>
      <c r="AY20" s="19">
        <v>4264</v>
      </c>
      <c r="AZ20" s="18">
        <f t="shared" si="19"/>
        <v>0.8100303951367781</v>
      </c>
      <c r="BA20" s="36">
        <v>5086</v>
      </c>
      <c r="BB20" s="19">
        <v>2841</v>
      </c>
      <c r="BC20" s="17">
        <f t="shared" si="20"/>
        <v>1541</v>
      </c>
      <c r="BD20" s="38">
        <v>4382</v>
      </c>
      <c r="BE20" s="18">
        <f t="shared" si="21"/>
        <v>0.86158081006685017</v>
      </c>
      <c r="BF20" s="9">
        <v>7885</v>
      </c>
      <c r="BG20" s="6">
        <v>4639</v>
      </c>
      <c r="BH20" s="17">
        <f t="shared" si="22"/>
        <v>2622</v>
      </c>
      <c r="BI20" s="19">
        <v>7261</v>
      </c>
      <c r="BJ20" s="18">
        <f t="shared" si="23"/>
        <v>0.92086239695624605</v>
      </c>
      <c r="BK20" s="2"/>
      <c r="BL20" s="2"/>
    </row>
    <row r="21" spans="1:64" x14ac:dyDescent="0.3">
      <c r="A21" s="44">
        <v>12</v>
      </c>
      <c r="B21" s="8" t="s">
        <v>18</v>
      </c>
      <c r="C21" s="5">
        <v>12439</v>
      </c>
      <c r="D21" s="5">
        <v>1318</v>
      </c>
      <c r="E21" s="17">
        <f t="shared" si="0"/>
        <v>8231</v>
      </c>
      <c r="F21" s="16">
        <v>9549</v>
      </c>
      <c r="G21" s="18">
        <f t="shared" si="1"/>
        <v>0.76766621111021782</v>
      </c>
      <c r="H21" s="7">
        <v>11980</v>
      </c>
      <c r="I21" s="7">
        <v>2024</v>
      </c>
      <c r="J21" s="17">
        <f t="shared" si="2"/>
        <v>7504</v>
      </c>
      <c r="K21" s="16">
        <v>9528</v>
      </c>
      <c r="L21" s="18">
        <f t="shared" si="3"/>
        <v>0.79532554257095156</v>
      </c>
      <c r="M21" s="7">
        <v>12071</v>
      </c>
      <c r="N21" s="7">
        <v>2464</v>
      </c>
      <c r="O21" s="17">
        <f t="shared" si="4"/>
        <v>7110</v>
      </c>
      <c r="P21" s="16">
        <v>9574</v>
      </c>
      <c r="Q21" s="18">
        <f t="shared" si="5"/>
        <v>0.79314058487283567</v>
      </c>
      <c r="R21" s="7">
        <v>12276</v>
      </c>
      <c r="S21" s="7">
        <v>2794</v>
      </c>
      <c r="T21" s="17">
        <f t="shared" si="6"/>
        <v>6864</v>
      </c>
      <c r="U21" s="16">
        <v>9658</v>
      </c>
      <c r="V21" s="18">
        <f t="shared" si="7"/>
        <v>0.78673835125448033</v>
      </c>
      <c r="W21" s="7">
        <v>12473</v>
      </c>
      <c r="X21" s="7">
        <v>4103</v>
      </c>
      <c r="Y21" s="17">
        <f t="shared" si="8"/>
        <v>5674</v>
      </c>
      <c r="Z21" s="16">
        <v>9777</v>
      </c>
      <c r="AA21" s="18">
        <f t="shared" si="9"/>
        <v>0.78385312274512953</v>
      </c>
      <c r="AB21" s="28">
        <v>12614</v>
      </c>
      <c r="AC21" s="6">
        <v>5048</v>
      </c>
      <c r="AD21" s="17">
        <f t="shared" si="10"/>
        <v>4750</v>
      </c>
      <c r="AE21" s="40">
        <v>9798</v>
      </c>
      <c r="AF21" s="18">
        <f t="shared" si="11"/>
        <v>0.77675598541303315</v>
      </c>
      <c r="AG21" s="16">
        <v>12787</v>
      </c>
      <c r="AH21" s="6">
        <v>5389</v>
      </c>
      <c r="AI21" s="17">
        <f t="shared" si="12"/>
        <v>4525</v>
      </c>
      <c r="AJ21" s="16">
        <v>9914</v>
      </c>
      <c r="AK21" s="18">
        <f t="shared" si="13"/>
        <v>0.77531868303745988</v>
      </c>
      <c r="AL21" s="30">
        <v>12973</v>
      </c>
      <c r="AM21" s="6">
        <v>5652</v>
      </c>
      <c r="AN21" s="17">
        <f t="shared" si="14"/>
        <v>4377</v>
      </c>
      <c r="AO21" s="16">
        <v>10029</v>
      </c>
      <c r="AP21" s="18">
        <f t="shared" si="15"/>
        <v>0.77306713944345951</v>
      </c>
      <c r="AQ21" s="32">
        <v>13123</v>
      </c>
      <c r="AR21" s="6">
        <v>6296</v>
      </c>
      <c r="AS21" s="17">
        <f t="shared" si="16"/>
        <v>3837</v>
      </c>
      <c r="AT21" s="16">
        <v>10133</v>
      </c>
      <c r="AU21" s="18">
        <f t="shared" si="17"/>
        <v>0.77215575706774364</v>
      </c>
      <c r="AV21" s="34">
        <v>9471</v>
      </c>
      <c r="AW21" s="6">
        <v>3108</v>
      </c>
      <c r="AX21" s="17">
        <f t="shared" si="18"/>
        <v>3524</v>
      </c>
      <c r="AY21" s="19">
        <v>6632</v>
      </c>
      <c r="AZ21" s="18">
        <f t="shared" si="19"/>
        <v>0.70024284658431002</v>
      </c>
      <c r="BA21" s="36">
        <v>9338</v>
      </c>
      <c r="BB21" s="19">
        <v>3491</v>
      </c>
      <c r="BC21" s="17">
        <f t="shared" si="20"/>
        <v>3257</v>
      </c>
      <c r="BD21" s="38">
        <v>6748</v>
      </c>
      <c r="BE21" s="18">
        <f t="shared" si="21"/>
        <v>0.72263868065967019</v>
      </c>
      <c r="BF21" s="9">
        <v>12705</v>
      </c>
      <c r="BG21" s="6">
        <v>5283</v>
      </c>
      <c r="BH21" s="17">
        <f t="shared" si="22"/>
        <v>5108</v>
      </c>
      <c r="BI21" s="19">
        <v>10391</v>
      </c>
      <c r="BJ21" s="18">
        <f t="shared" si="23"/>
        <v>0.81786698150334514</v>
      </c>
      <c r="BK21" s="2"/>
      <c r="BL21" s="2"/>
    </row>
    <row r="22" spans="1:64" x14ac:dyDescent="0.3">
      <c r="A22" s="44">
        <v>13</v>
      </c>
      <c r="B22" s="8" t="s">
        <v>19</v>
      </c>
      <c r="C22" s="5">
        <v>6695</v>
      </c>
      <c r="D22" s="5">
        <v>924</v>
      </c>
      <c r="E22" s="17">
        <f t="shared" si="0"/>
        <v>4687</v>
      </c>
      <c r="F22" s="16">
        <v>5611</v>
      </c>
      <c r="G22" s="18">
        <f t="shared" si="1"/>
        <v>0.83808812546676625</v>
      </c>
      <c r="H22" s="7">
        <v>6654</v>
      </c>
      <c r="I22" s="7">
        <v>1406</v>
      </c>
      <c r="J22" s="17">
        <f t="shared" si="2"/>
        <v>4204</v>
      </c>
      <c r="K22" s="16">
        <v>5610</v>
      </c>
      <c r="L22" s="18">
        <f t="shared" si="3"/>
        <v>0.84310189359783594</v>
      </c>
      <c r="M22" s="7">
        <v>6636</v>
      </c>
      <c r="N22" s="7">
        <v>1894</v>
      </c>
      <c r="O22" s="17">
        <f t="shared" si="4"/>
        <v>3736</v>
      </c>
      <c r="P22" s="16">
        <v>5630</v>
      </c>
      <c r="Q22" s="18">
        <f t="shared" si="5"/>
        <v>0.84840265220012057</v>
      </c>
      <c r="R22" s="7">
        <v>6730</v>
      </c>
      <c r="S22" s="7">
        <v>1759</v>
      </c>
      <c r="T22" s="17">
        <f t="shared" si="6"/>
        <v>3931</v>
      </c>
      <c r="U22" s="16">
        <v>5690</v>
      </c>
      <c r="V22" s="18">
        <f t="shared" si="7"/>
        <v>0.84546805349182763</v>
      </c>
      <c r="W22" s="7">
        <v>6785</v>
      </c>
      <c r="X22" s="7">
        <v>2722</v>
      </c>
      <c r="Y22" s="17">
        <f t="shared" si="8"/>
        <v>3024</v>
      </c>
      <c r="Z22" s="16">
        <v>5746</v>
      </c>
      <c r="AA22" s="18">
        <f t="shared" si="9"/>
        <v>0.84686809137803976</v>
      </c>
      <c r="AB22" s="28">
        <v>6814</v>
      </c>
      <c r="AC22" s="6">
        <v>3358</v>
      </c>
      <c r="AD22" s="17">
        <f t="shared" si="10"/>
        <v>2430</v>
      </c>
      <c r="AE22" s="40">
        <v>5788</v>
      </c>
      <c r="AF22" s="18">
        <f t="shared" si="11"/>
        <v>0.84942764895802758</v>
      </c>
      <c r="AG22" s="16">
        <v>6964</v>
      </c>
      <c r="AH22" s="6">
        <v>3438</v>
      </c>
      <c r="AI22" s="17">
        <f t="shared" si="12"/>
        <v>2424</v>
      </c>
      <c r="AJ22" s="16">
        <v>5862</v>
      </c>
      <c r="AK22" s="18">
        <f t="shared" si="13"/>
        <v>0.84175761056863874</v>
      </c>
      <c r="AL22" s="30">
        <v>7048</v>
      </c>
      <c r="AM22" s="6">
        <v>3742</v>
      </c>
      <c r="AN22" s="17">
        <f t="shared" si="14"/>
        <v>2210</v>
      </c>
      <c r="AO22" s="16">
        <v>5952</v>
      </c>
      <c r="AP22" s="18">
        <f t="shared" si="15"/>
        <v>0.8444948921679909</v>
      </c>
      <c r="AQ22" s="32">
        <v>7088</v>
      </c>
      <c r="AR22" s="6">
        <v>3958</v>
      </c>
      <c r="AS22" s="17">
        <f t="shared" si="16"/>
        <v>2052</v>
      </c>
      <c r="AT22" s="16">
        <v>6010</v>
      </c>
      <c r="AU22" s="18">
        <f t="shared" si="17"/>
        <v>0.84791196388261847</v>
      </c>
      <c r="AV22" s="34">
        <v>5686</v>
      </c>
      <c r="AW22" s="6">
        <v>2712</v>
      </c>
      <c r="AX22" s="17">
        <f t="shared" si="18"/>
        <v>1945</v>
      </c>
      <c r="AY22" s="19">
        <v>4657</v>
      </c>
      <c r="AZ22" s="18">
        <f t="shared" si="19"/>
        <v>0.81902919451283851</v>
      </c>
      <c r="BA22" s="36">
        <v>5621</v>
      </c>
      <c r="BB22" s="19">
        <v>3025</v>
      </c>
      <c r="BC22" s="17">
        <f t="shared" si="20"/>
        <v>1715</v>
      </c>
      <c r="BD22" s="38">
        <v>4740</v>
      </c>
      <c r="BE22" s="18">
        <f t="shared" si="21"/>
        <v>0.84326632271837754</v>
      </c>
      <c r="BF22" s="9">
        <v>6948</v>
      </c>
      <c r="BG22" s="6">
        <v>3478</v>
      </c>
      <c r="BH22" s="17">
        <f t="shared" si="22"/>
        <v>2656</v>
      </c>
      <c r="BI22" s="19">
        <v>6134</v>
      </c>
      <c r="BJ22" s="18">
        <f t="shared" si="23"/>
        <v>0.88284398388025331</v>
      </c>
      <c r="BK22" s="2"/>
      <c r="BL22" s="2"/>
    </row>
    <row r="23" spans="1:64" x14ac:dyDescent="0.3">
      <c r="A23" s="44">
        <v>14</v>
      </c>
      <c r="B23" s="8" t="s">
        <v>20</v>
      </c>
      <c r="C23" s="5">
        <v>10507</v>
      </c>
      <c r="D23" s="5">
        <v>722</v>
      </c>
      <c r="E23" s="17">
        <f t="shared" si="0"/>
        <v>7182</v>
      </c>
      <c r="F23" s="16">
        <v>7904</v>
      </c>
      <c r="G23" s="18">
        <f t="shared" si="1"/>
        <v>0.75226039783001808</v>
      </c>
      <c r="H23" s="7">
        <v>10513</v>
      </c>
      <c r="I23" s="7">
        <v>1321</v>
      </c>
      <c r="J23" s="17">
        <f t="shared" si="2"/>
        <v>6556</v>
      </c>
      <c r="K23" s="16">
        <v>7877</v>
      </c>
      <c r="L23" s="18">
        <f t="shared" si="3"/>
        <v>0.74926281746409207</v>
      </c>
      <c r="M23" s="7">
        <v>10608</v>
      </c>
      <c r="N23" s="7">
        <v>2268</v>
      </c>
      <c r="O23" s="17">
        <f t="shared" si="4"/>
        <v>5659</v>
      </c>
      <c r="P23" s="16">
        <v>7927</v>
      </c>
      <c r="Q23" s="18">
        <f t="shared" si="5"/>
        <v>0.74726621417797889</v>
      </c>
      <c r="R23" s="7">
        <v>10870</v>
      </c>
      <c r="S23" s="7">
        <v>1660</v>
      </c>
      <c r="T23" s="17">
        <f t="shared" si="6"/>
        <v>6390</v>
      </c>
      <c r="U23" s="16">
        <v>8050</v>
      </c>
      <c r="V23" s="18">
        <f t="shared" si="7"/>
        <v>0.74057037718491259</v>
      </c>
      <c r="W23" s="7">
        <v>11132</v>
      </c>
      <c r="X23" s="7">
        <v>3026</v>
      </c>
      <c r="Y23" s="17">
        <f t="shared" si="8"/>
        <v>5126</v>
      </c>
      <c r="Z23" s="16">
        <v>8152</v>
      </c>
      <c r="AA23" s="18">
        <f t="shared" si="9"/>
        <v>0.73230326985267702</v>
      </c>
      <c r="AB23" s="28">
        <v>11315</v>
      </c>
      <c r="AC23" s="6">
        <v>3730</v>
      </c>
      <c r="AD23" s="17">
        <f t="shared" si="10"/>
        <v>4468</v>
      </c>
      <c r="AE23" s="40">
        <v>8198</v>
      </c>
      <c r="AF23" s="18">
        <f t="shared" si="11"/>
        <v>0.72452496685815293</v>
      </c>
      <c r="AG23" s="16">
        <v>11545</v>
      </c>
      <c r="AH23" s="6">
        <v>4085</v>
      </c>
      <c r="AI23" s="17">
        <f t="shared" si="12"/>
        <v>4260</v>
      </c>
      <c r="AJ23" s="16">
        <v>8345</v>
      </c>
      <c r="AK23" s="18">
        <f t="shared" si="13"/>
        <v>0.72282373321784321</v>
      </c>
      <c r="AL23" s="30">
        <v>11604</v>
      </c>
      <c r="AM23" s="6">
        <v>4654</v>
      </c>
      <c r="AN23" s="17">
        <f t="shared" si="14"/>
        <v>3798</v>
      </c>
      <c r="AO23" s="16">
        <v>8452</v>
      </c>
      <c r="AP23" s="18">
        <f t="shared" si="15"/>
        <v>0.72836952774905206</v>
      </c>
      <c r="AQ23" s="32">
        <v>11593</v>
      </c>
      <c r="AR23" s="6">
        <v>5280</v>
      </c>
      <c r="AS23" s="17">
        <f t="shared" si="16"/>
        <v>3290</v>
      </c>
      <c r="AT23" s="16">
        <v>8570</v>
      </c>
      <c r="AU23" s="18">
        <f t="shared" si="17"/>
        <v>0.73923919606659194</v>
      </c>
      <c r="AV23" s="34">
        <v>9713</v>
      </c>
      <c r="AW23" s="6">
        <v>3393</v>
      </c>
      <c r="AX23" s="17">
        <f t="shared" si="18"/>
        <v>3320</v>
      </c>
      <c r="AY23" s="19">
        <v>6713</v>
      </c>
      <c r="AZ23" s="18">
        <f t="shared" si="19"/>
        <v>0.69113559147534231</v>
      </c>
      <c r="BA23" s="36">
        <v>9310</v>
      </c>
      <c r="BB23" s="19">
        <v>3946</v>
      </c>
      <c r="BC23" s="17">
        <f t="shared" si="20"/>
        <v>2883</v>
      </c>
      <c r="BD23" s="38">
        <v>6829</v>
      </c>
      <c r="BE23" s="18">
        <f t="shared" si="21"/>
        <v>0.73351235230934475</v>
      </c>
      <c r="BF23" s="9">
        <v>10990</v>
      </c>
      <c r="BG23" s="6">
        <v>4656</v>
      </c>
      <c r="BH23" s="17">
        <f t="shared" si="22"/>
        <v>4116</v>
      </c>
      <c r="BI23" s="19">
        <v>8772</v>
      </c>
      <c r="BJ23" s="18">
        <f t="shared" si="23"/>
        <v>0.79818016378525936</v>
      </c>
      <c r="BK23" s="2"/>
      <c r="BL23" s="2"/>
    </row>
    <row r="24" spans="1:64" x14ac:dyDescent="0.3">
      <c r="A24" s="44">
        <v>15</v>
      </c>
      <c r="B24" s="8" t="s">
        <v>21</v>
      </c>
      <c r="C24" s="5">
        <v>6220</v>
      </c>
      <c r="D24" s="5">
        <v>1314</v>
      </c>
      <c r="E24" s="17">
        <f t="shared" si="0"/>
        <v>3478</v>
      </c>
      <c r="F24" s="16">
        <v>4792</v>
      </c>
      <c r="G24" s="18">
        <f t="shared" si="1"/>
        <v>0.77041800643086822</v>
      </c>
      <c r="H24" s="7">
        <v>6236</v>
      </c>
      <c r="I24" s="7">
        <v>1701</v>
      </c>
      <c r="J24" s="17">
        <f t="shared" si="2"/>
        <v>3108</v>
      </c>
      <c r="K24" s="16">
        <v>4809</v>
      </c>
      <c r="L24" s="18">
        <f t="shared" si="3"/>
        <v>0.7711674150096216</v>
      </c>
      <c r="M24" s="7">
        <v>6293</v>
      </c>
      <c r="N24" s="7">
        <v>2181</v>
      </c>
      <c r="O24" s="17">
        <f t="shared" si="4"/>
        <v>2656</v>
      </c>
      <c r="P24" s="16">
        <v>4837</v>
      </c>
      <c r="Q24" s="18">
        <f t="shared" si="5"/>
        <v>0.76863181312569517</v>
      </c>
      <c r="R24" s="7">
        <v>6429</v>
      </c>
      <c r="S24" s="7">
        <v>1732</v>
      </c>
      <c r="T24" s="17">
        <f t="shared" si="6"/>
        <v>3181</v>
      </c>
      <c r="U24" s="16">
        <v>4913</v>
      </c>
      <c r="V24" s="18">
        <f t="shared" si="7"/>
        <v>0.76419349821123039</v>
      </c>
      <c r="W24" s="7">
        <v>6586</v>
      </c>
      <c r="X24" s="7">
        <v>2849</v>
      </c>
      <c r="Y24" s="17">
        <f t="shared" si="8"/>
        <v>2129</v>
      </c>
      <c r="Z24" s="16">
        <v>4978</v>
      </c>
      <c r="AA24" s="18">
        <f t="shared" si="9"/>
        <v>0.75584573337382321</v>
      </c>
      <c r="AB24" s="28">
        <v>6663</v>
      </c>
      <c r="AC24" s="6">
        <v>3078</v>
      </c>
      <c r="AD24" s="17">
        <f t="shared" si="10"/>
        <v>1899</v>
      </c>
      <c r="AE24" s="40">
        <v>4977</v>
      </c>
      <c r="AF24" s="18">
        <f t="shared" si="11"/>
        <v>0.74696082845565059</v>
      </c>
      <c r="AG24" s="16">
        <v>6801</v>
      </c>
      <c r="AH24" s="6">
        <v>3260</v>
      </c>
      <c r="AI24" s="17">
        <f t="shared" si="12"/>
        <v>1785</v>
      </c>
      <c r="AJ24" s="16">
        <v>5045</v>
      </c>
      <c r="AK24" s="18">
        <f t="shared" si="13"/>
        <v>0.74180267607704753</v>
      </c>
      <c r="AL24" s="30">
        <v>6877</v>
      </c>
      <c r="AM24" s="6">
        <v>3526</v>
      </c>
      <c r="AN24" s="17">
        <f t="shared" si="14"/>
        <v>1623</v>
      </c>
      <c r="AO24" s="16">
        <v>5149</v>
      </c>
      <c r="AP24" s="18">
        <f t="shared" si="15"/>
        <v>0.74872764286752946</v>
      </c>
      <c r="AQ24" s="32">
        <v>6826</v>
      </c>
      <c r="AR24" s="6">
        <v>3847</v>
      </c>
      <c r="AS24" s="17">
        <f t="shared" si="16"/>
        <v>1425</v>
      </c>
      <c r="AT24" s="16">
        <v>5272</v>
      </c>
      <c r="AU24" s="18">
        <f t="shared" si="17"/>
        <v>0.77234104893055966</v>
      </c>
      <c r="AV24" s="34">
        <v>5390</v>
      </c>
      <c r="AW24" s="6">
        <v>2282</v>
      </c>
      <c r="AX24" s="17">
        <f t="shared" si="18"/>
        <v>1652</v>
      </c>
      <c r="AY24" s="19">
        <v>3934</v>
      </c>
      <c r="AZ24" s="18">
        <f t="shared" si="19"/>
        <v>0.72987012987012989</v>
      </c>
      <c r="BA24" s="36">
        <v>5128</v>
      </c>
      <c r="BB24" s="19">
        <v>2658</v>
      </c>
      <c r="BC24" s="17">
        <f t="shared" si="20"/>
        <v>1366</v>
      </c>
      <c r="BD24" s="38">
        <v>4024</v>
      </c>
      <c r="BE24" s="18">
        <f t="shared" si="21"/>
        <v>0.78471138845553823</v>
      </c>
      <c r="BF24" s="9">
        <v>6600</v>
      </c>
      <c r="BG24" s="6">
        <v>3725</v>
      </c>
      <c r="BH24" s="17">
        <f t="shared" si="22"/>
        <v>1738</v>
      </c>
      <c r="BI24" s="19">
        <v>5463</v>
      </c>
      <c r="BJ24" s="18">
        <f t="shared" si="23"/>
        <v>0.82772727272727276</v>
      </c>
      <c r="BK24" s="2"/>
      <c r="BL24" s="2"/>
    </row>
    <row r="25" spans="1:64" x14ac:dyDescent="0.3">
      <c r="A25" s="44">
        <v>16</v>
      </c>
      <c r="B25" s="8" t="s">
        <v>22</v>
      </c>
      <c r="C25" s="5">
        <v>24177</v>
      </c>
      <c r="D25" s="5">
        <v>2820</v>
      </c>
      <c r="E25" s="17">
        <f t="shared" si="0"/>
        <v>18484</v>
      </c>
      <c r="F25" s="16">
        <v>21304</v>
      </c>
      <c r="G25" s="18">
        <f t="shared" si="1"/>
        <v>0.88116805228109363</v>
      </c>
      <c r="H25" s="7">
        <v>24098</v>
      </c>
      <c r="I25" s="7">
        <v>6553</v>
      </c>
      <c r="J25" s="17">
        <f t="shared" si="2"/>
        <v>14753</v>
      </c>
      <c r="K25" s="16">
        <v>21306</v>
      </c>
      <c r="L25" s="18">
        <f t="shared" si="3"/>
        <v>0.88413976263590344</v>
      </c>
      <c r="M25" s="7">
        <v>24301</v>
      </c>
      <c r="N25" s="7">
        <v>8288</v>
      </c>
      <c r="O25" s="17">
        <f t="shared" si="4"/>
        <v>13171</v>
      </c>
      <c r="P25" s="16">
        <v>21459</v>
      </c>
      <c r="Q25" s="18">
        <f t="shared" si="5"/>
        <v>0.88305008024361142</v>
      </c>
      <c r="R25" s="7">
        <v>24725</v>
      </c>
      <c r="S25" s="7">
        <v>8649</v>
      </c>
      <c r="T25" s="17">
        <f t="shared" si="6"/>
        <v>13121</v>
      </c>
      <c r="U25" s="16">
        <v>21770</v>
      </c>
      <c r="V25" s="18">
        <f t="shared" si="7"/>
        <v>0.88048533872598589</v>
      </c>
      <c r="W25" s="7">
        <v>25089</v>
      </c>
      <c r="X25" s="7">
        <v>13197</v>
      </c>
      <c r="Y25" s="17">
        <f t="shared" si="8"/>
        <v>8814</v>
      </c>
      <c r="Z25" s="16">
        <v>22011</v>
      </c>
      <c r="AA25" s="18">
        <f t="shared" si="9"/>
        <v>0.87731675236159268</v>
      </c>
      <c r="AB25" s="28">
        <v>25352</v>
      </c>
      <c r="AC25" s="6">
        <v>16416</v>
      </c>
      <c r="AD25" s="17">
        <f t="shared" si="10"/>
        <v>5646</v>
      </c>
      <c r="AE25" s="40">
        <v>22062</v>
      </c>
      <c r="AF25" s="18">
        <f t="shared" si="11"/>
        <v>0.87022720100978224</v>
      </c>
      <c r="AG25" s="16">
        <v>25657</v>
      </c>
      <c r="AH25" s="6">
        <v>17064</v>
      </c>
      <c r="AI25" s="17">
        <f t="shared" si="12"/>
        <v>5217</v>
      </c>
      <c r="AJ25" s="16">
        <v>22281</v>
      </c>
      <c r="AK25" s="18">
        <f t="shared" si="13"/>
        <v>0.86841797560120049</v>
      </c>
      <c r="AL25" s="30">
        <v>25765</v>
      </c>
      <c r="AM25" s="6">
        <v>17548</v>
      </c>
      <c r="AN25" s="17">
        <f t="shared" si="14"/>
        <v>4890</v>
      </c>
      <c r="AO25" s="16">
        <v>22438</v>
      </c>
      <c r="AP25" s="18">
        <f t="shared" si="15"/>
        <v>0.87087133708519304</v>
      </c>
      <c r="AQ25" s="32">
        <v>25839</v>
      </c>
      <c r="AR25" s="6">
        <v>18150</v>
      </c>
      <c r="AS25" s="17">
        <f t="shared" si="16"/>
        <v>4565</v>
      </c>
      <c r="AT25" s="16">
        <v>22715</v>
      </c>
      <c r="AU25" s="18">
        <f t="shared" si="17"/>
        <v>0.87909748829289058</v>
      </c>
      <c r="AV25" s="34">
        <v>15838</v>
      </c>
      <c r="AW25" s="6">
        <v>8306</v>
      </c>
      <c r="AX25" s="17">
        <f t="shared" si="18"/>
        <v>4560</v>
      </c>
      <c r="AY25" s="19">
        <v>12866</v>
      </c>
      <c r="AZ25" s="18">
        <f t="shared" si="19"/>
        <v>0.81235004419749968</v>
      </c>
      <c r="BA25" s="36">
        <v>15495</v>
      </c>
      <c r="BB25" s="19">
        <v>9316</v>
      </c>
      <c r="BC25" s="17">
        <f t="shared" si="20"/>
        <v>3690</v>
      </c>
      <c r="BD25" s="38">
        <v>13006</v>
      </c>
      <c r="BE25" s="18">
        <f t="shared" si="21"/>
        <v>0.8393675379154566</v>
      </c>
      <c r="BF25" s="9">
        <v>25465</v>
      </c>
      <c r="BG25" s="6">
        <v>16009</v>
      </c>
      <c r="BH25" s="17">
        <f t="shared" si="22"/>
        <v>7137</v>
      </c>
      <c r="BI25" s="19">
        <v>23146</v>
      </c>
      <c r="BJ25" s="18">
        <f t="shared" si="23"/>
        <v>0.90893383074808565</v>
      </c>
      <c r="BK25" s="2"/>
      <c r="BL25" s="2"/>
    </row>
    <row r="26" spans="1:64" x14ac:dyDescent="0.3">
      <c r="A26" s="44">
        <v>17</v>
      </c>
      <c r="B26" s="8" t="s">
        <v>23</v>
      </c>
      <c r="C26" s="5">
        <v>26610</v>
      </c>
      <c r="D26" s="5">
        <v>4535</v>
      </c>
      <c r="E26" s="17">
        <f t="shared" si="0"/>
        <v>16271</v>
      </c>
      <c r="F26" s="16">
        <v>20806</v>
      </c>
      <c r="G26" s="18">
        <f t="shared" si="1"/>
        <v>0.78188650883126642</v>
      </c>
      <c r="H26" s="7">
        <v>26470</v>
      </c>
      <c r="I26" s="7">
        <v>8702</v>
      </c>
      <c r="J26" s="17">
        <f t="shared" si="2"/>
        <v>12057</v>
      </c>
      <c r="K26" s="16">
        <v>20759</v>
      </c>
      <c r="L26" s="18">
        <f t="shared" si="3"/>
        <v>0.78424631658481303</v>
      </c>
      <c r="M26" s="7">
        <v>25760</v>
      </c>
      <c r="N26" s="7">
        <v>9083</v>
      </c>
      <c r="O26" s="17">
        <f t="shared" si="4"/>
        <v>11614</v>
      </c>
      <c r="P26" s="16">
        <v>20697</v>
      </c>
      <c r="Q26" s="18">
        <f t="shared" si="5"/>
        <v>0.8034549689440994</v>
      </c>
      <c r="R26" s="7">
        <v>25696</v>
      </c>
      <c r="S26" s="7">
        <v>9066</v>
      </c>
      <c r="T26" s="17">
        <f t="shared" si="6"/>
        <v>11887</v>
      </c>
      <c r="U26" s="16">
        <v>20953</v>
      </c>
      <c r="V26" s="18">
        <f t="shared" si="7"/>
        <v>0.81541874221668742</v>
      </c>
      <c r="W26" s="7">
        <v>25913</v>
      </c>
      <c r="X26" s="7">
        <v>13486</v>
      </c>
      <c r="Y26" s="17">
        <f t="shared" si="8"/>
        <v>7601</v>
      </c>
      <c r="Z26" s="16">
        <v>21087</v>
      </c>
      <c r="AA26" s="18">
        <f t="shared" si="9"/>
        <v>0.81376143248562494</v>
      </c>
      <c r="AB26" s="28">
        <v>25659</v>
      </c>
      <c r="AC26" s="6">
        <v>14818</v>
      </c>
      <c r="AD26" s="17">
        <f t="shared" si="10"/>
        <v>6305</v>
      </c>
      <c r="AE26" s="40">
        <v>21123</v>
      </c>
      <c r="AF26" s="18">
        <f t="shared" si="11"/>
        <v>0.82321992283409329</v>
      </c>
      <c r="AG26" s="16">
        <v>26031</v>
      </c>
      <c r="AH26" s="6">
        <v>15157</v>
      </c>
      <c r="AI26" s="17">
        <f t="shared" si="12"/>
        <v>6209</v>
      </c>
      <c r="AJ26" s="16">
        <v>21366</v>
      </c>
      <c r="AK26" s="18">
        <f t="shared" si="13"/>
        <v>0.82079059582805114</v>
      </c>
      <c r="AL26" s="30">
        <v>26186</v>
      </c>
      <c r="AM26" s="6">
        <v>15812</v>
      </c>
      <c r="AN26" s="17">
        <f t="shared" si="14"/>
        <v>5715</v>
      </c>
      <c r="AO26" s="16">
        <v>21527</v>
      </c>
      <c r="AP26" s="18">
        <f t="shared" si="15"/>
        <v>0.82208050103108532</v>
      </c>
      <c r="AQ26" s="32">
        <v>26317</v>
      </c>
      <c r="AR26" s="6">
        <v>16667</v>
      </c>
      <c r="AS26" s="17">
        <f t="shared" si="16"/>
        <v>5046</v>
      </c>
      <c r="AT26" s="16">
        <v>21713</v>
      </c>
      <c r="AU26" s="18">
        <f t="shared" si="17"/>
        <v>0.82505604742181859</v>
      </c>
      <c r="AV26" s="34">
        <v>16878</v>
      </c>
      <c r="AW26" s="6">
        <v>7596</v>
      </c>
      <c r="AX26" s="17">
        <f t="shared" si="18"/>
        <v>4827</v>
      </c>
      <c r="AY26" s="19">
        <v>12423</v>
      </c>
      <c r="AZ26" s="18">
        <f t="shared" si="19"/>
        <v>0.73604692499111268</v>
      </c>
      <c r="BA26" s="36">
        <v>16504</v>
      </c>
      <c r="BB26" s="19">
        <v>8254</v>
      </c>
      <c r="BC26" s="17">
        <f t="shared" si="20"/>
        <v>4229</v>
      </c>
      <c r="BD26" s="38">
        <v>12483</v>
      </c>
      <c r="BE26" s="18">
        <f t="shared" si="21"/>
        <v>0.75636209403780896</v>
      </c>
      <c r="BF26" s="9">
        <v>25358</v>
      </c>
      <c r="BG26" s="6">
        <v>15642</v>
      </c>
      <c r="BH26" s="17">
        <f t="shared" si="22"/>
        <v>6172</v>
      </c>
      <c r="BI26" s="19">
        <v>21814</v>
      </c>
      <c r="BJ26" s="18">
        <f t="shared" si="23"/>
        <v>0.86024134395457053</v>
      </c>
      <c r="BK26" s="2"/>
      <c r="BL26" s="2"/>
    </row>
    <row r="27" spans="1:64" x14ac:dyDescent="0.3">
      <c r="A27" s="44">
        <v>18</v>
      </c>
      <c r="B27" s="8" t="s">
        <v>24</v>
      </c>
      <c r="C27" s="5">
        <v>145681</v>
      </c>
      <c r="D27" s="5">
        <v>14258</v>
      </c>
      <c r="E27" s="17">
        <f t="shared" si="0"/>
        <v>115196</v>
      </c>
      <c r="F27" s="16">
        <v>129454</v>
      </c>
      <c r="G27" s="18">
        <f t="shared" si="1"/>
        <v>0.88861279096107249</v>
      </c>
      <c r="H27" s="7">
        <v>145010</v>
      </c>
      <c r="I27" s="7">
        <v>31312</v>
      </c>
      <c r="J27" s="17">
        <f t="shared" si="2"/>
        <v>98117</v>
      </c>
      <c r="K27" s="16">
        <v>129429</v>
      </c>
      <c r="L27" s="18">
        <f t="shared" si="3"/>
        <v>0.892552237776705</v>
      </c>
      <c r="M27" s="7">
        <v>146684</v>
      </c>
      <c r="N27" s="7">
        <v>32596</v>
      </c>
      <c r="O27" s="17">
        <f t="shared" si="4"/>
        <v>98021</v>
      </c>
      <c r="P27" s="16">
        <v>130617</v>
      </c>
      <c r="Q27" s="18">
        <f t="shared" si="5"/>
        <v>0.8904652177469935</v>
      </c>
      <c r="R27" s="7">
        <v>151002</v>
      </c>
      <c r="S27" s="7">
        <v>37041</v>
      </c>
      <c r="T27" s="17">
        <f t="shared" si="6"/>
        <v>96125</v>
      </c>
      <c r="U27" s="16">
        <v>133166</v>
      </c>
      <c r="V27" s="18">
        <f t="shared" si="7"/>
        <v>0.88188235917405067</v>
      </c>
      <c r="W27" s="7">
        <v>153079</v>
      </c>
      <c r="X27" s="7">
        <v>61053</v>
      </c>
      <c r="Y27" s="17">
        <f t="shared" si="8"/>
        <v>73998</v>
      </c>
      <c r="Z27" s="16">
        <v>135051</v>
      </c>
      <c r="AA27" s="18">
        <f t="shared" si="9"/>
        <v>0.88223074360297626</v>
      </c>
      <c r="AB27" s="28">
        <v>156081</v>
      </c>
      <c r="AC27" s="6">
        <v>82975</v>
      </c>
      <c r="AD27" s="17">
        <f t="shared" si="10"/>
        <v>52687</v>
      </c>
      <c r="AE27" s="40">
        <v>135662</v>
      </c>
      <c r="AF27" s="18">
        <f t="shared" si="11"/>
        <v>0.86917690173691864</v>
      </c>
      <c r="AG27" s="16">
        <v>159400</v>
      </c>
      <c r="AH27" s="6">
        <v>87511</v>
      </c>
      <c r="AI27" s="17">
        <f t="shared" si="12"/>
        <v>49923</v>
      </c>
      <c r="AJ27" s="16">
        <v>137434</v>
      </c>
      <c r="AK27" s="18">
        <f t="shared" si="13"/>
        <v>0.86219573400250937</v>
      </c>
      <c r="AL27" s="30">
        <v>161009</v>
      </c>
      <c r="AM27" s="6">
        <v>92782</v>
      </c>
      <c r="AN27" s="17">
        <f t="shared" si="14"/>
        <v>46189</v>
      </c>
      <c r="AO27" s="16">
        <v>138971</v>
      </c>
      <c r="AP27" s="18">
        <f t="shared" si="15"/>
        <v>0.86312566378276989</v>
      </c>
      <c r="AQ27" s="32">
        <v>161396</v>
      </c>
      <c r="AR27" s="6">
        <v>98374</v>
      </c>
      <c r="AS27" s="17">
        <f t="shared" si="16"/>
        <v>42506</v>
      </c>
      <c r="AT27" s="16">
        <v>140880</v>
      </c>
      <c r="AU27" s="18">
        <f t="shared" si="17"/>
        <v>0.87288408634662573</v>
      </c>
      <c r="AV27" s="34">
        <v>108346</v>
      </c>
      <c r="AW27" s="6">
        <v>47301</v>
      </c>
      <c r="AX27" s="17">
        <f t="shared" si="18"/>
        <v>41833</v>
      </c>
      <c r="AY27" s="19">
        <v>89134</v>
      </c>
      <c r="AZ27" s="18">
        <f t="shared" si="19"/>
        <v>0.82267919443265092</v>
      </c>
      <c r="BA27" s="36">
        <v>101792</v>
      </c>
      <c r="BB27" s="19">
        <v>54374</v>
      </c>
      <c r="BC27" s="17">
        <f t="shared" si="20"/>
        <v>36655</v>
      </c>
      <c r="BD27" s="38">
        <v>91029</v>
      </c>
      <c r="BE27" s="18">
        <f t="shared" si="21"/>
        <v>0.8942647752279157</v>
      </c>
      <c r="BF27" s="9">
        <v>155251</v>
      </c>
      <c r="BG27" s="6">
        <v>80725</v>
      </c>
      <c r="BH27" s="17">
        <f t="shared" si="22"/>
        <v>64499</v>
      </c>
      <c r="BI27" s="19">
        <v>145224</v>
      </c>
      <c r="BJ27" s="18">
        <f t="shared" si="23"/>
        <v>0.93541426464241773</v>
      </c>
      <c r="BK27" s="2"/>
      <c r="BL27" s="2"/>
    </row>
    <row r="28" spans="1:64" x14ac:dyDescent="0.3">
      <c r="A28" s="44">
        <v>19</v>
      </c>
      <c r="B28" s="8" t="s">
        <v>25</v>
      </c>
      <c r="C28" s="5">
        <v>611179</v>
      </c>
      <c r="D28" s="5">
        <v>44424</v>
      </c>
      <c r="E28" s="17">
        <f t="shared" si="0"/>
        <v>501102</v>
      </c>
      <c r="F28" s="16">
        <v>545526</v>
      </c>
      <c r="G28" s="18">
        <f t="shared" si="1"/>
        <v>0.89257975159486824</v>
      </c>
      <c r="H28" s="7">
        <v>606429</v>
      </c>
      <c r="I28" s="7">
        <v>144542</v>
      </c>
      <c r="J28" s="17">
        <f t="shared" si="2"/>
        <v>399820</v>
      </c>
      <c r="K28" s="16">
        <v>544362</v>
      </c>
      <c r="L28" s="18">
        <f t="shared" si="3"/>
        <v>0.89765166243698769</v>
      </c>
      <c r="M28" s="7">
        <v>606073</v>
      </c>
      <c r="N28" s="7">
        <v>185650</v>
      </c>
      <c r="O28" s="17">
        <f t="shared" si="4"/>
        <v>359413</v>
      </c>
      <c r="P28" s="16">
        <v>545063</v>
      </c>
      <c r="Q28" s="18">
        <f t="shared" si="5"/>
        <v>0.89933555858782688</v>
      </c>
      <c r="R28" s="7">
        <v>610188</v>
      </c>
      <c r="S28" s="7">
        <v>189699</v>
      </c>
      <c r="T28" s="17">
        <f t="shared" si="6"/>
        <v>358947</v>
      </c>
      <c r="U28" s="16">
        <v>548646</v>
      </c>
      <c r="V28" s="18">
        <f t="shared" si="7"/>
        <v>0.89914255934236664</v>
      </c>
      <c r="W28" s="7">
        <v>613926</v>
      </c>
      <c r="X28" s="7">
        <v>310788</v>
      </c>
      <c r="Y28" s="17">
        <f t="shared" si="8"/>
        <v>240229</v>
      </c>
      <c r="Z28" s="16">
        <v>551017</v>
      </c>
      <c r="AA28" s="18">
        <f t="shared" si="9"/>
        <v>0.89752999547176693</v>
      </c>
      <c r="AB28" s="28">
        <v>616763</v>
      </c>
      <c r="AC28" s="6">
        <v>404568</v>
      </c>
      <c r="AD28" s="17">
        <f t="shared" si="10"/>
        <v>147652</v>
      </c>
      <c r="AE28" s="40">
        <v>552220</v>
      </c>
      <c r="AF28" s="18">
        <f t="shared" si="11"/>
        <v>0.8953520233866169</v>
      </c>
      <c r="AG28" s="16">
        <v>621241</v>
      </c>
      <c r="AH28" s="6">
        <v>419972</v>
      </c>
      <c r="AI28" s="17">
        <f t="shared" si="12"/>
        <v>134848</v>
      </c>
      <c r="AJ28" s="16">
        <v>554820</v>
      </c>
      <c r="AK28" s="18">
        <f t="shared" si="13"/>
        <v>0.8930833605637748</v>
      </c>
      <c r="AL28" s="30">
        <v>624748</v>
      </c>
      <c r="AM28" s="6">
        <v>438244</v>
      </c>
      <c r="AN28" s="17">
        <f t="shared" si="14"/>
        <v>120284</v>
      </c>
      <c r="AO28" s="16">
        <v>558528</v>
      </c>
      <c r="AP28" s="18">
        <f t="shared" si="15"/>
        <v>0.8940052629220101</v>
      </c>
      <c r="AQ28" s="32">
        <v>625592</v>
      </c>
      <c r="AR28" s="6">
        <v>455081</v>
      </c>
      <c r="AS28" s="17">
        <f t="shared" si="16"/>
        <v>106906</v>
      </c>
      <c r="AT28" s="16">
        <v>561987</v>
      </c>
      <c r="AU28" s="18">
        <f t="shared" si="17"/>
        <v>0.89832830343099013</v>
      </c>
      <c r="AV28" s="34">
        <v>329721</v>
      </c>
      <c r="AW28" s="6">
        <v>167188</v>
      </c>
      <c r="AX28" s="17">
        <f t="shared" si="18"/>
        <v>102399</v>
      </c>
      <c r="AY28" s="19">
        <v>269587</v>
      </c>
      <c r="AZ28" s="18">
        <f t="shared" si="19"/>
        <v>0.81762156489880844</v>
      </c>
      <c r="BA28" s="36">
        <v>323065</v>
      </c>
      <c r="BB28" s="19">
        <v>190410</v>
      </c>
      <c r="BC28" s="17">
        <f t="shared" si="20"/>
        <v>82765</v>
      </c>
      <c r="BD28" s="38">
        <v>273175</v>
      </c>
      <c r="BE28" s="18">
        <f t="shared" si="21"/>
        <v>0.84557287233219325</v>
      </c>
      <c r="BF28" s="9">
        <v>619161</v>
      </c>
      <c r="BG28" s="6">
        <v>420855</v>
      </c>
      <c r="BH28" s="17">
        <f t="shared" si="22"/>
        <v>148336</v>
      </c>
      <c r="BI28" s="19">
        <v>569191</v>
      </c>
      <c r="BJ28" s="18">
        <f t="shared" si="23"/>
        <v>0.91929401238127073</v>
      </c>
      <c r="BK28" s="2"/>
      <c r="BL28" s="2"/>
    </row>
    <row r="29" spans="1:64" x14ac:dyDescent="0.3">
      <c r="A29" s="44">
        <v>20</v>
      </c>
      <c r="B29" s="8" t="s">
        <v>26</v>
      </c>
      <c r="C29" s="5">
        <v>143479</v>
      </c>
      <c r="D29" s="5">
        <v>14433</v>
      </c>
      <c r="E29" s="17">
        <f t="shared" si="0"/>
        <v>121756</v>
      </c>
      <c r="F29" s="16">
        <v>136189</v>
      </c>
      <c r="G29" s="18">
        <f t="shared" si="1"/>
        <v>0.94919117083336235</v>
      </c>
      <c r="H29" s="7">
        <v>143225</v>
      </c>
      <c r="I29" s="7">
        <v>37002</v>
      </c>
      <c r="J29" s="17">
        <f t="shared" si="2"/>
        <v>99272</v>
      </c>
      <c r="K29" s="16">
        <v>136274</v>
      </c>
      <c r="L29" s="18">
        <f t="shared" si="3"/>
        <v>0.95146796997730843</v>
      </c>
      <c r="M29" s="7">
        <v>144577</v>
      </c>
      <c r="N29" s="7">
        <v>48201</v>
      </c>
      <c r="O29" s="17">
        <f t="shared" si="4"/>
        <v>89076</v>
      </c>
      <c r="P29" s="16">
        <v>137277</v>
      </c>
      <c r="Q29" s="18">
        <f t="shared" si="5"/>
        <v>0.94950787469652853</v>
      </c>
      <c r="R29" s="7">
        <v>147922</v>
      </c>
      <c r="S29" s="7">
        <v>50964</v>
      </c>
      <c r="T29" s="17">
        <f t="shared" si="6"/>
        <v>88487</v>
      </c>
      <c r="U29" s="16">
        <v>139451</v>
      </c>
      <c r="V29" s="18">
        <f t="shared" si="7"/>
        <v>0.94273333243195734</v>
      </c>
      <c r="W29" s="7">
        <v>150500</v>
      </c>
      <c r="X29" s="7">
        <v>78655</v>
      </c>
      <c r="Y29" s="17">
        <f t="shared" si="8"/>
        <v>62367</v>
      </c>
      <c r="Z29" s="16">
        <v>141022</v>
      </c>
      <c r="AA29" s="18">
        <f t="shared" si="9"/>
        <v>0.93702325581395352</v>
      </c>
      <c r="AB29" s="28">
        <v>153397</v>
      </c>
      <c r="AC29" s="6">
        <v>100945</v>
      </c>
      <c r="AD29" s="17">
        <f t="shared" si="10"/>
        <v>41368</v>
      </c>
      <c r="AE29" s="40">
        <v>142313</v>
      </c>
      <c r="AF29" s="18">
        <f t="shared" si="11"/>
        <v>0.92774304582227818</v>
      </c>
      <c r="AG29" s="16">
        <v>155748</v>
      </c>
      <c r="AH29" s="6">
        <v>100236</v>
      </c>
      <c r="AI29" s="17">
        <f t="shared" si="12"/>
        <v>43501</v>
      </c>
      <c r="AJ29" s="16">
        <v>143737</v>
      </c>
      <c r="AK29" s="18">
        <f t="shared" si="13"/>
        <v>0.92288183475871277</v>
      </c>
      <c r="AL29" s="30">
        <v>156900</v>
      </c>
      <c r="AM29" s="6">
        <v>110982</v>
      </c>
      <c r="AN29" s="17">
        <f t="shared" si="14"/>
        <v>34160</v>
      </c>
      <c r="AO29" s="16">
        <v>145142</v>
      </c>
      <c r="AP29" s="18">
        <f t="shared" si="15"/>
        <v>0.92506054811982152</v>
      </c>
      <c r="AQ29" s="32">
        <v>155521</v>
      </c>
      <c r="AR29" s="6">
        <v>117329</v>
      </c>
      <c r="AS29" s="17">
        <f t="shared" si="16"/>
        <v>29252</v>
      </c>
      <c r="AT29" s="16">
        <v>146581</v>
      </c>
      <c r="AU29" s="18">
        <f t="shared" si="17"/>
        <v>0.94251580172452598</v>
      </c>
      <c r="AV29" s="34">
        <v>96011</v>
      </c>
      <c r="AW29" s="6">
        <v>57497</v>
      </c>
      <c r="AX29" s="17">
        <f t="shared" si="18"/>
        <v>30577</v>
      </c>
      <c r="AY29" s="19">
        <v>88074</v>
      </c>
      <c r="AZ29" s="18">
        <f t="shared" si="19"/>
        <v>0.91733238899709413</v>
      </c>
      <c r="BA29" s="36">
        <v>92769</v>
      </c>
      <c r="BB29" s="19">
        <v>64322</v>
      </c>
      <c r="BC29" s="17">
        <f t="shared" si="20"/>
        <v>25151</v>
      </c>
      <c r="BD29" s="38">
        <v>89473</v>
      </c>
      <c r="BE29" s="18">
        <f t="shared" si="21"/>
        <v>0.96447089006025721</v>
      </c>
      <c r="BF29" s="9">
        <v>153057</v>
      </c>
      <c r="BG29" s="6">
        <v>98317</v>
      </c>
      <c r="BH29" s="17">
        <f t="shared" si="22"/>
        <v>51525</v>
      </c>
      <c r="BI29" s="19">
        <v>149842</v>
      </c>
      <c r="BJ29" s="18">
        <f t="shared" si="23"/>
        <v>0.97899475358853238</v>
      </c>
      <c r="BK29" s="2"/>
      <c r="BL29" s="2"/>
    </row>
    <row r="30" spans="1:64" x14ac:dyDescent="0.3">
      <c r="A30" s="44">
        <v>21</v>
      </c>
      <c r="B30" s="8" t="s">
        <v>27</v>
      </c>
      <c r="C30" s="5">
        <v>222881</v>
      </c>
      <c r="D30" s="5">
        <v>29275</v>
      </c>
      <c r="E30" s="17">
        <f t="shared" si="0"/>
        <v>183094</v>
      </c>
      <c r="F30" s="16">
        <v>212369</v>
      </c>
      <c r="G30" s="18">
        <f t="shared" si="1"/>
        <v>0.952835818216896</v>
      </c>
      <c r="H30" s="7">
        <v>223846</v>
      </c>
      <c r="I30" s="7">
        <v>61478</v>
      </c>
      <c r="J30" s="17">
        <f t="shared" si="2"/>
        <v>151622</v>
      </c>
      <c r="K30" s="16">
        <v>213100</v>
      </c>
      <c r="L30" s="18">
        <f t="shared" si="3"/>
        <v>0.95199378143902502</v>
      </c>
      <c r="M30" s="7">
        <v>227236</v>
      </c>
      <c r="N30" s="7">
        <v>66911</v>
      </c>
      <c r="O30" s="17">
        <f t="shared" si="4"/>
        <v>148656</v>
      </c>
      <c r="P30" s="16">
        <v>215567</v>
      </c>
      <c r="Q30" s="18">
        <f t="shared" si="5"/>
        <v>0.94864810153320778</v>
      </c>
      <c r="R30" s="7">
        <v>232779</v>
      </c>
      <c r="S30" s="7">
        <v>72021</v>
      </c>
      <c r="T30" s="17">
        <f t="shared" si="6"/>
        <v>146421</v>
      </c>
      <c r="U30" s="16">
        <v>218442</v>
      </c>
      <c r="V30" s="18">
        <f t="shared" si="7"/>
        <v>0.9384093925998479</v>
      </c>
      <c r="W30" s="7">
        <v>236990</v>
      </c>
      <c r="X30" s="7">
        <v>123443</v>
      </c>
      <c r="Y30" s="17">
        <f t="shared" si="8"/>
        <v>97446</v>
      </c>
      <c r="Z30" s="16">
        <v>220889</v>
      </c>
      <c r="AA30" s="18">
        <f t="shared" si="9"/>
        <v>0.93206042449048487</v>
      </c>
      <c r="AB30" s="28">
        <v>242455</v>
      </c>
      <c r="AC30" s="6">
        <v>163684</v>
      </c>
      <c r="AD30" s="17">
        <f t="shared" si="10"/>
        <v>59890</v>
      </c>
      <c r="AE30" s="40">
        <v>223574</v>
      </c>
      <c r="AF30" s="18">
        <f t="shared" si="11"/>
        <v>0.92212575529479701</v>
      </c>
      <c r="AG30" s="16">
        <v>245898</v>
      </c>
      <c r="AH30" s="6">
        <v>170880</v>
      </c>
      <c r="AI30" s="17">
        <f t="shared" si="12"/>
        <v>55602</v>
      </c>
      <c r="AJ30" s="16">
        <v>226482</v>
      </c>
      <c r="AK30" s="18">
        <f t="shared" si="13"/>
        <v>0.92104043139838465</v>
      </c>
      <c r="AL30" s="30">
        <v>247799</v>
      </c>
      <c r="AM30" s="6">
        <v>178345</v>
      </c>
      <c r="AN30" s="17">
        <f t="shared" si="14"/>
        <v>51263</v>
      </c>
      <c r="AO30" s="16">
        <v>229608</v>
      </c>
      <c r="AP30" s="18">
        <f t="shared" si="15"/>
        <v>0.92658969568077354</v>
      </c>
      <c r="AQ30" s="32">
        <v>248265</v>
      </c>
      <c r="AR30" s="6">
        <v>185905</v>
      </c>
      <c r="AS30" s="17">
        <f t="shared" si="16"/>
        <v>46756</v>
      </c>
      <c r="AT30" s="16">
        <v>232661</v>
      </c>
      <c r="AU30" s="18">
        <f t="shared" si="17"/>
        <v>0.93714780577205803</v>
      </c>
      <c r="AV30" s="34">
        <v>136662</v>
      </c>
      <c r="AW30" s="6">
        <v>73090</v>
      </c>
      <c r="AX30" s="17">
        <f t="shared" si="18"/>
        <v>48130</v>
      </c>
      <c r="AY30" s="19">
        <v>121220</v>
      </c>
      <c r="AZ30" s="18">
        <f t="shared" si="19"/>
        <v>0.88700589776236261</v>
      </c>
      <c r="BA30" s="36">
        <v>130439</v>
      </c>
      <c r="BB30" s="19">
        <v>85083</v>
      </c>
      <c r="BC30" s="17">
        <f t="shared" si="20"/>
        <v>39074</v>
      </c>
      <c r="BD30" s="38">
        <v>124157</v>
      </c>
      <c r="BE30" s="18">
        <f t="shared" si="21"/>
        <v>0.9518395571876509</v>
      </c>
      <c r="BF30" s="9">
        <v>245647</v>
      </c>
      <c r="BG30" s="6">
        <v>165743</v>
      </c>
      <c r="BH30" s="17">
        <f t="shared" si="22"/>
        <v>73634</v>
      </c>
      <c r="BI30" s="19">
        <v>239377</v>
      </c>
      <c r="BJ30" s="18">
        <f t="shared" si="23"/>
        <v>0.97447556860047135</v>
      </c>
      <c r="BK30" s="2"/>
      <c r="BL30" s="2"/>
    </row>
    <row r="31" spans="1:64" x14ac:dyDescent="0.3">
      <c r="A31" s="44">
        <v>22</v>
      </c>
      <c r="B31" s="8" t="s">
        <v>45</v>
      </c>
      <c r="C31" s="5">
        <v>106914</v>
      </c>
      <c r="D31" s="5">
        <v>9658</v>
      </c>
      <c r="E31" s="17">
        <f t="shared" si="0"/>
        <v>91679</v>
      </c>
      <c r="F31" s="16">
        <v>101337</v>
      </c>
      <c r="G31" s="18">
        <f t="shared" si="1"/>
        <v>0.94783657893259998</v>
      </c>
      <c r="H31" s="7">
        <v>106827</v>
      </c>
      <c r="I31" s="7">
        <v>20125</v>
      </c>
      <c r="J31" s="17">
        <f t="shared" si="2"/>
        <v>81397</v>
      </c>
      <c r="K31" s="16">
        <v>101522</v>
      </c>
      <c r="L31" s="18">
        <f t="shared" si="3"/>
        <v>0.95034026978198394</v>
      </c>
      <c r="M31" s="7">
        <v>107995</v>
      </c>
      <c r="N31" s="7">
        <v>34895</v>
      </c>
      <c r="O31" s="17">
        <f t="shared" si="4"/>
        <v>67609</v>
      </c>
      <c r="P31" s="16">
        <v>102504</v>
      </c>
      <c r="Q31" s="18">
        <f t="shared" si="5"/>
        <v>0.94915505347469786</v>
      </c>
      <c r="R31" s="7">
        <v>110315</v>
      </c>
      <c r="S31" s="7">
        <v>34826</v>
      </c>
      <c r="T31" s="17">
        <f t="shared" si="6"/>
        <v>69319</v>
      </c>
      <c r="U31" s="16">
        <v>104145</v>
      </c>
      <c r="V31" s="18">
        <f t="shared" si="7"/>
        <v>0.94406925622082216</v>
      </c>
      <c r="W31" s="7">
        <v>111481</v>
      </c>
      <c r="X31" s="7">
        <v>47133</v>
      </c>
      <c r="Y31" s="17">
        <f t="shared" si="8"/>
        <v>58151</v>
      </c>
      <c r="Z31" s="16">
        <v>105284</v>
      </c>
      <c r="AA31" s="18">
        <f t="shared" si="9"/>
        <v>0.94441205227796665</v>
      </c>
      <c r="AB31" s="28">
        <v>113499</v>
      </c>
      <c r="AC31" s="6">
        <v>63747</v>
      </c>
      <c r="AD31" s="17">
        <f t="shared" si="10"/>
        <v>42493</v>
      </c>
      <c r="AE31" s="40">
        <v>106240</v>
      </c>
      <c r="AF31" s="18">
        <f t="shared" si="11"/>
        <v>0.93604348936995041</v>
      </c>
      <c r="AG31" s="16">
        <v>114692</v>
      </c>
      <c r="AH31" s="6">
        <v>64171</v>
      </c>
      <c r="AI31" s="17">
        <f t="shared" si="12"/>
        <v>42965</v>
      </c>
      <c r="AJ31" s="16">
        <v>107136</v>
      </c>
      <c r="AK31" s="18">
        <f t="shared" si="13"/>
        <v>0.93411920622188116</v>
      </c>
      <c r="AL31" s="30">
        <v>115249</v>
      </c>
      <c r="AM31" s="6">
        <v>70741</v>
      </c>
      <c r="AN31" s="17">
        <f t="shared" si="14"/>
        <v>37327</v>
      </c>
      <c r="AO31" s="16">
        <v>108068</v>
      </c>
      <c r="AP31" s="18">
        <f t="shared" si="15"/>
        <v>0.93769143333130878</v>
      </c>
      <c r="AQ31" s="32">
        <v>115872</v>
      </c>
      <c r="AR31" s="6">
        <v>79391</v>
      </c>
      <c r="AS31" s="17">
        <f t="shared" si="16"/>
        <v>30095</v>
      </c>
      <c r="AT31" s="16">
        <v>109486</v>
      </c>
      <c r="AU31" s="18">
        <f t="shared" si="17"/>
        <v>0.94488746202706431</v>
      </c>
      <c r="AV31" s="34">
        <v>66168</v>
      </c>
      <c r="AW31" s="6">
        <v>34705</v>
      </c>
      <c r="AX31" s="17">
        <f t="shared" si="18"/>
        <v>26441</v>
      </c>
      <c r="AY31" s="19">
        <v>61146</v>
      </c>
      <c r="AZ31" s="18">
        <f t="shared" si="19"/>
        <v>0.92410228509249182</v>
      </c>
      <c r="BA31" s="36">
        <v>65704</v>
      </c>
      <c r="BB31" s="19">
        <v>38979</v>
      </c>
      <c r="BC31" s="17">
        <f t="shared" si="20"/>
        <v>24451</v>
      </c>
      <c r="BD31" s="38">
        <v>63430</v>
      </c>
      <c r="BE31" s="18">
        <f t="shared" si="21"/>
        <v>0.96539023499330334</v>
      </c>
      <c r="BF31" s="9">
        <v>116311</v>
      </c>
      <c r="BG31" s="6">
        <v>47068</v>
      </c>
      <c r="BH31" s="17">
        <f t="shared" si="22"/>
        <v>67313</v>
      </c>
      <c r="BI31" s="19">
        <v>114381</v>
      </c>
      <c r="BJ31" s="18">
        <f t="shared" si="23"/>
        <v>0.98340655655956877</v>
      </c>
      <c r="BK31" s="2"/>
      <c r="BL31" s="2"/>
    </row>
    <row r="32" spans="1:64" x14ac:dyDescent="0.3">
      <c r="A32" s="44">
        <v>23</v>
      </c>
      <c r="B32" s="8" t="s">
        <v>28</v>
      </c>
      <c r="C32" s="5">
        <v>351098</v>
      </c>
      <c r="D32" s="5">
        <v>25016</v>
      </c>
      <c r="E32" s="17">
        <f t="shared" si="0"/>
        <v>317973</v>
      </c>
      <c r="F32" s="16">
        <v>342989</v>
      </c>
      <c r="G32" s="18">
        <f t="shared" si="1"/>
        <v>0.9769038843855562</v>
      </c>
      <c r="H32" s="7">
        <v>350849</v>
      </c>
      <c r="I32" s="7">
        <v>73096</v>
      </c>
      <c r="J32" s="17">
        <f t="shared" si="2"/>
        <v>270152</v>
      </c>
      <c r="K32" s="16">
        <v>343248</v>
      </c>
      <c r="L32" s="18">
        <f t="shared" si="3"/>
        <v>0.97833540925013329</v>
      </c>
      <c r="M32" s="7">
        <v>353115</v>
      </c>
      <c r="N32" s="7">
        <v>119678</v>
      </c>
      <c r="O32" s="17">
        <f t="shared" si="4"/>
        <v>225961</v>
      </c>
      <c r="P32" s="16">
        <v>345639</v>
      </c>
      <c r="Q32" s="18">
        <f t="shared" si="5"/>
        <v>0.97882842699970263</v>
      </c>
      <c r="R32" s="7">
        <v>360296</v>
      </c>
      <c r="S32" s="7">
        <v>132558</v>
      </c>
      <c r="T32" s="17">
        <f t="shared" si="6"/>
        <v>217458</v>
      </c>
      <c r="U32" s="16">
        <v>350016</v>
      </c>
      <c r="V32" s="18">
        <f t="shared" si="7"/>
        <v>0.97146790416768436</v>
      </c>
      <c r="W32" s="7">
        <v>365792</v>
      </c>
      <c r="X32" s="7">
        <v>195704</v>
      </c>
      <c r="Y32" s="17">
        <f t="shared" si="8"/>
        <v>157706</v>
      </c>
      <c r="Z32" s="16">
        <v>353410</v>
      </c>
      <c r="AA32" s="18">
        <f t="shared" si="9"/>
        <v>0.96615016184060887</v>
      </c>
      <c r="AB32" s="28">
        <v>374326</v>
      </c>
      <c r="AC32" s="6">
        <v>254856</v>
      </c>
      <c r="AD32" s="17">
        <f t="shared" si="10"/>
        <v>102609</v>
      </c>
      <c r="AE32" s="40">
        <v>357465</v>
      </c>
      <c r="AF32" s="18">
        <f t="shared" si="11"/>
        <v>0.954956374924531</v>
      </c>
      <c r="AG32" s="16">
        <v>378033</v>
      </c>
      <c r="AH32" s="6">
        <v>254283</v>
      </c>
      <c r="AI32" s="17">
        <f t="shared" si="12"/>
        <v>106967</v>
      </c>
      <c r="AJ32" s="16">
        <v>361250</v>
      </c>
      <c r="AK32" s="18">
        <f t="shared" si="13"/>
        <v>0.95560440490644993</v>
      </c>
      <c r="AL32" s="30">
        <v>379234</v>
      </c>
      <c r="AM32" s="6">
        <v>277234</v>
      </c>
      <c r="AN32" s="17">
        <f t="shared" si="14"/>
        <v>87003</v>
      </c>
      <c r="AO32" s="16">
        <v>364237</v>
      </c>
      <c r="AP32" s="18">
        <f t="shared" si="15"/>
        <v>0.96045449511383474</v>
      </c>
      <c r="AQ32" s="32">
        <v>378853</v>
      </c>
      <c r="AR32" s="6">
        <v>300736</v>
      </c>
      <c r="AS32" s="17">
        <f t="shared" si="16"/>
        <v>66679</v>
      </c>
      <c r="AT32" s="16">
        <v>367415</v>
      </c>
      <c r="AU32" s="18">
        <f t="shared" si="17"/>
        <v>0.96980887045899067</v>
      </c>
      <c r="AV32" s="34">
        <v>171701</v>
      </c>
      <c r="AW32" s="6">
        <v>106059</v>
      </c>
      <c r="AX32" s="17">
        <f t="shared" si="18"/>
        <v>56838</v>
      </c>
      <c r="AY32" s="19">
        <v>162897</v>
      </c>
      <c r="AZ32" s="18">
        <f t="shared" si="19"/>
        <v>0.94872481814316745</v>
      </c>
      <c r="BA32" s="36">
        <v>169194</v>
      </c>
      <c r="BB32" s="19">
        <v>116811</v>
      </c>
      <c r="BC32" s="17">
        <f t="shared" si="20"/>
        <v>50525</v>
      </c>
      <c r="BD32" s="38">
        <v>167336</v>
      </c>
      <c r="BE32" s="18">
        <f t="shared" si="21"/>
        <v>0.98901852311547689</v>
      </c>
      <c r="BF32" s="9">
        <v>378386</v>
      </c>
      <c r="BG32" s="6">
        <v>199843</v>
      </c>
      <c r="BH32" s="17">
        <f t="shared" si="22"/>
        <v>176864</v>
      </c>
      <c r="BI32" s="19">
        <v>376707</v>
      </c>
      <c r="BJ32" s="18">
        <f t="shared" si="23"/>
        <v>0.99556273223639358</v>
      </c>
      <c r="BK32" s="2"/>
      <c r="BL32" s="2"/>
    </row>
    <row r="33" spans="1:64" x14ac:dyDescent="0.3">
      <c r="A33" s="44">
        <v>24</v>
      </c>
      <c r="B33" s="8" t="s">
        <v>46</v>
      </c>
      <c r="C33" s="5">
        <v>892394</v>
      </c>
      <c r="D33" s="5">
        <v>37821</v>
      </c>
      <c r="E33" s="17">
        <f t="shared" si="0"/>
        <v>808072</v>
      </c>
      <c r="F33" s="16">
        <v>845893</v>
      </c>
      <c r="G33" s="18">
        <f t="shared" si="1"/>
        <v>0.94789185046067093</v>
      </c>
      <c r="H33" s="7">
        <v>888497</v>
      </c>
      <c r="I33" s="7">
        <v>206979</v>
      </c>
      <c r="J33" s="17">
        <f t="shared" si="2"/>
        <v>639082</v>
      </c>
      <c r="K33" s="16">
        <v>846061</v>
      </c>
      <c r="L33" s="18">
        <f t="shared" si="3"/>
        <v>0.95223844312361217</v>
      </c>
      <c r="M33" s="7">
        <v>888717</v>
      </c>
      <c r="N33" s="7">
        <v>396063</v>
      </c>
      <c r="O33" s="17">
        <f t="shared" si="4"/>
        <v>454209</v>
      </c>
      <c r="P33" s="16">
        <v>850272</v>
      </c>
      <c r="Q33" s="18">
        <f t="shared" si="5"/>
        <v>0.95674100979276866</v>
      </c>
      <c r="R33" s="7">
        <v>899174</v>
      </c>
      <c r="S33" s="7">
        <v>433675</v>
      </c>
      <c r="T33" s="17">
        <f t="shared" si="6"/>
        <v>425252</v>
      </c>
      <c r="U33" s="16">
        <v>858927</v>
      </c>
      <c r="V33" s="18">
        <f t="shared" si="7"/>
        <v>0.95524003140660207</v>
      </c>
      <c r="W33" s="7">
        <v>909355</v>
      </c>
      <c r="X33" s="7">
        <v>586440</v>
      </c>
      <c r="Y33" s="17">
        <f t="shared" si="8"/>
        <v>280861</v>
      </c>
      <c r="Z33" s="16">
        <v>867301</v>
      </c>
      <c r="AA33" s="18">
        <f t="shared" si="9"/>
        <v>0.95375403445299145</v>
      </c>
      <c r="AB33" s="28">
        <v>919225</v>
      </c>
      <c r="AC33" s="6">
        <v>679924</v>
      </c>
      <c r="AD33" s="17">
        <f t="shared" si="10"/>
        <v>196760</v>
      </c>
      <c r="AE33" s="40">
        <v>876684</v>
      </c>
      <c r="AF33" s="18">
        <f t="shared" si="11"/>
        <v>0.95372079741086246</v>
      </c>
      <c r="AG33" s="16">
        <v>928340</v>
      </c>
      <c r="AH33" s="6">
        <v>649465</v>
      </c>
      <c r="AI33" s="17">
        <f t="shared" si="12"/>
        <v>235386</v>
      </c>
      <c r="AJ33" s="16">
        <v>884851</v>
      </c>
      <c r="AK33" s="18">
        <f t="shared" si="13"/>
        <v>0.95315401684727574</v>
      </c>
      <c r="AL33" s="30">
        <v>932930</v>
      </c>
      <c r="AM33" s="6">
        <v>724876</v>
      </c>
      <c r="AN33" s="17">
        <f t="shared" si="14"/>
        <v>167617</v>
      </c>
      <c r="AO33" s="16">
        <v>892493</v>
      </c>
      <c r="AP33" s="18">
        <f t="shared" si="15"/>
        <v>0.95665591201912259</v>
      </c>
      <c r="AQ33" s="32">
        <v>933808</v>
      </c>
      <c r="AR33" s="6">
        <v>768518</v>
      </c>
      <c r="AS33" s="17">
        <f t="shared" si="16"/>
        <v>132958</v>
      </c>
      <c r="AT33" s="16">
        <v>901476</v>
      </c>
      <c r="AU33" s="18">
        <f t="shared" si="17"/>
        <v>0.96537618011411341</v>
      </c>
      <c r="AV33" s="34">
        <v>471009</v>
      </c>
      <c r="AW33" s="6">
        <v>331834</v>
      </c>
      <c r="AX33" s="17">
        <f t="shared" si="18"/>
        <v>112010</v>
      </c>
      <c r="AY33" s="19">
        <v>443844</v>
      </c>
      <c r="AZ33" s="18">
        <f t="shared" si="19"/>
        <v>0.94232594281637927</v>
      </c>
      <c r="BA33" s="36">
        <v>469149</v>
      </c>
      <c r="BB33" s="19">
        <v>356663</v>
      </c>
      <c r="BC33" s="17">
        <f t="shared" si="20"/>
        <v>98010</v>
      </c>
      <c r="BD33" s="38">
        <v>454673</v>
      </c>
      <c r="BE33" s="18">
        <f t="shared" si="21"/>
        <v>0.96914413118220433</v>
      </c>
      <c r="BF33" s="9">
        <v>935950</v>
      </c>
      <c r="BG33" s="6">
        <v>699616</v>
      </c>
      <c r="BH33" s="17">
        <f t="shared" si="22"/>
        <v>222961</v>
      </c>
      <c r="BI33" s="19">
        <v>922577</v>
      </c>
      <c r="BJ33" s="18">
        <f t="shared" si="23"/>
        <v>0.98571184358138786</v>
      </c>
      <c r="BK33" s="2"/>
      <c r="BL33" s="2"/>
    </row>
    <row r="34" spans="1:64" x14ac:dyDescent="0.3">
      <c r="A34" s="44">
        <v>25</v>
      </c>
      <c r="B34" s="8" t="s">
        <v>29</v>
      </c>
      <c r="C34" s="5">
        <v>5839</v>
      </c>
      <c r="D34" s="5">
        <v>453</v>
      </c>
      <c r="E34" s="17">
        <f t="shared" si="0"/>
        <v>4986</v>
      </c>
      <c r="F34" s="16">
        <v>5439</v>
      </c>
      <c r="G34" s="18">
        <f t="shared" si="1"/>
        <v>0.9314951190272307</v>
      </c>
      <c r="H34" s="7">
        <v>5819</v>
      </c>
      <c r="I34" s="7">
        <v>1228</v>
      </c>
      <c r="J34" s="17">
        <f t="shared" si="2"/>
        <v>4200</v>
      </c>
      <c r="K34" s="16">
        <v>5428</v>
      </c>
      <c r="L34" s="18">
        <f t="shared" si="3"/>
        <v>0.93280632411067199</v>
      </c>
      <c r="M34" s="7">
        <v>5809</v>
      </c>
      <c r="N34" s="7">
        <v>2565</v>
      </c>
      <c r="O34" s="17">
        <f t="shared" si="4"/>
        <v>2844</v>
      </c>
      <c r="P34" s="16">
        <v>5409</v>
      </c>
      <c r="Q34" s="18">
        <f t="shared" si="5"/>
        <v>0.93114133241521779</v>
      </c>
      <c r="R34" s="7">
        <v>5794</v>
      </c>
      <c r="S34" s="7">
        <v>2307</v>
      </c>
      <c r="T34" s="17">
        <f t="shared" si="6"/>
        <v>3063</v>
      </c>
      <c r="U34" s="16">
        <v>5370</v>
      </c>
      <c r="V34" s="18">
        <f t="shared" si="7"/>
        <v>0.92682084915429752</v>
      </c>
      <c r="W34" s="9" t="s">
        <v>43</v>
      </c>
      <c r="X34" s="9" t="s">
        <v>43</v>
      </c>
      <c r="Y34" s="9" t="s">
        <v>43</v>
      </c>
      <c r="Z34" s="9">
        <v>3</v>
      </c>
      <c r="AA34" s="9" t="s">
        <v>43</v>
      </c>
      <c r="AB34" s="9" t="s">
        <v>43</v>
      </c>
      <c r="AC34" s="9" t="s">
        <v>43</v>
      </c>
      <c r="AD34" s="9" t="s">
        <v>43</v>
      </c>
      <c r="AE34" s="9">
        <v>0</v>
      </c>
      <c r="AF34" s="9" t="s">
        <v>43</v>
      </c>
      <c r="AG34" s="9" t="s">
        <v>43</v>
      </c>
      <c r="AH34" s="9" t="s">
        <v>43</v>
      </c>
      <c r="AI34" s="9" t="s">
        <v>43</v>
      </c>
      <c r="AJ34" s="9">
        <v>0</v>
      </c>
      <c r="AK34" s="9" t="s">
        <v>43</v>
      </c>
      <c r="AL34" s="9" t="s">
        <v>43</v>
      </c>
      <c r="AM34" s="9" t="s">
        <v>43</v>
      </c>
      <c r="AN34" s="9" t="s">
        <v>43</v>
      </c>
      <c r="AO34" s="9">
        <v>0</v>
      </c>
      <c r="AP34" s="9" t="s">
        <v>43</v>
      </c>
      <c r="AQ34" s="9" t="s">
        <v>43</v>
      </c>
      <c r="AR34" s="9" t="s">
        <v>43</v>
      </c>
      <c r="AS34" s="9" t="s">
        <v>43</v>
      </c>
      <c r="AT34" s="16">
        <v>1</v>
      </c>
      <c r="AU34" s="9" t="s">
        <v>43</v>
      </c>
      <c r="AV34" s="9" t="s">
        <v>43</v>
      </c>
      <c r="AW34" s="9" t="s">
        <v>43</v>
      </c>
      <c r="AX34" s="9" t="s">
        <v>43</v>
      </c>
      <c r="AY34" s="19">
        <v>1</v>
      </c>
      <c r="AZ34" s="9" t="s">
        <v>43</v>
      </c>
      <c r="BA34" s="9" t="s">
        <v>43</v>
      </c>
      <c r="BB34" s="9" t="s">
        <v>43</v>
      </c>
      <c r="BC34" s="9" t="s">
        <v>43</v>
      </c>
      <c r="BD34" s="9">
        <v>1</v>
      </c>
      <c r="BE34" s="9" t="s">
        <v>43</v>
      </c>
      <c r="BF34" s="9" t="s">
        <v>43</v>
      </c>
      <c r="BG34" s="9" t="s">
        <v>43</v>
      </c>
      <c r="BH34" s="9" t="s">
        <v>43</v>
      </c>
      <c r="BI34" s="19">
        <v>1</v>
      </c>
      <c r="BJ34" s="9" t="s">
        <v>43</v>
      </c>
      <c r="BK34" s="2"/>
      <c r="BL34" s="2"/>
    </row>
    <row r="35" spans="1:64" x14ac:dyDescent="0.3">
      <c r="A35" s="44">
        <v>26</v>
      </c>
      <c r="B35" s="8" t="s">
        <v>30</v>
      </c>
      <c r="C35" s="5">
        <v>8243</v>
      </c>
      <c r="D35" s="5">
        <v>686</v>
      </c>
      <c r="E35" s="17">
        <f t="shared" si="0"/>
        <v>7004</v>
      </c>
      <c r="F35" s="16">
        <v>7690</v>
      </c>
      <c r="G35" s="18">
        <f t="shared" si="1"/>
        <v>0.9329127744753124</v>
      </c>
      <c r="H35" s="7">
        <v>8217</v>
      </c>
      <c r="I35" s="7">
        <v>1726</v>
      </c>
      <c r="J35" s="17">
        <f t="shared" si="2"/>
        <v>5955</v>
      </c>
      <c r="K35" s="16">
        <v>7681</v>
      </c>
      <c r="L35" s="18">
        <f t="shared" si="3"/>
        <v>0.93476938055251313</v>
      </c>
      <c r="M35" s="7">
        <v>8277</v>
      </c>
      <c r="N35" s="7">
        <v>3434</v>
      </c>
      <c r="O35" s="17">
        <f t="shared" si="4"/>
        <v>4321</v>
      </c>
      <c r="P35" s="16">
        <v>7755</v>
      </c>
      <c r="Q35" s="18">
        <f t="shared" si="5"/>
        <v>0.93693367162015218</v>
      </c>
      <c r="R35" s="7">
        <v>13062</v>
      </c>
      <c r="S35" s="7">
        <v>3735</v>
      </c>
      <c r="T35" s="17">
        <f t="shared" si="6"/>
        <v>4069</v>
      </c>
      <c r="U35" s="16">
        <v>7804</v>
      </c>
      <c r="V35" s="18">
        <f t="shared" si="7"/>
        <v>0.59745827591486755</v>
      </c>
      <c r="W35" s="7">
        <v>14257</v>
      </c>
      <c r="X35" s="7">
        <v>7079</v>
      </c>
      <c r="Y35" s="17">
        <f t="shared" si="8"/>
        <v>6117</v>
      </c>
      <c r="Z35" s="16">
        <v>13196</v>
      </c>
      <c r="AA35" s="18">
        <f t="shared" si="9"/>
        <v>0.92558041663744128</v>
      </c>
      <c r="AB35" s="28">
        <v>14364</v>
      </c>
      <c r="AC35" s="6">
        <v>8346</v>
      </c>
      <c r="AD35" s="17">
        <f t="shared" si="10"/>
        <v>4835</v>
      </c>
      <c r="AE35" s="40">
        <v>13181</v>
      </c>
      <c r="AF35" s="18">
        <f t="shared" si="11"/>
        <v>0.91764132553606237</v>
      </c>
      <c r="AG35" s="16">
        <v>14515</v>
      </c>
      <c r="AH35" s="6">
        <v>8528</v>
      </c>
      <c r="AI35" s="17">
        <f t="shared" si="12"/>
        <v>4752</v>
      </c>
      <c r="AJ35" s="16">
        <v>13280</v>
      </c>
      <c r="AK35" s="18">
        <f t="shared" si="13"/>
        <v>0.91491560454702037</v>
      </c>
      <c r="AL35" s="30">
        <v>14537</v>
      </c>
      <c r="AM35" s="6">
        <v>9172</v>
      </c>
      <c r="AN35" s="17">
        <f t="shared" si="14"/>
        <v>4158</v>
      </c>
      <c r="AO35" s="16">
        <v>13330</v>
      </c>
      <c r="AP35" s="18">
        <f t="shared" si="15"/>
        <v>0.91697048909678747</v>
      </c>
      <c r="AQ35" s="32">
        <v>14477</v>
      </c>
      <c r="AR35" s="6">
        <v>10132</v>
      </c>
      <c r="AS35" s="17">
        <f t="shared" si="16"/>
        <v>3229</v>
      </c>
      <c r="AT35" s="16">
        <v>13361</v>
      </c>
      <c r="AU35" s="18">
        <f t="shared" si="17"/>
        <v>0.92291220556745179</v>
      </c>
      <c r="AV35" s="34">
        <v>10236</v>
      </c>
      <c r="AW35" s="6">
        <v>6279</v>
      </c>
      <c r="AX35" s="17">
        <f t="shared" si="18"/>
        <v>2933</v>
      </c>
      <c r="AY35" s="19">
        <v>9212</v>
      </c>
      <c r="AZ35" s="18">
        <f t="shared" si="19"/>
        <v>0.89996092223524815</v>
      </c>
      <c r="BA35" s="36">
        <v>10198</v>
      </c>
      <c r="BB35" s="19">
        <v>6670</v>
      </c>
      <c r="BC35" s="17">
        <f t="shared" si="20"/>
        <v>2644</v>
      </c>
      <c r="BD35" s="38">
        <v>9314</v>
      </c>
      <c r="BE35" s="18">
        <f t="shared" si="21"/>
        <v>0.91331633653657585</v>
      </c>
      <c r="BF35" s="9">
        <v>13967</v>
      </c>
      <c r="BG35" s="6">
        <v>8769</v>
      </c>
      <c r="BH35" s="17">
        <f t="shared" si="22"/>
        <v>4732</v>
      </c>
      <c r="BI35" s="19">
        <v>13501</v>
      </c>
      <c r="BJ35" s="18">
        <f t="shared" si="23"/>
        <v>0.96663564115414902</v>
      </c>
      <c r="BK35" s="2"/>
      <c r="BL35" s="2"/>
    </row>
    <row r="36" spans="1:64" x14ac:dyDescent="0.3">
      <c r="A36" s="44">
        <v>27</v>
      </c>
      <c r="B36" s="8" t="s">
        <v>47</v>
      </c>
      <c r="C36" s="5">
        <v>1379682</v>
      </c>
      <c r="D36" s="5">
        <v>71615</v>
      </c>
      <c r="E36" s="17">
        <f t="shared" si="0"/>
        <v>1190294</v>
      </c>
      <c r="F36" s="16">
        <v>1261909</v>
      </c>
      <c r="G36" s="18">
        <f t="shared" si="1"/>
        <v>0.91463757590517236</v>
      </c>
      <c r="H36" s="7">
        <v>1370063</v>
      </c>
      <c r="I36" s="7">
        <v>206895</v>
      </c>
      <c r="J36" s="17">
        <f t="shared" si="2"/>
        <v>1054977</v>
      </c>
      <c r="K36" s="16">
        <v>1261872</v>
      </c>
      <c r="L36" s="18">
        <f t="shared" si="3"/>
        <v>0.92103209852393653</v>
      </c>
      <c r="M36" s="7">
        <v>1376699</v>
      </c>
      <c r="N36" s="7">
        <v>357757</v>
      </c>
      <c r="O36" s="17">
        <f t="shared" si="4"/>
        <v>909600</v>
      </c>
      <c r="P36" s="16">
        <v>1267357</v>
      </c>
      <c r="Q36" s="18">
        <f t="shared" si="5"/>
        <v>0.92057668379217239</v>
      </c>
      <c r="R36" s="7">
        <v>1386159</v>
      </c>
      <c r="S36" s="7">
        <v>417917</v>
      </c>
      <c r="T36" s="17">
        <f t="shared" si="6"/>
        <v>856810</v>
      </c>
      <c r="U36" s="16">
        <v>1274727</v>
      </c>
      <c r="V36" s="18">
        <f t="shared" si="7"/>
        <v>0.91961095372175916</v>
      </c>
      <c r="W36" s="7">
        <v>1395892</v>
      </c>
      <c r="X36" s="7">
        <v>620883</v>
      </c>
      <c r="Y36" s="17">
        <f t="shared" si="8"/>
        <v>663050</v>
      </c>
      <c r="Z36" s="16">
        <v>1283933</v>
      </c>
      <c r="AA36" s="18">
        <f t="shared" si="9"/>
        <v>0.91979393821298494</v>
      </c>
      <c r="AB36" s="28">
        <v>1408098</v>
      </c>
      <c r="AC36" s="6">
        <v>856100</v>
      </c>
      <c r="AD36" s="17">
        <f t="shared" si="10"/>
        <v>434765</v>
      </c>
      <c r="AE36" s="40">
        <v>1290865</v>
      </c>
      <c r="AF36" s="18">
        <f t="shared" si="11"/>
        <v>0.91674372096260348</v>
      </c>
      <c r="AG36" s="16">
        <v>1413160</v>
      </c>
      <c r="AH36" s="6">
        <v>878829</v>
      </c>
      <c r="AI36" s="17">
        <f t="shared" si="12"/>
        <v>420945</v>
      </c>
      <c r="AJ36" s="16">
        <v>1299774</v>
      </c>
      <c r="AK36" s="18">
        <f t="shared" si="13"/>
        <v>0.91976421636615813</v>
      </c>
      <c r="AL36" s="30">
        <v>1410829</v>
      </c>
      <c r="AM36" s="6">
        <v>951368</v>
      </c>
      <c r="AN36" s="17">
        <f t="shared" si="14"/>
        <v>358688</v>
      </c>
      <c r="AO36" s="16">
        <v>1310056</v>
      </c>
      <c r="AP36" s="18">
        <f t="shared" si="15"/>
        <v>0.92857178297298959</v>
      </c>
      <c r="AQ36" s="32">
        <v>1406326</v>
      </c>
      <c r="AR36" s="6">
        <v>1022123</v>
      </c>
      <c r="AS36" s="17">
        <f t="shared" si="16"/>
        <v>299745</v>
      </c>
      <c r="AT36" s="16">
        <v>1321868</v>
      </c>
      <c r="AU36" s="18">
        <f t="shared" si="17"/>
        <v>0.93994422345885664</v>
      </c>
      <c r="AV36" s="34">
        <v>685252</v>
      </c>
      <c r="AW36" s="6">
        <v>383642</v>
      </c>
      <c r="AX36" s="17">
        <f t="shared" si="18"/>
        <v>251685</v>
      </c>
      <c r="AY36" s="19">
        <v>635327</v>
      </c>
      <c r="AZ36" s="18">
        <f t="shared" si="19"/>
        <v>0.92714359097091292</v>
      </c>
      <c r="BA36" s="36">
        <v>667048</v>
      </c>
      <c r="BB36" s="19">
        <v>426019</v>
      </c>
      <c r="BC36" s="17">
        <f t="shared" si="20"/>
        <v>222489</v>
      </c>
      <c r="BD36" s="38">
        <v>648508</v>
      </c>
      <c r="BE36" s="18">
        <f t="shared" si="21"/>
        <v>0.97220589822621462</v>
      </c>
      <c r="BF36" s="9">
        <v>1363993</v>
      </c>
      <c r="BG36" s="6">
        <v>866125</v>
      </c>
      <c r="BH36" s="17">
        <f t="shared" si="22"/>
        <v>477195</v>
      </c>
      <c r="BI36" s="19">
        <v>1343320</v>
      </c>
      <c r="BJ36" s="18">
        <f t="shared" si="23"/>
        <v>0.98484376386095818</v>
      </c>
      <c r="BK36" s="2"/>
      <c r="BL36" s="2"/>
    </row>
    <row r="37" spans="1:64" x14ac:dyDescent="0.3">
      <c r="A37" s="44">
        <v>29</v>
      </c>
      <c r="B37" s="8" t="s">
        <v>31</v>
      </c>
      <c r="C37" s="5">
        <v>733840</v>
      </c>
      <c r="D37" s="5">
        <v>99660</v>
      </c>
      <c r="E37" s="17">
        <f t="shared" si="0"/>
        <v>576557</v>
      </c>
      <c r="F37" s="16">
        <v>676217</v>
      </c>
      <c r="G37" s="18">
        <f t="shared" si="1"/>
        <v>0.9214774337730296</v>
      </c>
      <c r="H37" s="7">
        <v>729493</v>
      </c>
      <c r="I37" s="7">
        <v>203693</v>
      </c>
      <c r="J37" s="17">
        <f t="shared" si="2"/>
        <v>474091</v>
      </c>
      <c r="K37" s="16">
        <v>677784</v>
      </c>
      <c r="L37" s="18">
        <f t="shared" si="3"/>
        <v>0.92911652339364459</v>
      </c>
      <c r="M37" s="7">
        <v>737436</v>
      </c>
      <c r="N37" s="7">
        <v>237400</v>
      </c>
      <c r="O37" s="17">
        <f t="shared" si="4"/>
        <v>446528</v>
      </c>
      <c r="P37" s="16">
        <v>683928</v>
      </c>
      <c r="Q37" s="18">
        <f t="shared" si="5"/>
        <v>0.92744048297072557</v>
      </c>
      <c r="R37" s="7">
        <v>746987</v>
      </c>
      <c r="S37" s="7">
        <v>297116</v>
      </c>
      <c r="T37" s="17">
        <f t="shared" si="6"/>
        <v>392174</v>
      </c>
      <c r="U37" s="16">
        <v>689290</v>
      </c>
      <c r="V37" s="18">
        <f t="shared" si="7"/>
        <v>0.92276036932369643</v>
      </c>
      <c r="W37" s="7">
        <v>758127</v>
      </c>
      <c r="X37" s="7">
        <v>427206</v>
      </c>
      <c r="Y37" s="17">
        <f t="shared" si="8"/>
        <v>268436</v>
      </c>
      <c r="Z37" s="16">
        <v>695642</v>
      </c>
      <c r="AA37" s="18">
        <f t="shared" si="9"/>
        <v>0.9175797722545167</v>
      </c>
      <c r="AB37" s="28">
        <v>768520</v>
      </c>
      <c r="AC37" s="6">
        <v>505482</v>
      </c>
      <c r="AD37" s="17">
        <f t="shared" si="10"/>
        <v>196245</v>
      </c>
      <c r="AE37" s="40">
        <v>701727</v>
      </c>
      <c r="AF37" s="18">
        <f t="shared" si="11"/>
        <v>0.9130887940456982</v>
      </c>
      <c r="AG37" s="16">
        <v>770579</v>
      </c>
      <c r="AH37" s="6">
        <v>517901</v>
      </c>
      <c r="AI37" s="17">
        <f t="shared" si="12"/>
        <v>189651</v>
      </c>
      <c r="AJ37" s="16">
        <v>707552</v>
      </c>
      <c r="AK37" s="18">
        <f t="shared" si="13"/>
        <v>0.91820825638902692</v>
      </c>
      <c r="AL37" s="30">
        <v>769439</v>
      </c>
      <c r="AM37" s="6">
        <v>548857</v>
      </c>
      <c r="AN37" s="17">
        <f t="shared" si="14"/>
        <v>166241</v>
      </c>
      <c r="AO37" s="16">
        <v>715098</v>
      </c>
      <c r="AP37" s="18">
        <f t="shared" si="15"/>
        <v>0.9293758179660766</v>
      </c>
      <c r="AQ37" s="32">
        <v>769503</v>
      </c>
      <c r="AR37" s="6">
        <v>585393</v>
      </c>
      <c r="AS37" s="17">
        <f t="shared" si="16"/>
        <v>134999</v>
      </c>
      <c r="AT37" s="16">
        <v>720392</v>
      </c>
      <c r="AU37" s="18">
        <f t="shared" si="17"/>
        <v>0.93617828650440604</v>
      </c>
      <c r="AV37" s="34">
        <v>526548</v>
      </c>
      <c r="AW37" s="6">
        <v>352267</v>
      </c>
      <c r="AX37" s="17">
        <f t="shared" si="18"/>
        <v>135683</v>
      </c>
      <c r="AY37" s="19">
        <v>487950</v>
      </c>
      <c r="AZ37" s="18">
        <f t="shared" si="19"/>
        <v>0.92669614166229863</v>
      </c>
      <c r="BA37" s="36">
        <v>525083</v>
      </c>
      <c r="BB37" s="19">
        <v>378780</v>
      </c>
      <c r="BC37" s="17">
        <f t="shared" si="20"/>
        <v>117163</v>
      </c>
      <c r="BD37" s="38">
        <v>495943</v>
      </c>
      <c r="BE37" s="18">
        <f t="shared" si="21"/>
        <v>0.94450401174671428</v>
      </c>
      <c r="BF37" s="9">
        <v>765317</v>
      </c>
      <c r="BG37" s="6">
        <v>539873</v>
      </c>
      <c r="BH37" s="17">
        <f t="shared" si="22"/>
        <v>198991</v>
      </c>
      <c r="BI37" s="19">
        <v>738864</v>
      </c>
      <c r="BJ37" s="18">
        <f t="shared" si="23"/>
        <v>0.96543523794715136</v>
      </c>
      <c r="BK37" s="2"/>
      <c r="BL37" s="2"/>
    </row>
    <row r="38" spans="1:64" x14ac:dyDescent="0.3">
      <c r="A38" s="44">
        <v>30</v>
      </c>
      <c r="B38" s="8" t="s">
        <v>32</v>
      </c>
      <c r="C38" s="5">
        <v>36015</v>
      </c>
      <c r="D38" s="5">
        <v>4252</v>
      </c>
      <c r="E38" s="17">
        <f t="shared" si="0"/>
        <v>25865</v>
      </c>
      <c r="F38" s="16">
        <v>30117</v>
      </c>
      <c r="G38" s="18">
        <f t="shared" si="1"/>
        <v>0.836234902124115</v>
      </c>
      <c r="H38" s="7">
        <v>35551</v>
      </c>
      <c r="I38" s="7">
        <v>7270</v>
      </c>
      <c r="J38" s="17">
        <f t="shared" si="2"/>
        <v>22894</v>
      </c>
      <c r="K38" s="16">
        <v>30164</v>
      </c>
      <c r="L38" s="18">
        <f t="shared" si="3"/>
        <v>0.84847121037382911</v>
      </c>
      <c r="M38" s="7">
        <v>35630</v>
      </c>
      <c r="N38" s="7">
        <v>10369</v>
      </c>
      <c r="O38" s="17">
        <f t="shared" si="4"/>
        <v>19958</v>
      </c>
      <c r="P38" s="16">
        <v>30327</v>
      </c>
      <c r="Q38" s="18">
        <f t="shared" si="5"/>
        <v>0.85116474880718496</v>
      </c>
      <c r="R38" s="7">
        <v>35883</v>
      </c>
      <c r="S38" s="7">
        <v>11013</v>
      </c>
      <c r="T38" s="17">
        <f t="shared" si="6"/>
        <v>19438</v>
      </c>
      <c r="U38" s="16">
        <v>30451</v>
      </c>
      <c r="V38" s="18">
        <f t="shared" si="7"/>
        <v>0.84861912326171163</v>
      </c>
      <c r="W38" s="7">
        <v>36112</v>
      </c>
      <c r="X38" s="7">
        <v>15141</v>
      </c>
      <c r="Y38" s="17">
        <f t="shared" si="8"/>
        <v>15477</v>
      </c>
      <c r="Z38" s="16">
        <v>30618</v>
      </c>
      <c r="AA38" s="18">
        <f t="shared" si="9"/>
        <v>0.84786220646876387</v>
      </c>
      <c r="AB38" s="28">
        <v>36289</v>
      </c>
      <c r="AC38" s="6">
        <v>18972</v>
      </c>
      <c r="AD38" s="17">
        <f t="shared" si="10"/>
        <v>11716</v>
      </c>
      <c r="AE38" s="40">
        <v>30688</v>
      </c>
      <c r="AF38" s="18">
        <f t="shared" si="11"/>
        <v>0.84565570834137072</v>
      </c>
      <c r="AG38" s="16">
        <v>36624</v>
      </c>
      <c r="AH38" s="6">
        <v>19521</v>
      </c>
      <c r="AI38" s="17">
        <f t="shared" si="12"/>
        <v>11378</v>
      </c>
      <c r="AJ38" s="16">
        <v>30899</v>
      </c>
      <c r="AK38" s="18">
        <f t="shared" si="13"/>
        <v>0.84368173875054608</v>
      </c>
      <c r="AL38" s="30">
        <v>36792</v>
      </c>
      <c r="AM38" s="6">
        <v>20298</v>
      </c>
      <c r="AN38" s="17">
        <f t="shared" si="14"/>
        <v>10821</v>
      </c>
      <c r="AO38" s="16">
        <v>31119</v>
      </c>
      <c r="AP38" s="18">
        <f t="shared" si="15"/>
        <v>0.84580887149380302</v>
      </c>
      <c r="AQ38" s="32">
        <v>36918</v>
      </c>
      <c r="AR38" s="6">
        <v>22678</v>
      </c>
      <c r="AS38" s="17">
        <f t="shared" si="16"/>
        <v>8675</v>
      </c>
      <c r="AT38" s="16">
        <v>31353</v>
      </c>
      <c r="AU38" s="18">
        <f t="shared" si="17"/>
        <v>0.84926052332195678</v>
      </c>
      <c r="AV38" s="34">
        <v>23509</v>
      </c>
      <c r="AW38" s="6">
        <v>10488</v>
      </c>
      <c r="AX38" s="17">
        <f t="shared" si="18"/>
        <v>7900</v>
      </c>
      <c r="AY38" s="19">
        <v>18388</v>
      </c>
      <c r="AZ38" s="18">
        <f t="shared" si="19"/>
        <v>0.78216853120081675</v>
      </c>
      <c r="BA38" s="36">
        <v>22626</v>
      </c>
      <c r="BB38" s="19">
        <v>11473</v>
      </c>
      <c r="BC38" s="17">
        <f t="shared" si="20"/>
        <v>7091</v>
      </c>
      <c r="BD38" s="38">
        <v>18564</v>
      </c>
      <c r="BE38" s="18">
        <f t="shared" si="21"/>
        <v>0.82047202333598512</v>
      </c>
      <c r="BF38" s="9">
        <v>35459</v>
      </c>
      <c r="BG38" s="6">
        <v>20167</v>
      </c>
      <c r="BH38" s="17">
        <f t="shared" si="22"/>
        <v>11542</v>
      </c>
      <c r="BI38" s="19">
        <v>31709</v>
      </c>
      <c r="BJ38" s="18">
        <f t="shared" si="23"/>
        <v>0.89424405651597616</v>
      </c>
      <c r="BK38" s="2"/>
      <c r="BL38" s="2"/>
    </row>
    <row r="39" spans="1:64" x14ac:dyDescent="0.3">
      <c r="A39" s="44">
        <v>31</v>
      </c>
      <c r="B39" s="8" t="s">
        <v>33</v>
      </c>
      <c r="C39" s="5">
        <v>261</v>
      </c>
      <c r="D39" s="5">
        <v>27</v>
      </c>
      <c r="E39" s="17">
        <f t="shared" si="0"/>
        <v>174</v>
      </c>
      <c r="F39" s="16">
        <v>201</v>
      </c>
      <c r="G39" s="18">
        <f t="shared" si="1"/>
        <v>0.77011494252873558</v>
      </c>
      <c r="H39" s="7">
        <v>261</v>
      </c>
      <c r="I39" s="7">
        <v>44</v>
      </c>
      <c r="J39" s="17">
        <f t="shared" si="2"/>
        <v>156</v>
      </c>
      <c r="K39" s="16">
        <v>200</v>
      </c>
      <c r="L39" s="18">
        <f t="shared" si="3"/>
        <v>0.76628352490421459</v>
      </c>
      <c r="M39" s="7">
        <v>266</v>
      </c>
      <c r="N39" s="7">
        <v>67</v>
      </c>
      <c r="O39" s="17">
        <f t="shared" si="4"/>
        <v>138</v>
      </c>
      <c r="P39" s="16">
        <v>205</v>
      </c>
      <c r="Q39" s="18">
        <f t="shared" si="5"/>
        <v>0.77067669172932329</v>
      </c>
      <c r="R39" s="7">
        <v>273</v>
      </c>
      <c r="S39" s="7">
        <v>67</v>
      </c>
      <c r="T39" s="17">
        <f t="shared" si="6"/>
        <v>142</v>
      </c>
      <c r="U39" s="16">
        <v>209</v>
      </c>
      <c r="V39" s="18">
        <f t="shared" si="7"/>
        <v>0.76556776556776551</v>
      </c>
      <c r="W39" s="7">
        <v>282</v>
      </c>
      <c r="X39" s="7">
        <v>90</v>
      </c>
      <c r="Y39" s="17">
        <f t="shared" si="8"/>
        <v>128</v>
      </c>
      <c r="Z39" s="16">
        <v>218</v>
      </c>
      <c r="AA39" s="18">
        <f t="shared" si="9"/>
        <v>0.77304964539007093</v>
      </c>
      <c r="AB39" s="28">
        <v>289</v>
      </c>
      <c r="AC39" s="6">
        <v>112</v>
      </c>
      <c r="AD39" s="17">
        <f t="shared" si="10"/>
        <v>110</v>
      </c>
      <c r="AE39" s="40">
        <v>222</v>
      </c>
      <c r="AF39" s="18">
        <f t="shared" si="11"/>
        <v>0.76816608996539792</v>
      </c>
      <c r="AG39" s="16">
        <v>289</v>
      </c>
      <c r="AH39" s="6">
        <v>120</v>
      </c>
      <c r="AI39" s="17">
        <f t="shared" si="12"/>
        <v>99</v>
      </c>
      <c r="AJ39" s="16">
        <v>219</v>
      </c>
      <c r="AK39" s="18">
        <f t="shared" si="13"/>
        <v>0.75778546712802763</v>
      </c>
      <c r="AL39" s="30">
        <v>287</v>
      </c>
      <c r="AM39" s="6">
        <v>129</v>
      </c>
      <c r="AN39" s="17">
        <f t="shared" si="14"/>
        <v>92</v>
      </c>
      <c r="AO39" s="16">
        <v>221</v>
      </c>
      <c r="AP39" s="18">
        <f t="shared" si="15"/>
        <v>0.77003484320557491</v>
      </c>
      <c r="AQ39" s="32">
        <v>275</v>
      </c>
      <c r="AR39" s="6">
        <v>-2557</v>
      </c>
      <c r="AS39" s="17">
        <f t="shared" si="16"/>
        <v>2778</v>
      </c>
      <c r="AT39" s="16">
        <v>221</v>
      </c>
      <c r="AU39" s="18">
        <f t="shared" si="17"/>
        <v>0.80363636363636359</v>
      </c>
      <c r="AV39" s="34">
        <v>225</v>
      </c>
      <c r="AW39" s="6">
        <v>90</v>
      </c>
      <c r="AX39" s="17">
        <f t="shared" si="18"/>
        <v>84</v>
      </c>
      <c r="AY39" s="19">
        <v>174</v>
      </c>
      <c r="AZ39" s="18">
        <f t="shared" si="19"/>
        <v>0.77333333333333332</v>
      </c>
      <c r="BA39" s="36">
        <v>223</v>
      </c>
      <c r="BB39" s="19">
        <v>104</v>
      </c>
      <c r="BC39" s="17">
        <f t="shared" si="20"/>
        <v>76</v>
      </c>
      <c r="BD39" s="38">
        <v>180</v>
      </c>
      <c r="BE39" s="18">
        <f t="shared" si="21"/>
        <v>0.80717488789237668</v>
      </c>
      <c r="BF39" s="9">
        <v>272</v>
      </c>
      <c r="BG39" s="6">
        <v>125</v>
      </c>
      <c r="BH39" s="17">
        <f t="shared" si="22"/>
        <v>102</v>
      </c>
      <c r="BI39" s="19">
        <v>227</v>
      </c>
      <c r="BJ39" s="18">
        <f t="shared" si="23"/>
        <v>0.8345588235294118</v>
      </c>
      <c r="BK39" s="2"/>
      <c r="BL39" s="2"/>
    </row>
    <row r="40" spans="1:64" x14ac:dyDescent="0.3">
      <c r="A40" s="44">
        <v>32</v>
      </c>
      <c r="B40" s="8" t="s">
        <v>34</v>
      </c>
      <c r="C40" s="5">
        <v>303568</v>
      </c>
      <c r="D40" s="5">
        <v>23755</v>
      </c>
      <c r="E40" s="17">
        <f t="shared" si="0"/>
        <v>254696</v>
      </c>
      <c r="F40" s="16">
        <v>278451</v>
      </c>
      <c r="G40" s="18">
        <f t="shared" si="1"/>
        <v>0.91726071259157749</v>
      </c>
      <c r="H40" s="7">
        <v>301693</v>
      </c>
      <c r="I40" s="7">
        <v>52624</v>
      </c>
      <c r="J40" s="17">
        <f t="shared" si="2"/>
        <v>226113</v>
      </c>
      <c r="K40" s="16">
        <v>278737</v>
      </c>
      <c r="L40" s="18">
        <f t="shared" si="3"/>
        <v>0.9239094045934112</v>
      </c>
      <c r="M40" s="7">
        <v>303033</v>
      </c>
      <c r="N40" s="7">
        <v>73185</v>
      </c>
      <c r="O40" s="17">
        <f t="shared" si="4"/>
        <v>207453</v>
      </c>
      <c r="P40" s="16">
        <v>280638</v>
      </c>
      <c r="Q40" s="18">
        <f t="shared" si="5"/>
        <v>0.92609715773529611</v>
      </c>
      <c r="R40" s="7">
        <v>305881</v>
      </c>
      <c r="S40" s="7">
        <v>81296</v>
      </c>
      <c r="T40" s="17">
        <f t="shared" si="6"/>
        <v>201467</v>
      </c>
      <c r="U40" s="16">
        <v>282763</v>
      </c>
      <c r="V40" s="18">
        <f t="shared" si="7"/>
        <v>0.92442158878779657</v>
      </c>
      <c r="W40" s="7">
        <v>309941</v>
      </c>
      <c r="X40" s="7">
        <v>123817</v>
      </c>
      <c r="Y40" s="17">
        <f t="shared" si="8"/>
        <v>162287</v>
      </c>
      <c r="Z40" s="16">
        <v>286104</v>
      </c>
      <c r="AA40" s="18">
        <f t="shared" si="9"/>
        <v>0.92309181424851827</v>
      </c>
      <c r="AB40" s="28">
        <v>313197</v>
      </c>
      <c r="AC40" s="6">
        <v>180079</v>
      </c>
      <c r="AD40" s="17">
        <f t="shared" si="10"/>
        <v>108208</v>
      </c>
      <c r="AE40" s="40">
        <v>288287</v>
      </c>
      <c r="AF40" s="18">
        <f t="shared" si="11"/>
        <v>0.92046539398525529</v>
      </c>
      <c r="AG40" s="16">
        <v>316872</v>
      </c>
      <c r="AH40" s="6">
        <v>197900</v>
      </c>
      <c r="AI40" s="17">
        <f t="shared" si="12"/>
        <v>93358</v>
      </c>
      <c r="AJ40" s="16">
        <v>291258</v>
      </c>
      <c r="AK40" s="18">
        <f t="shared" si="13"/>
        <v>0.91916609861395138</v>
      </c>
      <c r="AL40" s="30">
        <v>319591</v>
      </c>
      <c r="AM40" s="6">
        <v>209513</v>
      </c>
      <c r="AN40" s="17">
        <f t="shared" si="14"/>
        <v>85460</v>
      </c>
      <c r="AO40" s="16">
        <v>294973</v>
      </c>
      <c r="AP40" s="18">
        <f t="shared" si="15"/>
        <v>0.9229702964100992</v>
      </c>
      <c r="AQ40" s="32">
        <v>320883</v>
      </c>
      <c r="AR40" s="6">
        <v>228047</v>
      </c>
      <c r="AS40" s="17">
        <f t="shared" si="16"/>
        <v>70113</v>
      </c>
      <c r="AT40" s="16">
        <v>298160</v>
      </c>
      <c r="AU40" s="18">
        <f t="shared" si="17"/>
        <v>0.92918602730590283</v>
      </c>
      <c r="AV40" s="34">
        <v>237285</v>
      </c>
      <c r="AW40" s="6">
        <v>145562</v>
      </c>
      <c r="AX40" s="17">
        <f t="shared" si="18"/>
        <v>72827</v>
      </c>
      <c r="AY40" s="19">
        <v>218389</v>
      </c>
      <c r="AZ40" s="18">
        <f t="shared" si="19"/>
        <v>0.92036580483384955</v>
      </c>
      <c r="BA40" s="36">
        <v>231667</v>
      </c>
      <c r="BB40" s="19">
        <v>154098</v>
      </c>
      <c r="BC40" s="17">
        <f t="shared" si="20"/>
        <v>66789</v>
      </c>
      <c r="BD40" s="38">
        <v>220887</v>
      </c>
      <c r="BE40" s="18">
        <f t="shared" si="21"/>
        <v>0.95346769285224053</v>
      </c>
      <c r="BF40" s="9">
        <v>314391</v>
      </c>
      <c r="BG40" s="6">
        <v>194949</v>
      </c>
      <c r="BH40" s="17">
        <f t="shared" si="22"/>
        <v>110218</v>
      </c>
      <c r="BI40" s="19">
        <v>305167</v>
      </c>
      <c r="BJ40" s="18">
        <f t="shared" si="23"/>
        <v>0.97066073774376493</v>
      </c>
      <c r="BK40" s="2"/>
      <c r="BL40" s="2"/>
    </row>
    <row r="41" spans="1:64" x14ac:dyDescent="0.3">
      <c r="A41" s="44">
        <v>33</v>
      </c>
      <c r="B41" s="8" t="s">
        <v>35</v>
      </c>
      <c r="C41" s="5">
        <v>875836</v>
      </c>
      <c r="D41" s="5">
        <v>90182</v>
      </c>
      <c r="E41" s="17">
        <f t="shared" si="0"/>
        <v>721701</v>
      </c>
      <c r="F41" s="16">
        <v>811883</v>
      </c>
      <c r="G41" s="18">
        <f t="shared" si="1"/>
        <v>0.92698062194292086</v>
      </c>
      <c r="H41" s="7">
        <v>872102</v>
      </c>
      <c r="I41" s="7">
        <v>211651</v>
      </c>
      <c r="J41" s="17">
        <f t="shared" si="2"/>
        <v>601176</v>
      </c>
      <c r="K41" s="16">
        <v>812827</v>
      </c>
      <c r="L41" s="18">
        <f t="shared" si="3"/>
        <v>0.93203203295027415</v>
      </c>
      <c r="M41" s="7">
        <v>879453</v>
      </c>
      <c r="N41" s="7">
        <v>288086</v>
      </c>
      <c r="O41" s="17">
        <f t="shared" si="4"/>
        <v>529837</v>
      </c>
      <c r="P41" s="16">
        <v>817923</v>
      </c>
      <c r="Q41" s="18">
        <f t="shared" si="5"/>
        <v>0.93003605650330379</v>
      </c>
      <c r="R41" s="7">
        <v>900135</v>
      </c>
      <c r="S41" s="7">
        <v>335465</v>
      </c>
      <c r="T41" s="17">
        <f t="shared" si="6"/>
        <v>493918</v>
      </c>
      <c r="U41" s="16">
        <v>829383</v>
      </c>
      <c r="V41" s="18">
        <f t="shared" si="7"/>
        <v>0.92139845689813193</v>
      </c>
      <c r="W41" s="7">
        <v>916182</v>
      </c>
      <c r="X41" s="7">
        <v>504046</v>
      </c>
      <c r="Y41" s="17">
        <f t="shared" si="8"/>
        <v>333159</v>
      </c>
      <c r="Z41" s="16">
        <v>837205</v>
      </c>
      <c r="AA41" s="18">
        <f t="shared" si="9"/>
        <v>0.91379769521776244</v>
      </c>
      <c r="AB41" s="28">
        <v>928683</v>
      </c>
      <c r="AC41" s="6">
        <v>614787</v>
      </c>
      <c r="AD41" s="17">
        <f t="shared" si="10"/>
        <v>228106</v>
      </c>
      <c r="AE41" s="40">
        <v>842893</v>
      </c>
      <c r="AF41" s="18">
        <f t="shared" si="11"/>
        <v>0.90762186881853124</v>
      </c>
      <c r="AG41" s="16">
        <v>933135</v>
      </c>
      <c r="AH41" s="6">
        <v>627948</v>
      </c>
      <c r="AI41" s="17">
        <f t="shared" si="12"/>
        <v>223190</v>
      </c>
      <c r="AJ41" s="16">
        <v>851138</v>
      </c>
      <c r="AK41" s="18">
        <f t="shared" si="13"/>
        <v>0.91212739850075286</v>
      </c>
      <c r="AL41" s="30">
        <v>933314</v>
      </c>
      <c r="AM41" s="6">
        <v>671883</v>
      </c>
      <c r="AN41" s="17">
        <f t="shared" si="14"/>
        <v>186904</v>
      </c>
      <c r="AO41" s="16">
        <v>858787</v>
      </c>
      <c r="AP41" s="18">
        <f t="shared" si="15"/>
        <v>0.92014798877976756</v>
      </c>
      <c r="AQ41" s="32">
        <v>923873</v>
      </c>
      <c r="AR41" s="6">
        <v>699395</v>
      </c>
      <c r="AS41" s="17">
        <f t="shared" si="16"/>
        <v>168517</v>
      </c>
      <c r="AT41" s="16">
        <v>867912</v>
      </c>
      <c r="AU41" s="18">
        <f t="shared" si="17"/>
        <v>0.93942782178935846</v>
      </c>
      <c r="AV41" s="34">
        <v>726285</v>
      </c>
      <c r="AW41" s="6">
        <v>519637</v>
      </c>
      <c r="AX41" s="17">
        <f t="shared" si="18"/>
        <v>161074</v>
      </c>
      <c r="AY41" s="19">
        <v>680711</v>
      </c>
      <c r="AZ41" s="18">
        <f t="shared" si="19"/>
        <v>0.9372505283738477</v>
      </c>
      <c r="BA41" s="36">
        <v>715063</v>
      </c>
      <c r="BB41" s="19">
        <v>545907</v>
      </c>
      <c r="BC41" s="17">
        <f t="shared" si="20"/>
        <v>142481</v>
      </c>
      <c r="BD41" s="38">
        <v>688388</v>
      </c>
      <c r="BE41" s="18">
        <f t="shared" si="21"/>
        <v>0.96269559465389765</v>
      </c>
      <c r="BF41" s="9">
        <v>910875</v>
      </c>
      <c r="BG41" s="6">
        <v>659309</v>
      </c>
      <c r="BH41" s="17">
        <f t="shared" si="22"/>
        <v>228705</v>
      </c>
      <c r="BI41" s="19">
        <v>888014</v>
      </c>
      <c r="BJ41" s="18">
        <f t="shared" si="23"/>
        <v>0.97490215452175111</v>
      </c>
      <c r="BK41" s="2"/>
      <c r="BL41" s="2"/>
    </row>
    <row r="42" spans="1:64" x14ac:dyDescent="0.3">
      <c r="A42" s="44">
        <v>34</v>
      </c>
      <c r="B42" s="8" t="s">
        <v>36</v>
      </c>
      <c r="C42" s="5">
        <v>19650</v>
      </c>
      <c r="D42" s="5">
        <v>2834</v>
      </c>
      <c r="E42" s="17">
        <f t="shared" si="0"/>
        <v>14858</v>
      </c>
      <c r="F42" s="16">
        <v>17692</v>
      </c>
      <c r="G42" s="18">
        <f t="shared" si="1"/>
        <v>0.90035623409669208</v>
      </c>
      <c r="H42" s="7">
        <v>19392</v>
      </c>
      <c r="I42" s="7">
        <v>4800</v>
      </c>
      <c r="J42" s="17">
        <f t="shared" si="2"/>
        <v>12813</v>
      </c>
      <c r="K42" s="16">
        <v>17613</v>
      </c>
      <c r="L42" s="18">
        <f t="shared" si="3"/>
        <v>0.90826113861386137</v>
      </c>
      <c r="M42" s="7">
        <v>19399</v>
      </c>
      <c r="N42" s="7">
        <v>6955</v>
      </c>
      <c r="O42" s="17">
        <f t="shared" si="4"/>
        <v>10778</v>
      </c>
      <c r="P42" s="16">
        <v>17733</v>
      </c>
      <c r="Q42" s="18">
        <f t="shared" si="5"/>
        <v>0.91411928449920099</v>
      </c>
      <c r="R42" s="7">
        <v>19794</v>
      </c>
      <c r="S42" s="7">
        <v>6957</v>
      </c>
      <c r="T42" s="17">
        <f t="shared" si="6"/>
        <v>11009</v>
      </c>
      <c r="U42" s="16">
        <v>17966</v>
      </c>
      <c r="V42" s="18">
        <f t="shared" si="7"/>
        <v>0.90764878245933112</v>
      </c>
      <c r="W42" s="7">
        <v>20052</v>
      </c>
      <c r="X42" s="7">
        <v>10081</v>
      </c>
      <c r="Y42" s="17">
        <f t="shared" si="8"/>
        <v>8038</v>
      </c>
      <c r="Z42" s="16">
        <v>18119</v>
      </c>
      <c r="AA42" s="18">
        <f t="shared" si="9"/>
        <v>0.90360063834031523</v>
      </c>
      <c r="AB42" s="28">
        <v>20172</v>
      </c>
      <c r="AC42" s="6">
        <v>12415</v>
      </c>
      <c r="AD42" s="17">
        <f t="shared" si="10"/>
        <v>5683</v>
      </c>
      <c r="AE42" s="40">
        <v>18098</v>
      </c>
      <c r="AF42" s="18">
        <f t="shared" si="11"/>
        <v>0.8971842157445965</v>
      </c>
      <c r="AG42" s="16">
        <v>20319</v>
      </c>
      <c r="AH42" s="6">
        <v>12872</v>
      </c>
      <c r="AI42" s="17">
        <f t="shared" si="12"/>
        <v>5372</v>
      </c>
      <c r="AJ42" s="16">
        <v>18244</v>
      </c>
      <c r="AK42" s="18">
        <f t="shared" si="13"/>
        <v>0.89787883261971557</v>
      </c>
      <c r="AL42" s="30">
        <v>20437</v>
      </c>
      <c r="AM42" s="6">
        <v>13644</v>
      </c>
      <c r="AN42" s="17">
        <f t="shared" si="14"/>
        <v>4715</v>
      </c>
      <c r="AO42" s="16">
        <v>18359</v>
      </c>
      <c r="AP42" s="18">
        <f t="shared" si="15"/>
        <v>0.8983216714782013</v>
      </c>
      <c r="AQ42" s="32">
        <v>20149</v>
      </c>
      <c r="AR42" s="6">
        <v>14430</v>
      </c>
      <c r="AS42" s="17">
        <f t="shared" si="16"/>
        <v>4030</v>
      </c>
      <c r="AT42" s="16">
        <v>18460</v>
      </c>
      <c r="AU42" s="18">
        <f t="shared" si="17"/>
        <v>0.91617449997518485</v>
      </c>
      <c r="AV42" s="34">
        <v>15727</v>
      </c>
      <c r="AW42" s="6">
        <v>10475</v>
      </c>
      <c r="AX42" s="17">
        <f t="shared" si="18"/>
        <v>3951</v>
      </c>
      <c r="AY42" s="19">
        <v>14426</v>
      </c>
      <c r="AZ42" s="18">
        <f t="shared" si="19"/>
        <v>0.91727602212755133</v>
      </c>
      <c r="BA42" s="36">
        <v>15666</v>
      </c>
      <c r="BB42" s="19">
        <v>10874</v>
      </c>
      <c r="BC42" s="17">
        <f t="shared" si="20"/>
        <v>3688</v>
      </c>
      <c r="BD42" s="38">
        <v>14562</v>
      </c>
      <c r="BE42" s="18">
        <f t="shared" si="21"/>
        <v>0.92952891612409039</v>
      </c>
      <c r="BF42" s="9">
        <v>19723</v>
      </c>
      <c r="BG42" s="6">
        <v>13268</v>
      </c>
      <c r="BH42" s="17">
        <f t="shared" si="22"/>
        <v>5374</v>
      </c>
      <c r="BI42" s="19">
        <v>18642</v>
      </c>
      <c r="BJ42" s="18">
        <f t="shared" si="23"/>
        <v>0.94519089388024136</v>
      </c>
      <c r="BK42" s="2"/>
      <c r="BL42" s="2"/>
    </row>
    <row r="43" spans="1:64" x14ac:dyDescent="0.3">
      <c r="A43" s="44">
        <v>35</v>
      </c>
      <c r="B43" s="8" t="s">
        <v>48</v>
      </c>
      <c r="C43" s="5">
        <v>3851</v>
      </c>
      <c r="D43" s="5">
        <v>149</v>
      </c>
      <c r="E43" s="17">
        <f t="shared" si="0"/>
        <v>3378</v>
      </c>
      <c r="F43" s="16">
        <v>3527</v>
      </c>
      <c r="G43" s="18">
        <f t="shared" si="1"/>
        <v>0.91586600882887559</v>
      </c>
      <c r="H43" s="7">
        <v>3844</v>
      </c>
      <c r="I43" s="7">
        <v>651</v>
      </c>
      <c r="J43" s="17">
        <f t="shared" si="2"/>
        <v>2867</v>
      </c>
      <c r="K43" s="16">
        <v>3518</v>
      </c>
      <c r="L43" s="18">
        <f t="shared" si="3"/>
        <v>0.91519250780437045</v>
      </c>
      <c r="M43" s="7">
        <v>3825</v>
      </c>
      <c r="N43" s="7">
        <v>1058</v>
      </c>
      <c r="O43" s="17">
        <f t="shared" si="4"/>
        <v>2486</v>
      </c>
      <c r="P43" s="16">
        <v>3544</v>
      </c>
      <c r="Q43" s="18">
        <f t="shared" si="5"/>
        <v>0.92653594771241832</v>
      </c>
      <c r="R43" s="7">
        <v>3845</v>
      </c>
      <c r="S43" s="7">
        <v>576</v>
      </c>
      <c r="T43" s="17">
        <f t="shared" si="6"/>
        <v>2980</v>
      </c>
      <c r="U43" s="16">
        <v>3556</v>
      </c>
      <c r="V43" s="18">
        <f t="shared" si="7"/>
        <v>0.92483745123537064</v>
      </c>
      <c r="W43" s="7">
        <v>3856</v>
      </c>
      <c r="X43" s="7">
        <v>1190</v>
      </c>
      <c r="Y43" s="17">
        <f t="shared" si="8"/>
        <v>2364</v>
      </c>
      <c r="Z43" s="16">
        <v>3554</v>
      </c>
      <c r="AA43" s="18">
        <f t="shared" si="9"/>
        <v>0.92168049792531115</v>
      </c>
      <c r="AB43" s="28">
        <v>3868</v>
      </c>
      <c r="AC43" s="6">
        <v>1532</v>
      </c>
      <c r="AD43" s="17">
        <f t="shared" si="10"/>
        <v>2027</v>
      </c>
      <c r="AE43" s="40">
        <v>3559</v>
      </c>
      <c r="AF43" s="18">
        <f t="shared" si="11"/>
        <v>0.92011375387797312</v>
      </c>
      <c r="AG43" s="16">
        <v>3955</v>
      </c>
      <c r="AH43" s="6">
        <v>1685</v>
      </c>
      <c r="AI43" s="17">
        <f t="shared" si="12"/>
        <v>1909</v>
      </c>
      <c r="AJ43" s="16">
        <v>3594</v>
      </c>
      <c r="AK43" s="18">
        <f t="shared" si="13"/>
        <v>0.90872313527180781</v>
      </c>
      <c r="AL43" s="30">
        <v>3994</v>
      </c>
      <c r="AM43" s="6">
        <v>1894</v>
      </c>
      <c r="AN43" s="17">
        <f t="shared" si="14"/>
        <v>1724</v>
      </c>
      <c r="AO43" s="16">
        <v>3618</v>
      </c>
      <c r="AP43" s="18">
        <f t="shared" si="15"/>
        <v>0.90585878818227339</v>
      </c>
      <c r="AQ43" s="32">
        <v>4014</v>
      </c>
      <c r="AR43" s="6">
        <v>2235</v>
      </c>
      <c r="AS43" s="17">
        <f t="shared" si="16"/>
        <v>1411</v>
      </c>
      <c r="AT43" s="16">
        <v>3646</v>
      </c>
      <c r="AU43" s="18">
        <f t="shared" si="17"/>
        <v>0.90832087693074237</v>
      </c>
      <c r="AV43" s="34">
        <v>3140</v>
      </c>
      <c r="AW43" s="6">
        <v>1490</v>
      </c>
      <c r="AX43" s="17">
        <f t="shared" si="18"/>
        <v>1305</v>
      </c>
      <c r="AY43" s="19">
        <v>2795</v>
      </c>
      <c r="AZ43" s="18">
        <f t="shared" si="19"/>
        <v>0.89012738853503182</v>
      </c>
      <c r="BA43" s="36">
        <v>3099</v>
      </c>
      <c r="BB43" s="19">
        <v>1547</v>
      </c>
      <c r="BC43" s="17">
        <f t="shared" si="20"/>
        <v>1284</v>
      </c>
      <c r="BD43" s="38">
        <v>2831</v>
      </c>
      <c r="BE43" s="18">
        <f t="shared" si="21"/>
        <v>0.91352049048080031</v>
      </c>
      <c r="BF43" s="9">
        <v>3984</v>
      </c>
      <c r="BG43" s="6">
        <v>2029</v>
      </c>
      <c r="BH43" s="17">
        <f t="shared" si="22"/>
        <v>1684</v>
      </c>
      <c r="BI43" s="19">
        <v>3713</v>
      </c>
      <c r="BJ43" s="18">
        <f t="shared" si="23"/>
        <v>0.93197791164658639</v>
      </c>
      <c r="BK43" s="2"/>
      <c r="BL43" s="2"/>
    </row>
    <row r="44" spans="1:64" x14ac:dyDescent="0.3">
      <c r="A44" s="44">
        <v>36</v>
      </c>
      <c r="B44" s="8" t="s">
        <v>37</v>
      </c>
      <c r="C44" s="5">
        <v>357349</v>
      </c>
      <c r="D44" s="5">
        <v>41912</v>
      </c>
      <c r="E44" s="17">
        <f t="shared" si="0"/>
        <v>260728</v>
      </c>
      <c r="F44" s="16">
        <v>302640</v>
      </c>
      <c r="G44" s="18">
        <f t="shared" si="1"/>
        <v>0.84690316749172379</v>
      </c>
      <c r="H44" s="7">
        <v>355488</v>
      </c>
      <c r="I44" s="7">
        <v>84632</v>
      </c>
      <c r="J44" s="17">
        <f t="shared" si="2"/>
        <v>218368</v>
      </c>
      <c r="K44" s="16">
        <v>303000</v>
      </c>
      <c r="L44" s="18">
        <f t="shared" si="3"/>
        <v>0.85234944639481502</v>
      </c>
      <c r="M44" s="7">
        <v>358237</v>
      </c>
      <c r="N44" s="7">
        <v>116669</v>
      </c>
      <c r="O44" s="17">
        <f t="shared" si="4"/>
        <v>188418</v>
      </c>
      <c r="P44" s="16">
        <v>305087</v>
      </c>
      <c r="Q44" s="18">
        <f t="shared" si="5"/>
        <v>0.8516345324463972</v>
      </c>
      <c r="R44" s="7">
        <v>364550</v>
      </c>
      <c r="S44" s="7">
        <v>117058</v>
      </c>
      <c r="T44" s="17">
        <f t="shared" si="6"/>
        <v>191974</v>
      </c>
      <c r="U44" s="16">
        <v>309032</v>
      </c>
      <c r="V44" s="18">
        <f t="shared" si="7"/>
        <v>0.84770813331504591</v>
      </c>
      <c r="W44" s="7">
        <v>368236</v>
      </c>
      <c r="X44" s="7">
        <v>171317</v>
      </c>
      <c r="Y44" s="17">
        <f t="shared" si="8"/>
        <v>140617</v>
      </c>
      <c r="Z44" s="16">
        <v>311934</v>
      </c>
      <c r="AA44" s="18">
        <f t="shared" si="9"/>
        <v>0.84710348798053425</v>
      </c>
      <c r="AB44" s="28">
        <v>371659</v>
      </c>
      <c r="AC44" s="6">
        <v>195649</v>
      </c>
      <c r="AD44" s="17">
        <f t="shared" si="10"/>
        <v>118503</v>
      </c>
      <c r="AE44" s="40">
        <v>314152</v>
      </c>
      <c r="AF44" s="18">
        <f t="shared" si="11"/>
        <v>0.84526945398873699</v>
      </c>
      <c r="AG44" s="16">
        <v>376783</v>
      </c>
      <c r="AH44" s="6">
        <v>203944</v>
      </c>
      <c r="AI44" s="17">
        <f t="shared" si="12"/>
        <v>113635</v>
      </c>
      <c r="AJ44" s="16">
        <v>317579</v>
      </c>
      <c r="AK44" s="18">
        <f t="shared" si="13"/>
        <v>0.84286976854051265</v>
      </c>
      <c r="AL44" s="30">
        <v>379786</v>
      </c>
      <c r="AM44" s="6">
        <v>219292</v>
      </c>
      <c r="AN44" s="17">
        <f t="shared" si="14"/>
        <v>102489</v>
      </c>
      <c r="AO44" s="16">
        <v>321781</v>
      </c>
      <c r="AP44" s="18">
        <f t="shared" si="15"/>
        <v>0.84726925163118172</v>
      </c>
      <c r="AQ44" s="32">
        <v>381213</v>
      </c>
      <c r="AR44" s="6">
        <v>241659</v>
      </c>
      <c r="AS44" s="17">
        <f t="shared" si="16"/>
        <v>84200</v>
      </c>
      <c r="AT44" s="16">
        <v>325859</v>
      </c>
      <c r="AU44" s="18">
        <f t="shared" si="17"/>
        <v>0.85479508831020978</v>
      </c>
      <c r="AV44" s="34">
        <v>286191</v>
      </c>
      <c r="AW44" s="6">
        <v>159471</v>
      </c>
      <c r="AX44" s="17">
        <f t="shared" si="18"/>
        <v>80540</v>
      </c>
      <c r="AY44" s="19">
        <v>240011</v>
      </c>
      <c r="AZ44" s="18">
        <f t="shared" si="19"/>
        <v>0.83863923044400412</v>
      </c>
      <c r="BA44" s="36">
        <v>282649</v>
      </c>
      <c r="BB44" s="19">
        <v>170947</v>
      </c>
      <c r="BC44" s="17">
        <f t="shared" si="20"/>
        <v>73137</v>
      </c>
      <c r="BD44" s="38">
        <v>244084</v>
      </c>
      <c r="BE44" s="18">
        <f t="shared" si="21"/>
        <v>0.86355868939921954</v>
      </c>
      <c r="BF44" s="9">
        <v>372165</v>
      </c>
      <c r="BG44" s="6">
        <v>219798</v>
      </c>
      <c r="BH44" s="17">
        <f t="shared" si="22"/>
        <v>115091</v>
      </c>
      <c r="BI44" s="19">
        <v>334889</v>
      </c>
      <c r="BJ44" s="18">
        <f t="shared" si="23"/>
        <v>0.89984012467588304</v>
      </c>
      <c r="BK44" s="2"/>
      <c r="BL44" s="2"/>
    </row>
    <row r="45" spans="1:64" x14ac:dyDescent="0.3">
      <c r="A45" s="44">
        <v>37</v>
      </c>
      <c r="B45" s="8" t="s">
        <v>38</v>
      </c>
      <c r="C45" s="5">
        <v>282611</v>
      </c>
      <c r="D45" s="5">
        <v>30367</v>
      </c>
      <c r="E45" s="17">
        <f t="shared" si="0"/>
        <v>221917</v>
      </c>
      <c r="F45" s="16">
        <v>252284</v>
      </c>
      <c r="G45" s="18">
        <f t="shared" si="1"/>
        <v>0.89268995191269984</v>
      </c>
      <c r="H45" s="7">
        <v>279976</v>
      </c>
      <c r="I45" s="7">
        <v>70507</v>
      </c>
      <c r="J45" s="17">
        <f t="shared" si="2"/>
        <v>181839</v>
      </c>
      <c r="K45" s="16">
        <v>252346</v>
      </c>
      <c r="L45" s="18">
        <f t="shared" si="3"/>
        <v>0.90131296968311569</v>
      </c>
      <c r="M45" s="7">
        <v>281786</v>
      </c>
      <c r="N45" s="7">
        <v>91865</v>
      </c>
      <c r="O45" s="17">
        <f t="shared" si="4"/>
        <v>162270</v>
      </c>
      <c r="P45" s="16">
        <v>254135</v>
      </c>
      <c r="Q45" s="18">
        <f t="shared" si="5"/>
        <v>0.90187234284173101</v>
      </c>
      <c r="R45" s="7">
        <v>285895</v>
      </c>
      <c r="S45" s="7">
        <v>94592</v>
      </c>
      <c r="T45" s="17">
        <f t="shared" si="6"/>
        <v>161922</v>
      </c>
      <c r="U45" s="16">
        <v>256514</v>
      </c>
      <c r="V45" s="18">
        <f t="shared" si="7"/>
        <v>0.8972315010755697</v>
      </c>
      <c r="W45" s="7">
        <v>289101</v>
      </c>
      <c r="X45" s="7">
        <v>151173</v>
      </c>
      <c r="Y45" s="17">
        <f t="shared" si="8"/>
        <v>106879</v>
      </c>
      <c r="Z45" s="16">
        <v>258052</v>
      </c>
      <c r="AA45" s="18">
        <f t="shared" si="9"/>
        <v>0.89260154755604437</v>
      </c>
      <c r="AB45" s="28">
        <v>291802</v>
      </c>
      <c r="AC45" s="6">
        <v>176421</v>
      </c>
      <c r="AD45" s="17">
        <f t="shared" si="10"/>
        <v>82916</v>
      </c>
      <c r="AE45" s="40">
        <v>259337</v>
      </c>
      <c r="AF45" s="18">
        <f t="shared" si="11"/>
        <v>0.88874305179539548</v>
      </c>
      <c r="AG45" s="16">
        <v>295238</v>
      </c>
      <c r="AH45" s="6">
        <v>187583</v>
      </c>
      <c r="AI45" s="17">
        <f t="shared" si="12"/>
        <v>74368</v>
      </c>
      <c r="AJ45" s="16">
        <v>261951</v>
      </c>
      <c r="AK45" s="18">
        <f t="shared" si="13"/>
        <v>0.8872536733076366</v>
      </c>
      <c r="AL45" s="30">
        <v>296582</v>
      </c>
      <c r="AM45" s="6">
        <v>195830</v>
      </c>
      <c r="AN45" s="17">
        <f t="shared" si="14"/>
        <v>68837</v>
      </c>
      <c r="AO45" s="16">
        <v>264667</v>
      </c>
      <c r="AP45" s="18">
        <f t="shared" si="15"/>
        <v>0.89239063732795654</v>
      </c>
      <c r="AQ45" s="32">
        <v>297340</v>
      </c>
      <c r="AR45" s="6">
        <v>206406</v>
      </c>
      <c r="AS45" s="17">
        <f t="shared" si="16"/>
        <v>61446</v>
      </c>
      <c r="AT45" s="16">
        <v>267852</v>
      </c>
      <c r="AU45" s="18">
        <f t="shared" si="17"/>
        <v>0.90082733570996165</v>
      </c>
      <c r="AV45" s="34">
        <v>215259</v>
      </c>
      <c r="AW45" s="6">
        <v>135264</v>
      </c>
      <c r="AX45" s="17">
        <f t="shared" si="18"/>
        <v>55043</v>
      </c>
      <c r="AY45" s="19">
        <v>190307</v>
      </c>
      <c r="AZ45" s="18">
        <f t="shared" si="19"/>
        <v>0.88408382460199109</v>
      </c>
      <c r="BA45" s="36">
        <v>211045</v>
      </c>
      <c r="BB45" s="19">
        <v>143101</v>
      </c>
      <c r="BC45" s="17">
        <f t="shared" si="20"/>
        <v>49615</v>
      </c>
      <c r="BD45" s="38">
        <v>192716</v>
      </c>
      <c r="BE45" s="18">
        <f t="shared" si="21"/>
        <v>0.91315122367267643</v>
      </c>
      <c r="BF45" s="9">
        <v>290704</v>
      </c>
      <c r="BG45" s="6">
        <v>183740</v>
      </c>
      <c r="BH45" s="17">
        <f t="shared" si="22"/>
        <v>88684</v>
      </c>
      <c r="BI45" s="19">
        <v>272424</v>
      </c>
      <c r="BJ45" s="18">
        <f t="shared" si="23"/>
        <v>0.93711816830865757</v>
      </c>
      <c r="BK45" s="2"/>
      <c r="BL45" s="2"/>
    </row>
    <row r="46" spans="1:64" x14ac:dyDescent="0.3">
      <c r="A46" s="44">
        <v>38</v>
      </c>
      <c r="B46" s="8" t="s">
        <v>42</v>
      </c>
      <c r="C46" s="5">
        <v>2817</v>
      </c>
      <c r="D46" s="5">
        <v>825</v>
      </c>
      <c r="E46" s="17">
        <f t="shared" si="0"/>
        <v>2069</v>
      </c>
      <c r="F46" s="16">
        <v>2894</v>
      </c>
      <c r="G46" s="18">
        <f t="shared" si="1"/>
        <v>1.0273340433084841</v>
      </c>
      <c r="H46" s="7">
        <v>3040</v>
      </c>
      <c r="I46" s="7">
        <v>690</v>
      </c>
      <c r="J46" s="17">
        <f t="shared" si="2"/>
        <v>2226</v>
      </c>
      <c r="K46" s="16">
        <v>2916</v>
      </c>
      <c r="L46" s="18">
        <f t="shared" si="3"/>
        <v>0.95921052631578951</v>
      </c>
      <c r="M46" s="7">
        <v>3108</v>
      </c>
      <c r="N46" s="7">
        <v>1133</v>
      </c>
      <c r="O46" s="17">
        <f t="shared" si="4"/>
        <v>1825</v>
      </c>
      <c r="P46" s="16">
        <v>2958</v>
      </c>
      <c r="Q46" s="18">
        <f t="shared" si="5"/>
        <v>0.95173745173745172</v>
      </c>
      <c r="R46" s="7">
        <v>3245</v>
      </c>
      <c r="S46" s="7">
        <v>1184</v>
      </c>
      <c r="T46" s="17">
        <f t="shared" si="6"/>
        <v>1897</v>
      </c>
      <c r="U46" s="16">
        <v>3081</v>
      </c>
      <c r="V46" s="18">
        <f t="shared" si="7"/>
        <v>0.94946070878274269</v>
      </c>
      <c r="W46" s="7">
        <v>3370</v>
      </c>
      <c r="X46" s="7">
        <v>1613</v>
      </c>
      <c r="Y46" s="17">
        <f t="shared" si="8"/>
        <v>1583</v>
      </c>
      <c r="Z46" s="16">
        <v>3196</v>
      </c>
      <c r="AA46" s="18">
        <f t="shared" si="9"/>
        <v>0.94836795252225514</v>
      </c>
      <c r="AB46" s="28">
        <v>3518</v>
      </c>
      <c r="AC46" s="6">
        <v>1964</v>
      </c>
      <c r="AD46" s="17">
        <f t="shared" si="10"/>
        <v>1377</v>
      </c>
      <c r="AE46" s="40">
        <v>3341</v>
      </c>
      <c r="AF46" s="18">
        <f t="shared" si="11"/>
        <v>0.94968732234223996</v>
      </c>
      <c r="AG46" s="16">
        <v>3623</v>
      </c>
      <c r="AH46" s="6">
        <v>2248</v>
      </c>
      <c r="AI46" s="17">
        <f t="shared" si="12"/>
        <v>1193</v>
      </c>
      <c r="AJ46" s="16">
        <v>3441</v>
      </c>
      <c r="AK46" s="18">
        <f t="shared" si="13"/>
        <v>0.94976538780016562</v>
      </c>
      <c r="AL46" s="30">
        <v>3714</v>
      </c>
      <c r="AM46" s="6">
        <v>2515</v>
      </c>
      <c r="AN46" s="17">
        <f t="shared" si="14"/>
        <v>1015</v>
      </c>
      <c r="AO46" s="16">
        <v>3530</v>
      </c>
      <c r="AP46" s="18">
        <f t="shared" si="15"/>
        <v>0.95045772751750135</v>
      </c>
      <c r="AQ46" s="32">
        <v>3842</v>
      </c>
      <c r="AR46" s="6">
        <v>2798</v>
      </c>
      <c r="AS46" s="17">
        <f t="shared" si="16"/>
        <v>855</v>
      </c>
      <c r="AT46" s="16">
        <v>3653</v>
      </c>
      <c r="AU46" s="18">
        <f t="shared" si="17"/>
        <v>0.95080687142113485</v>
      </c>
      <c r="AV46" s="34">
        <v>1986</v>
      </c>
      <c r="AW46" s="6">
        <v>1066</v>
      </c>
      <c r="AX46" s="17">
        <f t="shared" si="18"/>
        <v>763</v>
      </c>
      <c r="AY46" s="19">
        <v>1829</v>
      </c>
      <c r="AZ46" s="18">
        <f t="shared" si="19"/>
        <v>0.92094662638469282</v>
      </c>
      <c r="BA46" s="36">
        <v>2072</v>
      </c>
      <c r="BB46" s="19">
        <v>1329</v>
      </c>
      <c r="BC46" s="17">
        <f t="shared" si="20"/>
        <v>749</v>
      </c>
      <c r="BD46" s="38">
        <v>2078</v>
      </c>
      <c r="BE46" s="18">
        <f t="shared" si="21"/>
        <v>1.0028957528957529</v>
      </c>
      <c r="BF46" s="9">
        <v>4235</v>
      </c>
      <c r="BG46" s="6">
        <v>3069</v>
      </c>
      <c r="BH46" s="17">
        <f t="shared" si="22"/>
        <v>1196</v>
      </c>
      <c r="BI46" s="19">
        <v>4265</v>
      </c>
      <c r="BJ46" s="18">
        <f t="shared" si="23"/>
        <v>1.0070838252656436</v>
      </c>
      <c r="BK46" s="2"/>
      <c r="BL46" s="2"/>
    </row>
    <row r="47" spans="1:64" x14ac:dyDescent="0.3">
      <c r="A47" s="45">
        <v>97</v>
      </c>
      <c r="B47" s="20" t="s">
        <v>39</v>
      </c>
      <c r="C47" s="12">
        <v>81</v>
      </c>
      <c r="D47" s="12">
        <v>10</v>
      </c>
      <c r="E47" s="21">
        <f t="shared" si="0"/>
        <v>57</v>
      </c>
      <c r="F47" s="16">
        <v>67</v>
      </c>
      <c r="G47" s="22">
        <f t="shared" si="1"/>
        <v>0.8271604938271605</v>
      </c>
      <c r="H47" s="13">
        <v>81</v>
      </c>
      <c r="I47" s="13">
        <v>16</v>
      </c>
      <c r="J47" s="21">
        <f t="shared" si="2"/>
        <v>51</v>
      </c>
      <c r="K47" s="16">
        <v>67</v>
      </c>
      <c r="L47" s="22">
        <f t="shared" si="3"/>
        <v>0.8271604938271605</v>
      </c>
      <c r="M47" s="13">
        <v>81</v>
      </c>
      <c r="N47" s="13">
        <v>44</v>
      </c>
      <c r="O47" s="21">
        <f t="shared" si="4"/>
        <v>23</v>
      </c>
      <c r="P47" s="16">
        <v>67</v>
      </c>
      <c r="Q47" s="22">
        <f t="shared" si="5"/>
        <v>0.8271604938271605</v>
      </c>
      <c r="R47" s="13">
        <v>82</v>
      </c>
      <c r="S47" s="13">
        <v>51</v>
      </c>
      <c r="T47" s="21">
        <f t="shared" si="6"/>
        <v>17</v>
      </c>
      <c r="U47" s="16">
        <v>68</v>
      </c>
      <c r="V47" s="22">
        <f t="shared" si="7"/>
        <v>0.82926829268292679</v>
      </c>
      <c r="W47" s="13">
        <v>82</v>
      </c>
      <c r="X47" s="13">
        <v>54</v>
      </c>
      <c r="Y47" s="21">
        <f t="shared" si="8"/>
        <v>13</v>
      </c>
      <c r="Z47" s="16">
        <v>67</v>
      </c>
      <c r="AA47" s="22">
        <f t="shared" si="9"/>
        <v>0.81707317073170727</v>
      </c>
      <c r="AB47" s="29">
        <v>82</v>
      </c>
      <c r="AC47" s="14">
        <v>55</v>
      </c>
      <c r="AD47" s="21">
        <f t="shared" si="10"/>
        <v>12</v>
      </c>
      <c r="AE47" s="40">
        <v>67</v>
      </c>
      <c r="AF47" s="22">
        <f t="shared" si="11"/>
        <v>0.81707317073170727</v>
      </c>
      <c r="AG47" s="16">
        <v>82</v>
      </c>
      <c r="AH47" s="14">
        <v>60</v>
      </c>
      <c r="AI47" s="21">
        <f t="shared" si="12"/>
        <v>7</v>
      </c>
      <c r="AJ47" s="16">
        <v>67</v>
      </c>
      <c r="AK47" s="22">
        <f t="shared" si="13"/>
        <v>0.81707317073170727</v>
      </c>
      <c r="AL47" s="31">
        <v>82</v>
      </c>
      <c r="AM47" s="14">
        <v>56</v>
      </c>
      <c r="AN47" s="21">
        <f t="shared" si="14"/>
        <v>11</v>
      </c>
      <c r="AO47" s="16">
        <v>67</v>
      </c>
      <c r="AP47" s="22">
        <f t="shared" si="15"/>
        <v>0.81707317073170727</v>
      </c>
      <c r="AQ47" s="33">
        <v>81</v>
      </c>
      <c r="AR47" s="14">
        <v>59</v>
      </c>
      <c r="AS47" s="21">
        <f t="shared" si="16"/>
        <v>8</v>
      </c>
      <c r="AT47" s="16">
        <v>67</v>
      </c>
      <c r="AU47" s="22">
        <f t="shared" si="17"/>
        <v>0.8271604938271605</v>
      </c>
      <c r="AV47" s="35">
        <v>74</v>
      </c>
      <c r="AW47" s="14">
        <v>51</v>
      </c>
      <c r="AX47" s="21">
        <f t="shared" si="18"/>
        <v>10</v>
      </c>
      <c r="AY47" s="19">
        <v>61</v>
      </c>
      <c r="AZ47" s="22">
        <f t="shared" si="19"/>
        <v>0.82432432432432434</v>
      </c>
      <c r="BA47" s="37">
        <v>75</v>
      </c>
      <c r="BB47" s="19">
        <v>56</v>
      </c>
      <c r="BC47" s="21">
        <f t="shared" si="20"/>
        <v>7</v>
      </c>
      <c r="BD47" s="38">
        <v>63</v>
      </c>
      <c r="BE47" s="22">
        <f t="shared" si="21"/>
        <v>0.84</v>
      </c>
      <c r="BF47" s="15">
        <v>81</v>
      </c>
      <c r="BG47" s="14">
        <v>54</v>
      </c>
      <c r="BH47" s="21">
        <f t="shared" si="22"/>
        <v>15</v>
      </c>
      <c r="BI47" s="19">
        <v>69</v>
      </c>
      <c r="BJ47" s="22">
        <f t="shared" si="23"/>
        <v>0.85185185185185186</v>
      </c>
      <c r="BK47" s="2"/>
      <c r="BL47" s="2"/>
    </row>
    <row r="48" spans="1:64" x14ac:dyDescent="0.3">
      <c r="A48" s="49" t="s">
        <v>40</v>
      </c>
      <c r="B48" s="49"/>
      <c r="C48" s="27">
        <f>SUM(C10:C47)</f>
        <v>10414263</v>
      </c>
      <c r="D48" s="23">
        <f>SUM(D10:D47)</f>
        <v>863169</v>
      </c>
      <c r="E48" s="24">
        <f>F48-D48</f>
        <v>8669770</v>
      </c>
      <c r="F48" s="25">
        <f>SUM(F10:F47)</f>
        <v>9532939</v>
      </c>
      <c r="G48" s="26">
        <f>F48/C48</f>
        <v>0.91537336823546711</v>
      </c>
      <c r="H48" s="27">
        <f>SUM(H10:H47)</f>
        <v>10342810</v>
      </c>
      <c r="I48" s="23">
        <f>SUM(I10:I47)</f>
        <v>2397512</v>
      </c>
      <c r="J48" s="24">
        <f t="shared" si="2"/>
        <v>7138850</v>
      </c>
      <c r="K48" s="25">
        <f>SUM(K10:K47)</f>
        <v>9536362</v>
      </c>
      <c r="L48" s="26">
        <f t="shared" si="3"/>
        <v>0.92202815289075213</v>
      </c>
      <c r="M48" s="27">
        <f>SUM(M10:M47)</f>
        <v>10398099</v>
      </c>
      <c r="N48" s="23">
        <f>SUM(N10:N47)</f>
        <v>3451281</v>
      </c>
      <c r="O48" s="24">
        <f t="shared" si="4"/>
        <v>6148905</v>
      </c>
      <c r="P48" s="25">
        <f>SUM(P10:P47)</f>
        <v>9600186</v>
      </c>
      <c r="Q48" s="26">
        <f t="shared" si="5"/>
        <v>0.92326356961979306</v>
      </c>
      <c r="R48" s="27">
        <f>SUM(R10:R47)</f>
        <v>10565995</v>
      </c>
      <c r="S48" s="23">
        <f>SUM(S10:S47)</f>
        <v>3802548</v>
      </c>
      <c r="T48" s="24">
        <f t="shared" si="6"/>
        <v>5911179</v>
      </c>
      <c r="U48" s="25">
        <f>SUM(U10:U47)</f>
        <v>9713727</v>
      </c>
      <c r="V48" s="26">
        <f t="shared" si="7"/>
        <v>0.91933859518199657</v>
      </c>
      <c r="W48" s="27">
        <f>SUM(W10:W47)</f>
        <v>10704458</v>
      </c>
      <c r="X48" s="23">
        <f>SUM(X10:X47)</f>
        <v>5645601</v>
      </c>
      <c r="Y48" s="24">
        <f t="shared" si="8"/>
        <v>4169319</v>
      </c>
      <c r="Z48" s="25">
        <f>SUM(Z10:Z47)</f>
        <v>9814920</v>
      </c>
      <c r="AA48" s="26">
        <f t="shared" si="9"/>
        <v>0.91690022979211094</v>
      </c>
      <c r="AB48" s="27">
        <f>SUM(AB10:AB47)</f>
        <v>10851006</v>
      </c>
      <c r="AC48" s="23">
        <f>SUM(AC10:AC47)</f>
        <v>7117796</v>
      </c>
      <c r="AD48" s="24">
        <f t="shared" si="10"/>
        <v>2784256</v>
      </c>
      <c r="AE48" s="25">
        <f>SUM(AE10:AE47)</f>
        <v>9902052</v>
      </c>
      <c r="AF48" s="26">
        <f t="shared" si="11"/>
        <v>0.91254691039706359</v>
      </c>
      <c r="AG48" s="23">
        <f>SUM(AG10:AG47)</f>
        <v>10971772</v>
      </c>
      <c r="AH48" s="23">
        <f>SUM(AH10:AH47)</f>
        <v>7264970</v>
      </c>
      <c r="AI48" s="24">
        <f t="shared" si="12"/>
        <v>2740766</v>
      </c>
      <c r="AJ48" s="25">
        <f>SUM(AJ10:AJ47)</f>
        <v>10005736</v>
      </c>
      <c r="AK48" s="26">
        <f t="shared" si="13"/>
        <v>0.91195259981705779</v>
      </c>
      <c r="AL48" s="27">
        <f>SUM(AL10:AL47)</f>
        <v>11010568</v>
      </c>
      <c r="AM48" s="23">
        <f>SUM(AM10:AM47)</f>
        <v>7781761</v>
      </c>
      <c r="AN48" s="24">
        <f t="shared" si="14"/>
        <v>2318235</v>
      </c>
      <c r="AO48" s="25">
        <f>SUM(AO10:AO47)</f>
        <v>10099996</v>
      </c>
      <c r="AP48" s="26">
        <f t="shared" si="15"/>
        <v>0.91730017924597529</v>
      </c>
      <c r="AQ48" s="27">
        <f>SUM(AQ10:AQ47)</f>
        <v>10984214</v>
      </c>
      <c r="AR48" s="23">
        <f>SUM(AR10:AR47)</f>
        <v>8235445</v>
      </c>
      <c r="AS48" s="24">
        <f t="shared" si="16"/>
        <v>1958802</v>
      </c>
      <c r="AT48" s="25">
        <f>SUM(AT10:AT47)</f>
        <v>10194247</v>
      </c>
      <c r="AU48" s="26">
        <f t="shared" si="17"/>
        <v>0.92808160875234225</v>
      </c>
      <c r="AV48" s="27">
        <f>SUM(AV10:AV47)</f>
        <v>6260763</v>
      </c>
      <c r="AW48" s="23">
        <f>SUM(AW10:AW47)</f>
        <v>3795899</v>
      </c>
      <c r="AX48" s="24">
        <f t="shared" si="18"/>
        <v>1826890</v>
      </c>
      <c r="AY48" s="25">
        <f>SUM(AY10:AY47)</f>
        <v>5622789</v>
      </c>
      <c r="AZ48" s="26">
        <f t="shared" si="19"/>
        <v>0.89809964057096558</v>
      </c>
      <c r="BA48" s="27">
        <f>SUM(BA10:BA47)</f>
        <v>6132577</v>
      </c>
      <c r="BB48" s="23">
        <f>SUM(BB10:BB47)</f>
        <v>4160872</v>
      </c>
      <c r="BC48" s="24">
        <f t="shared" si="20"/>
        <v>1571234</v>
      </c>
      <c r="BD48" s="25">
        <f>SUM(BD10:BD47)</f>
        <v>5732106</v>
      </c>
      <c r="BE48" s="26">
        <f t="shared" si="21"/>
        <v>0.9346977624577727</v>
      </c>
      <c r="BF48" s="27">
        <f>SUM(BF10:BF47)</f>
        <v>10779583</v>
      </c>
      <c r="BG48" s="23">
        <f>SUM(BG10:BG47)</f>
        <v>7171924</v>
      </c>
      <c r="BH48" s="24">
        <f t="shared" si="22"/>
        <v>3236271</v>
      </c>
      <c r="BI48" s="25">
        <f>SUM(BI10:BI47)</f>
        <v>10408195</v>
      </c>
      <c r="BJ48" s="26">
        <f t="shared" si="23"/>
        <v>0.96554709027241592</v>
      </c>
      <c r="BK48" s="10"/>
      <c r="BL48" s="10"/>
    </row>
    <row r="55" spans="1:39" x14ac:dyDescent="0.3">
      <c r="AL55" s="4"/>
      <c r="AM55" s="4"/>
    </row>
    <row r="56" spans="1:39" x14ac:dyDescent="0.3">
      <c r="A56" s="46" t="s">
        <v>41</v>
      </c>
      <c r="B56" s="46"/>
      <c r="C56" s="46"/>
      <c r="D56" s="46"/>
      <c r="E56" s="46"/>
      <c r="F56" s="3"/>
    </row>
  </sheetData>
  <mergeCells count="19">
    <mergeCell ref="A1:E1"/>
    <mergeCell ref="BF8:BJ8"/>
    <mergeCell ref="A3:B3"/>
    <mergeCell ref="A5:C5"/>
    <mergeCell ref="A8:A9"/>
    <mergeCell ref="B8:B9"/>
    <mergeCell ref="C8:G8"/>
    <mergeCell ref="H8:L8"/>
    <mergeCell ref="A56:E56"/>
    <mergeCell ref="AQ8:AU8"/>
    <mergeCell ref="AV8:AZ8"/>
    <mergeCell ref="BA8:BE8"/>
    <mergeCell ref="A48:B48"/>
    <mergeCell ref="M8:Q8"/>
    <mergeCell ref="R8:V8"/>
    <mergeCell ref="W8:AA8"/>
    <mergeCell ref="AB8:AF8"/>
    <mergeCell ref="AG8:AK8"/>
    <mergeCell ref="AL8:A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2021-04-09T12:38:24Z</dcterms:created>
  <dcterms:modified xsi:type="dcterms:W3CDTF">2026-09-09T11:43:46Z</dcterms:modified>
</cp:coreProperties>
</file>