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66288CC8-39D5-4B51-B941-471AF61F85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G48" i="1"/>
  <c r="BF48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J10" i="1"/>
  <c r="BH10" i="1"/>
  <c r="BJ48" i="1" l="1"/>
  <c r="BH48" i="1"/>
  <c r="BD48" i="1" l="1"/>
  <c r="BB48" i="1"/>
  <c r="BA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AY48" i="1"/>
  <c r="AW48" i="1"/>
  <c r="AV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Z48" i="1" l="1"/>
  <c r="BE48" i="1"/>
  <c r="BC48" i="1"/>
  <c r="AX48" i="1"/>
  <c r="AT48" i="1" l="1"/>
  <c r="AR48" i="1"/>
  <c r="AQ48" i="1"/>
  <c r="AU48" i="1" l="1"/>
  <c r="AS48" i="1"/>
  <c r="AU11" i="1" l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U10" i="1"/>
  <c r="AS10" i="1"/>
  <c r="AO48" i="1" l="1"/>
  <c r="AM48" i="1"/>
  <c r="AL48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10" i="1"/>
  <c r="AP10" i="1"/>
  <c r="AP48" i="1" l="1"/>
  <c r="AN48" i="1"/>
  <c r="AJ48" i="1"/>
  <c r="AH48" i="1"/>
  <c r="AG48" i="1"/>
  <c r="AC48" i="1"/>
  <c r="AB48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K10" i="1"/>
  <c r="AI10" i="1"/>
  <c r="AI48" i="1" l="1"/>
  <c r="AK48" i="1"/>
  <c r="AA47" i="1" l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Z48" i="1" l="1"/>
  <c r="X48" i="1"/>
  <c r="W48" i="1"/>
  <c r="AA48" i="1" l="1"/>
  <c r="Y48" i="1"/>
  <c r="U48" i="1"/>
  <c r="S48" i="1"/>
  <c r="R48" i="1"/>
  <c r="V47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5" i="1"/>
  <c r="V36" i="1"/>
  <c r="V37" i="1"/>
  <c r="V38" i="1"/>
  <c r="V39" i="1"/>
  <c r="V40" i="1"/>
  <c r="V41" i="1"/>
  <c r="V42" i="1"/>
  <c r="V43" i="1"/>
  <c r="V44" i="1"/>
  <c r="V45" i="1"/>
  <c r="V46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V10" i="1"/>
  <c r="T10" i="1"/>
  <c r="V48" i="1" l="1"/>
  <c r="T48" i="1"/>
  <c r="N48" i="1" l="1"/>
  <c r="M48" i="1"/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L10" i="1"/>
  <c r="J10" i="1"/>
  <c r="K48" i="1"/>
  <c r="I48" i="1"/>
  <c r="H48" i="1"/>
  <c r="L48" i="1" l="1"/>
  <c r="J48" i="1"/>
  <c r="G47" i="1" l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F48" i="1" l="1"/>
  <c r="D48" i="1"/>
  <c r="C48" i="1"/>
  <c r="G48" i="1" l="1"/>
  <c r="E48" i="1"/>
  <c r="AE48" i="1" l="1"/>
  <c r="AF45" i="1"/>
  <c r="AD45" i="1"/>
  <c r="AD20" i="1"/>
  <c r="AF20" i="1"/>
  <c r="AD32" i="1"/>
  <c r="AF32" i="1"/>
  <c r="AD24" i="1"/>
  <c r="AF24" i="1"/>
  <c r="AD37" i="1"/>
  <c r="AF37" i="1"/>
  <c r="AF31" i="1"/>
  <c r="AD31" i="1"/>
  <c r="AD27" i="1"/>
  <c r="AF27" i="1"/>
  <c r="AD36" i="1"/>
  <c r="AF36" i="1"/>
  <c r="AF11" i="1"/>
  <c r="AD11" i="1"/>
  <c r="AD15" i="1"/>
  <c r="AF15" i="1"/>
  <c r="AD10" i="1"/>
  <c r="AF10" i="1"/>
  <c r="AD16" i="1"/>
  <c r="AF16" i="1"/>
  <c r="AD28" i="1"/>
  <c r="AF28" i="1"/>
  <c r="AF47" i="1"/>
  <c r="AD47" i="1"/>
  <c r="AF22" i="1"/>
  <c r="AD22" i="1"/>
  <c r="AF14" i="1"/>
  <c r="AD14" i="1"/>
  <c r="AD43" i="1"/>
  <c r="AF43" i="1"/>
  <c r="AD26" i="1"/>
  <c r="AF26" i="1"/>
  <c r="AF44" i="1"/>
  <c r="AD44" i="1"/>
  <c r="AF19" i="1"/>
  <c r="AD19" i="1"/>
  <c r="AD23" i="1"/>
  <c r="AF23" i="1"/>
  <c r="AD35" i="1"/>
  <c r="AF35" i="1"/>
  <c r="AD18" i="1"/>
  <c r="AF18" i="1"/>
  <c r="AD30" i="1"/>
  <c r="AF30" i="1"/>
  <c r="AD41" i="1"/>
  <c r="AF41" i="1"/>
  <c r="AD12" i="1"/>
  <c r="AF12" i="1"/>
  <c r="AD40" i="1"/>
  <c r="AF40" i="1"/>
  <c r="AF39" i="1"/>
  <c r="AD39" i="1"/>
  <c r="AD46" i="1"/>
  <c r="AF46" i="1"/>
  <c r="AD38" i="1"/>
  <c r="AF38" i="1"/>
  <c r="AD29" i="1"/>
  <c r="AF29" i="1"/>
  <c r="AD21" i="1"/>
  <c r="AF21" i="1"/>
  <c r="AD13" i="1"/>
  <c r="AF13" i="1"/>
  <c r="AD42" i="1"/>
  <c r="AF42" i="1"/>
  <c r="AD33" i="1"/>
  <c r="AF33" i="1"/>
  <c r="AD25" i="1"/>
  <c r="AF25" i="1"/>
  <c r="AD17" i="1"/>
  <c r="AF17" i="1"/>
  <c r="AF48" i="1" l="1"/>
  <c r="AD48" i="1"/>
  <c r="P48" i="1"/>
  <c r="Q17" i="1"/>
  <c r="O17" i="1"/>
  <c r="Q22" i="1"/>
  <c r="O22" i="1"/>
  <c r="O35" i="1"/>
  <c r="Q35" i="1"/>
  <c r="O24" i="1"/>
  <c r="Q24" i="1"/>
  <c r="Q32" i="1"/>
  <c r="O32" i="1"/>
  <c r="Q16" i="1"/>
  <c r="O16" i="1"/>
  <c r="O31" i="1"/>
  <c r="Q31" i="1"/>
  <c r="O39" i="1"/>
  <c r="Q39" i="1"/>
  <c r="Q21" i="1"/>
  <c r="O21" i="1"/>
  <c r="O43" i="1"/>
  <c r="Q43" i="1"/>
  <c r="O18" i="1"/>
  <c r="Q18" i="1"/>
  <c r="Q26" i="1"/>
  <c r="O26" i="1"/>
  <c r="O33" i="1"/>
  <c r="Q33" i="1"/>
  <c r="Q42" i="1"/>
  <c r="O42" i="1"/>
  <c r="Q25" i="1"/>
  <c r="O25" i="1"/>
  <c r="O41" i="1"/>
  <c r="Q41" i="1"/>
  <c r="O23" i="1"/>
  <c r="Q23" i="1"/>
  <c r="Q40" i="1"/>
  <c r="O40" i="1"/>
  <c r="Q15" i="1"/>
  <c r="O15" i="1"/>
  <c r="O14" i="1"/>
  <c r="Q14" i="1"/>
  <c r="Q47" i="1"/>
  <c r="O47" i="1"/>
  <c r="Q30" i="1"/>
  <c r="O30" i="1"/>
  <c r="Q46" i="1"/>
  <c r="O46" i="1"/>
  <c r="Q38" i="1"/>
  <c r="O38" i="1"/>
  <c r="Q29" i="1"/>
  <c r="O29" i="1"/>
  <c r="Q13" i="1"/>
  <c r="O13" i="1"/>
  <c r="Q45" i="1"/>
  <c r="O45" i="1"/>
  <c r="Q37" i="1"/>
  <c r="O37" i="1"/>
  <c r="Q28" i="1"/>
  <c r="O28" i="1"/>
  <c r="Q20" i="1"/>
  <c r="O20" i="1"/>
  <c r="Q12" i="1"/>
  <c r="O12" i="1"/>
  <c r="O44" i="1"/>
  <c r="Q44" i="1"/>
  <c r="O36" i="1"/>
  <c r="Q36" i="1"/>
  <c r="O27" i="1"/>
  <c r="Q27" i="1"/>
  <c r="O19" i="1"/>
  <c r="Q19" i="1"/>
  <c r="O11" i="1"/>
  <c r="Q11" i="1"/>
  <c r="O10" i="1"/>
  <c r="Q10" i="1"/>
  <c r="Q48" i="1" l="1"/>
  <c r="O48" i="1"/>
</calcChain>
</file>

<file path=xl/sharedStrings.xml><?xml version="1.0" encoding="utf-8"?>
<sst xmlns="http://schemas.openxmlformats.org/spreadsheetml/2006/main" count="152" uniqueCount="51">
  <si>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</si>
  <si>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</si>
  <si>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</si>
  <si>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</si>
  <si>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</si>
  <si>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</si>
  <si>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</si>
  <si>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</si>
  <si>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</si>
  <si>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</si>
  <si>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</si>
  <si>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</si>
  <si>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</si>
  <si>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</si>
  <si>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</si>
  <si>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</si>
  <si>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</si>
  <si>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</si>
  <si>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</si>
  <si>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</si>
  <si>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</si>
  <si>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</si>
  <si>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</si>
  <si>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</si>
  <si>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</si>
  <si>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</si>
  <si>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</si>
  <si>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</si>
  <si>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</si>
  <si>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</si>
  <si>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</si>
  <si>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</si>
  <si>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</si>
  <si>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</si>
  <si>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</si>
  <si>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</si>
  <si>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</si>
  <si>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</si>
  <si>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</si>
  <si>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</si>
  <si>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</si>
  <si>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</si>
  <si>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</si>
  <si>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</si>
  <si>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</si>
  <si>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</si>
  <si>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FINANCIAL YEAR 2022-2023</t>
  </si>
  <si>
    <t>STATE WISE RETURN PERIOD WISE GSTR-3B FILING SUMMARY</t>
  </si>
  <si>
    <t>-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</si>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</sst>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0" fontId="5" fillId="2" borderId="0" xfId="0" applyFont="1" applyFill="1" applyAlignment="1">
      <alignment horizontal="left"/>
    </xf>
    <xf numFmtId="165" fontId="3" fillId="0" borderId="0" xfId="0" applyNumberFormat="1" applyFont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0" fontId="0" fillId="0" borderId="1" xfId="0" applyBorder="1"/>
    <xf numFmtId="166" fontId="0" fillId="0" borderId="1" xfId="0" applyNumberFormat="1" applyBorder="1"/>
    <xf numFmtId="166" fontId="0" fillId="0" borderId="1" xfId="10" applyNumberFormat="1" applyFont="1" applyBorder="1"/>
    <xf numFmtId="166" fontId="0" fillId="0" borderId="1" xfId="10" applyNumberFormat="1" applyFont="1" applyFill="1" applyBorder="1"/>
    <xf numFmtId="165" fontId="0" fillId="0" borderId="5" xfId="0" applyNumberFormat="1" applyBorder="1" applyAlignment="1">
      <alignment horizontal="right" vertical="center" wrapText="1"/>
    </xf>
    <xf numFmtId="165" fontId="0" fillId="0" borderId="2" xfId="0" applyNumberFormat="1" applyBorder="1"/>
    <xf numFmtId="165" fontId="0" fillId="0" borderId="6" xfId="0" applyNumberFormat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6"/>
  <sheetViews>
    <sheetView tabSelected="1" zoomScale="60" zoomScaleNormal="60" workbookViewId="0">
      <selection activeCell="A46" sqref="A46"/>
    </sheetView>
  </sheetViews>
  <sheetFormatPr defaultColWidth="8.77734375" defaultRowHeight="14.4" x14ac:dyDescent="0.3"/>
  <cols>
    <col min="1" max="1" width="11" customWidth="1"/>
    <col min="2" max="2" width="26.21875" bestFit="1" customWidth="1"/>
    <col min="3" max="65" width="18.44140625" customWidth="1"/>
  </cols>
  <sheetData>
    <row r="1" spans="1:62" ht="15.6" x14ac:dyDescent="0.3">
      <c r="A1" s="34" t="s">
        <v>47</v>
      </c>
      <c r="B1" s="34"/>
      <c r="C1" s="34"/>
      <c r="D1" s="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6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62" ht="15.6" x14ac:dyDescent="0.3">
      <c r="A3" s="31" t="s">
        <v>46</v>
      </c>
      <c r="B3" s="31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62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62" ht="15.6" x14ac:dyDescent="0.3">
      <c r="A5" s="31" t="s">
        <v>49</v>
      </c>
      <c r="B5" s="31"/>
      <c r="C5" s="3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6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7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62" s="24" customFormat="1" ht="15.6" x14ac:dyDescent="0.3">
      <c r="A8" s="32" t="s">
        <v>0</v>
      </c>
      <c r="B8" s="33" t="s">
        <v>1</v>
      </c>
      <c r="C8" s="28">
        <v>44652</v>
      </c>
      <c r="D8" s="29"/>
      <c r="E8" s="29"/>
      <c r="F8" s="29"/>
      <c r="G8" s="30"/>
      <c r="H8" s="28">
        <v>44682</v>
      </c>
      <c r="I8" s="29"/>
      <c r="J8" s="29"/>
      <c r="K8" s="29"/>
      <c r="L8" s="30"/>
      <c r="M8" s="28">
        <v>44713</v>
      </c>
      <c r="N8" s="29"/>
      <c r="O8" s="29"/>
      <c r="P8" s="29"/>
      <c r="Q8" s="30"/>
      <c r="R8" s="28">
        <v>44743</v>
      </c>
      <c r="S8" s="29"/>
      <c r="T8" s="29"/>
      <c r="U8" s="29"/>
      <c r="V8" s="30"/>
      <c r="W8" s="28">
        <v>44774</v>
      </c>
      <c r="X8" s="29"/>
      <c r="Y8" s="29"/>
      <c r="Z8" s="29"/>
      <c r="AA8" s="30"/>
      <c r="AB8" s="28">
        <v>44805</v>
      </c>
      <c r="AC8" s="29"/>
      <c r="AD8" s="29"/>
      <c r="AE8" s="29"/>
      <c r="AF8" s="30"/>
      <c r="AG8" s="28">
        <v>44835</v>
      </c>
      <c r="AH8" s="29"/>
      <c r="AI8" s="29"/>
      <c r="AJ8" s="29"/>
      <c r="AK8" s="30"/>
      <c r="AL8" s="28">
        <v>44866</v>
      </c>
      <c r="AM8" s="29"/>
      <c r="AN8" s="29"/>
      <c r="AO8" s="29"/>
      <c r="AP8" s="30"/>
      <c r="AQ8" s="28">
        <v>44896</v>
      </c>
      <c r="AR8" s="29"/>
      <c r="AS8" s="29"/>
      <c r="AT8" s="29"/>
      <c r="AU8" s="30"/>
      <c r="AV8" s="28">
        <v>44927</v>
      </c>
      <c r="AW8" s="29"/>
      <c r="AX8" s="29"/>
      <c r="AY8" s="29"/>
      <c r="AZ8" s="30"/>
      <c r="BA8" s="28">
        <v>44958</v>
      </c>
      <c r="BB8" s="29"/>
      <c r="BC8" s="29"/>
      <c r="BD8" s="29"/>
      <c r="BE8" s="30"/>
      <c r="BF8" s="28">
        <v>44986</v>
      </c>
      <c r="BG8" s="29"/>
      <c r="BH8" s="29"/>
      <c r="BI8" s="29"/>
      <c r="BJ8" s="30"/>
    </row>
    <row r="9" spans="1:62" s="24" customFormat="1" ht="31.2" customHeight="1" x14ac:dyDescent="0.3">
      <c r="A9" s="32"/>
      <c r="B9" s="33"/>
      <c r="C9" s="25" t="s">
        <v>2</v>
      </c>
      <c r="D9" s="25" t="s">
        <v>3</v>
      </c>
      <c r="E9" s="25" t="s">
        <v>4</v>
      </c>
      <c r="F9" s="10" t="s">
        <v>5</v>
      </c>
      <c r="G9" s="25" t="s">
        <v>50</v>
      </c>
      <c r="H9" s="25" t="s">
        <v>2</v>
      </c>
      <c r="I9" s="25" t="s">
        <v>3</v>
      </c>
      <c r="J9" s="25" t="s">
        <v>4</v>
      </c>
      <c r="K9" s="10" t="s">
        <v>5</v>
      </c>
      <c r="L9" s="25" t="s">
        <v>50</v>
      </c>
      <c r="M9" s="25" t="s">
        <v>2</v>
      </c>
      <c r="N9" s="25" t="s">
        <v>3</v>
      </c>
      <c r="O9" s="25" t="s">
        <v>4</v>
      </c>
      <c r="P9" s="10" t="s">
        <v>5</v>
      </c>
      <c r="Q9" s="25" t="s">
        <v>50</v>
      </c>
      <c r="R9" s="25" t="s">
        <v>2</v>
      </c>
      <c r="S9" s="25" t="s">
        <v>3</v>
      </c>
      <c r="T9" s="25" t="s">
        <v>4</v>
      </c>
      <c r="U9" s="10" t="s">
        <v>5</v>
      </c>
      <c r="V9" s="25" t="s">
        <v>50</v>
      </c>
      <c r="W9" s="25" t="s">
        <v>2</v>
      </c>
      <c r="X9" s="25" t="s">
        <v>3</v>
      </c>
      <c r="Y9" s="25" t="s">
        <v>4</v>
      </c>
      <c r="Z9" s="10" t="s">
        <v>5</v>
      </c>
      <c r="AA9" s="25" t="s">
        <v>50</v>
      </c>
      <c r="AB9" s="25" t="s">
        <v>2</v>
      </c>
      <c r="AC9" s="25" t="s">
        <v>3</v>
      </c>
      <c r="AD9" s="25" t="s">
        <v>4</v>
      </c>
      <c r="AE9" s="10" t="s">
        <v>5</v>
      </c>
      <c r="AF9" s="25" t="s">
        <v>50</v>
      </c>
      <c r="AG9" s="25" t="s">
        <v>2</v>
      </c>
      <c r="AH9" s="25" t="s">
        <v>3</v>
      </c>
      <c r="AI9" s="25" t="s">
        <v>4</v>
      </c>
      <c r="AJ9" s="10" t="s">
        <v>5</v>
      </c>
      <c r="AK9" s="25" t="s">
        <v>50</v>
      </c>
      <c r="AL9" s="25" t="s">
        <v>2</v>
      </c>
      <c r="AM9" s="25" t="s">
        <v>3</v>
      </c>
      <c r="AN9" s="25" t="s">
        <v>4</v>
      </c>
      <c r="AO9" s="10" t="s">
        <v>5</v>
      </c>
      <c r="AP9" s="25" t="s">
        <v>50</v>
      </c>
      <c r="AQ9" s="25" t="s">
        <v>2</v>
      </c>
      <c r="AR9" s="25" t="s">
        <v>3</v>
      </c>
      <c r="AS9" s="25" t="s">
        <v>4</v>
      </c>
      <c r="AT9" s="10" t="s">
        <v>5</v>
      </c>
      <c r="AU9" s="25" t="s">
        <v>50</v>
      </c>
      <c r="AV9" s="25" t="s">
        <v>2</v>
      </c>
      <c r="AW9" s="25" t="s">
        <v>3</v>
      </c>
      <c r="AX9" s="25" t="s">
        <v>4</v>
      </c>
      <c r="AY9" s="10" t="s">
        <v>5</v>
      </c>
      <c r="AZ9" s="25" t="s">
        <v>50</v>
      </c>
      <c r="BA9" s="25" t="s">
        <v>2</v>
      </c>
      <c r="BB9" s="25" t="s">
        <v>3</v>
      </c>
      <c r="BC9" s="25" t="s">
        <v>4</v>
      </c>
      <c r="BD9" s="10" t="s">
        <v>5</v>
      </c>
      <c r="BE9" s="25" t="s">
        <v>50</v>
      </c>
      <c r="BF9" s="25" t="s">
        <v>2</v>
      </c>
      <c r="BG9" s="25" t="s">
        <v>3</v>
      </c>
      <c r="BH9" s="25" t="s">
        <v>4</v>
      </c>
      <c r="BI9" s="10" t="s">
        <v>5</v>
      </c>
      <c r="BJ9" s="25" t="s">
        <v>50</v>
      </c>
    </row>
    <row r="10" spans="1:62" x14ac:dyDescent="0.3">
      <c r="A10" s="26">
        <v>1</v>
      </c>
      <c r="B10" s="3" t="s">
        <v>6</v>
      </c>
      <c r="C10" s="9">
        <v>66338</v>
      </c>
      <c r="D10" s="8">
        <v>54305</v>
      </c>
      <c r="E10" s="4">
        <f>F10-D10</f>
        <v>12631</v>
      </c>
      <c r="F10" s="22">
        <v>66936</v>
      </c>
      <c r="G10" s="5">
        <f>F10/C10</f>
        <v>1.0090144411950919</v>
      </c>
      <c r="H10" s="9">
        <v>68361</v>
      </c>
      <c r="I10" s="8">
        <v>53607</v>
      </c>
      <c r="J10" s="4">
        <f>K10-I10</f>
        <v>15193</v>
      </c>
      <c r="K10" s="22">
        <v>68800</v>
      </c>
      <c r="L10" s="5">
        <f>K10/H10</f>
        <v>1.0064217902020158</v>
      </c>
      <c r="M10" s="4">
        <v>109205</v>
      </c>
      <c r="N10" s="4">
        <v>87635</v>
      </c>
      <c r="O10" s="4">
        <f>P10-N10</f>
        <v>21280</v>
      </c>
      <c r="P10" s="8">
        <v>108915</v>
      </c>
      <c r="Q10" s="5">
        <f>P10/M10</f>
        <v>0.9973444439357172</v>
      </c>
      <c r="R10" s="9">
        <v>68216</v>
      </c>
      <c r="S10" s="8">
        <v>54634</v>
      </c>
      <c r="T10" s="4">
        <f>U10-S10</f>
        <v>13779</v>
      </c>
      <c r="U10" s="8">
        <v>68413</v>
      </c>
      <c r="V10" s="5">
        <f>U10/R10</f>
        <v>1.0028878855400492</v>
      </c>
      <c r="W10" s="9">
        <v>69437</v>
      </c>
      <c r="X10" s="8">
        <v>55049</v>
      </c>
      <c r="Y10" s="4">
        <f>Z10-X10</f>
        <v>14719</v>
      </c>
      <c r="Z10" s="22">
        <v>69768</v>
      </c>
      <c r="AA10" s="5">
        <f>Z10/W10</f>
        <v>1.0047669110128605</v>
      </c>
      <c r="AB10" s="9">
        <v>112849</v>
      </c>
      <c r="AC10" s="8">
        <v>88786</v>
      </c>
      <c r="AD10" s="4">
        <f>AE10-AC10</f>
        <v>23744</v>
      </c>
      <c r="AE10" s="8">
        <v>112530</v>
      </c>
      <c r="AF10" s="5">
        <f>AE10/AB10</f>
        <v>0.99717321376352475</v>
      </c>
      <c r="AG10" s="9">
        <v>69494</v>
      </c>
      <c r="AH10" s="8">
        <v>54934</v>
      </c>
      <c r="AI10" s="4">
        <f>AJ10-AH10</f>
        <v>14414</v>
      </c>
      <c r="AJ10" s="22">
        <v>69348</v>
      </c>
      <c r="AK10" s="5">
        <f>AJ10/AG10</f>
        <v>0.99789909920280884</v>
      </c>
      <c r="AL10" s="9">
        <v>70757</v>
      </c>
      <c r="AM10" s="8">
        <v>57506</v>
      </c>
      <c r="AN10" s="4">
        <f>AO10-AM10</f>
        <v>12824</v>
      </c>
      <c r="AO10" s="22">
        <v>70330</v>
      </c>
      <c r="AP10" s="5">
        <f>AO10/AL10</f>
        <v>0.99396526138756591</v>
      </c>
      <c r="AQ10" s="15">
        <v>115882</v>
      </c>
      <c r="AR10" s="16">
        <v>94174</v>
      </c>
      <c r="AS10" s="4">
        <f>AT10-AR10</f>
        <v>20531</v>
      </c>
      <c r="AT10" s="8">
        <v>114705</v>
      </c>
      <c r="AU10" s="5">
        <f>AT10/AQ10</f>
        <v>0.98984311627345056</v>
      </c>
      <c r="AV10" s="9">
        <v>70382</v>
      </c>
      <c r="AW10" s="17">
        <v>55856</v>
      </c>
      <c r="AX10" s="4">
        <f>AY10-AW10</f>
        <v>13585</v>
      </c>
      <c r="AY10" s="22">
        <v>69441</v>
      </c>
      <c r="AZ10" s="5">
        <f>AY10/AV10</f>
        <v>0.98663010428802822</v>
      </c>
      <c r="BA10" s="9">
        <v>70494</v>
      </c>
      <c r="BB10" s="20">
        <v>56771</v>
      </c>
      <c r="BC10" s="4">
        <f>BD10-BB10</f>
        <v>13846</v>
      </c>
      <c r="BD10" s="8">
        <v>70617</v>
      </c>
      <c r="BE10" s="5">
        <f>BD10/BA10</f>
        <v>1.0017448293471785</v>
      </c>
      <c r="BF10" s="9">
        <v>117563</v>
      </c>
      <c r="BG10" s="8">
        <v>85276</v>
      </c>
      <c r="BH10" s="4">
        <f>BI10-BG10</f>
        <v>32207</v>
      </c>
      <c r="BI10" s="8">
        <v>117483</v>
      </c>
      <c r="BJ10" s="5">
        <f>BI10/BF10</f>
        <v>0.99931951379260486</v>
      </c>
    </row>
    <row r="11" spans="1:62" x14ac:dyDescent="0.3">
      <c r="A11" s="26">
        <v>2</v>
      </c>
      <c r="B11" s="3" t="s">
        <v>7</v>
      </c>
      <c r="C11" s="9">
        <v>44324</v>
      </c>
      <c r="D11" s="8">
        <v>35712</v>
      </c>
      <c r="E11" s="4">
        <f t="shared" ref="E11:E47" si="0">F11-D11</f>
        <v>7533</v>
      </c>
      <c r="F11" s="22">
        <v>43245</v>
      </c>
      <c r="G11" s="5">
        <f t="shared" ref="G11:G33" si="1">F11/C11</f>
        <v>0.97565652919411605</v>
      </c>
      <c r="H11" s="9">
        <v>45199</v>
      </c>
      <c r="I11" s="8">
        <v>34480</v>
      </c>
      <c r="J11" s="4">
        <f t="shared" ref="J11:J47" si="2">K11-I11</f>
        <v>9558</v>
      </c>
      <c r="K11" s="22">
        <v>44038</v>
      </c>
      <c r="L11" s="5">
        <f t="shared" ref="L11:L47" si="3">K11/H11</f>
        <v>0.97431359100865067</v>
      </c>
      <c r="M11" s="4">
        <v>98966</v>
      </c>
      <c r="N11" s="4">
        <v>78528</v>
      </c>
      <c r="O11" s="4">
        <f t="shared" ref="O11:O48" si="4">P11-N11</f>
        <v>17702</v>
      </c>
      <c r="P11" s="8">
        <v>96230</v>
      </c>
      <c r="Q11" s="5">
        <f t="shared" ref="Q11:Q48" si="5">P11/M11</f>
        <v>0.97235414182648583</v>
      </c>
      <c r="R11" s="9">
        <v>44504</v>
      </c>
      <c r="S11" s="8">
        <v>34689</v>
      </c>
      <c r="T11" s="4">
        <f t="shared" ref="T11:T48" si="6">U11-S11</f>
        <v>8462</v>
      </c>
      <c r="U11" s="8">
        <v>43151</v>
      </c>
      <c r="V11" s="5">
        <f t="shared" ref="V11:V48" si="7">U11/R11</f>
        <v>0.96959823836059678</v>
      </c>
      <c r="W11" s="9">
        <v>45023</v>
      </c>
      <c r="X11" s="8">
        <v>34380</v>
      </c>
      <c r="Y11" s="4">
        <f t="shared" ref="Y11:Y47" si="8">Z11-X11</f>
        <v>9430</v>
      </c>
      <c r="Z11" s="22">
        <v>43810</v>
      </c>
      <c r="AA11" s="5">
        <f t="shared" ref="AA11:AA47" si="9">Z11/W11</f>
        <v>0.97305821469026943</v>
      </c>
      <c r="AB11" s="9">
        <v>99888</v>
      </c>
      <c r="AC11" s="8">
        <v>77122</v>
      </c>
      <c r="AD11" s="4">
        <f t="shared" ref="AD11:AD48" si="10">AE11-AC11</f>
        <v>20298</v>
      </c>
      <c r="AE11" s="8">
        <v>97420</v>
      </c>
      <c r="AF11" s="5">
        <f t="shared" ref="AF11:AF48" si="11">AE11/AB11</f>
        <v>0.97529232740669547</v>
      </c>
      <c r="AG11" s="9">
        <v>44744</v>
      </c>
      <c r="AH11" s="8">
        <v>34504</v>
      </c>
      <c r="AI11" s="4">
        <f t="shared" ref="AI11:AI48" si="12">AJ11-AH11</f>
        <v>8868</v>
      </c>
      <c r="AJ11" s="22">
        <v>43372</v>
      </c>
      <c r="AK11" s="5">
        <f t="shared" ref="AK11:AK48" si="13">AJ11/AG11</f>
        <v>0.96933667083854813</v>
      </c>
      <c r="AL11" s="9">
        <v>45303</v>
      </c>
      <c r="AM11" s="8">
        <v>36186</v>
      </c>
      <c r="AN11" s="4">
        <f t="shared" ref="AN11:AN48" si="14">AO11-AM11</f>
        <v>7707</v>
      </c>
      <c r="AO11" s="22">
        <v>43893</v>
      </c>
      <c r="AP11" s="5">
        <f t="shared" ref="AP11:AP48" si="15">AO11/AL11</f>
        <v>0.96887623336202899</v>
      </c>
      <c r="AQ11" s="15">
        <v>100769</v>
      </c>
      <c r="AR11" s="16">
        <v>83582</v>
      </c>
      <c r="AS11" s="4">
        <f t="shared" ref="AS11:AS48" si="16">AT11-AR11</f>
        <v>14779</v>
      </c>
      <c r="AT11" s="8">
        <v>98361</v>
      </c>
      <c r="AU11" s="5">
        <f t="shared" ref="AU11:AU48" si="17">AT11/AQ11</f>
        <v>0.97610376206968408</v>
      </c>
      <c r="AV11" s="9">
        <v>46153</v>
      </c>
      <c r="AW11" s="17">
        <v>36055</v>
      </c>
      <c r="AX11" s="4">
        <f t="shared" ref="AX11:AX48" si="18">AY11-AW11</f>
        <v>7695</v>
      </c>
      <c r="AY11" s="22">
        <v>43750</v>
      </c>
      <c r="AZ11" s="5">
        <f t="shared" ref="AZ11:AZ48" si="19">AY11/AV11</f>
        <v>0.94793404545750004</v>
      </c>
      <c r="BA11" s="9">
        <v>44735</v>
      </c>
      <c r="BB11" s="20">
        <v>36965</v>
      </c>
      <c r="BC11" s="4">
        <f t="shared" ref="BC11:BC48" si="20">BD11-BB11</f>
        <v>7805</v>
      </c>
      <c r="BD11" s="8">
        <v>44770</v>
      </c>
      <c r="BE11" s="5">
        <f t="shared" ref="BE11:BE48" si="21">BD11/BA11</f>
        <v>1.0007823851570359</v>
      </c>
      <c r="BF11" s="9">
        <v>99991</v>
      </c>
      <c r="BG11" s="8">
        <v>79093</v>
      </c>
      <c r="BH11" s="4">
        <f t="shared" ref="BH11:BH48" si="22">BI11-BG11</f>
        <v>21629</v>
      </c>
      <c r="BI11" s="8">
        <v>100722</v>
      </c>
      <c r="BJ11" s="5">
        <f t="shared" ref="BJ11:BJ48" si="23">BI11/BF11</f>
        <v>1.0073106579592164</v>
      </c>
    </row>
    <row r="12" spans="1:62" x14ac:dyDescent="0.3">
      <c r="A12" s="26">
        <v>3</v>
      </c>
      <c r="B12" s="3" t="s">
        <v>8</v>
      </c>
      <c r="C12" s="9">
        <v>164856</v>
      </c>
      <c r="D12" s="8">
        <v>135790</v>
      </c>
      <c r="E12" s="4">
        <f t="shared" si="0"/>
        <v>19989</v>
      </c>
      <c r="F12" s="22">
        <v>155779</v>
      </c>
      <c r="G12" s="5">
        <f t="shared" si="1"/>
        <v>0.94493982627262585</v>
      </c>
      <c r="H12" s="9">
        <v>167213</v>
      </c>
      <c r="I12" s="8">
        <v>134055</v>
      </c>
      <c r="J12" s="4">
        <f t="shared" si="2"/>
        <v>24938</v>
      </c>
      <c r="K12" s="22">
        <v>158993</v>
      </c>
      <c r="L12" s="5">
        <f t="shared" si="3"/>
        <v>0.95084114273411757</v>
      </c>
      <c r="M12" s="4">
        <v>342449</v>
      </c>
      <c r="N12" s="4">
        <v>275507</v>
      </c>
      <c r="O12" s="4">
        <f t="shared" si="4"/>
        <v>51797</v>
      </c>
      <c r="P12" s="8">
        <v>327304</v>
      </c>
      <c r="Q12" s="5">
        <f t="shared" si="5"/>
        <v>0.95577443648543292</v>
      </c>
      <c r="R12" s="9">
        <v>167538</v>
      </c>
      <c r="S12" s="8">
        <v>134168</v>
      </c>
      <c r="T12" s="4">
        <f t="shared" si="6"/>
        <v>23865</v>
      </c>
      <c r="U12" s="8">
        <v>158033</v>
      </c>
      <c r="V12" s="5">
        <f t="shared" si="7"/>
        <v>0.94326660220367919</v>
      </c>
      <c r="W12" s="9">
        <v>169859</v>
      </c>
      <c r="X12" s="8">
        <v>133523</v>
      </c>
      <c r="Y12" s="4">
        <f t="shared" si="8"/>
        <v>27068</v>
      </c>
      <c r="Z12" s="22">
        <v>160591</v>
      </c>
      <c r="AA12" s="5">
        <f t="shared" si="9"/>
        <v>0.94543709782819874</v>
      </c>
      <c r="AB12" s="9">
        <v>346997</v>
      </c>
      <c r="AC12" s="8">
        <v>267467</v>
      </c>
      <c r="AD12" s="4">
        <f t="shared" si="10"/>
        <v>64286</v>
      </c>
      <c r="AE12" s="8">
        <v>331753</v>
      </c>
      <c r="AF12" s="5">
        <f t="shared" si="11"/>
        <v>0.9560687844563498</v>
      </c>
      <c r="AG12" s="9">
        <v>170493</v>
      </c>
      <c r="AH12" s="8">
        <v>133468</v>
      </c>
      <c r="AI12" s="4">
        <f t="shared" si="12"/>
        <v>26918</v>
      </c>
      <c r="AJ12" s="22">
        <v>160386</v>
      </c>
      <c r="AK12" s="5">
        <f t="shared" si="13"/>
        <v>0.94071897379951086</v>
      </c>
      <c r="AL12" s="9">
        <v>172338</v>
      </c>
      <c r="AM12" s="8">
        <v>139439</v>
      </c>
      <c r="AN12" s="4">
        <f t="shared" si="14"/>
        <v>23346</v>
      </c>
      <c r="AO12" s="22">
        <v>162785</v>
      </c>
      <c r="AP12" s="5">
        <f t="shared" si="15"/>
        <v>0.94456823219487285</v>
      </c>
      <c r="AQ12" s="15">
        <v>350104</v>
      </c>
      <c r="AR12" s="16">
        <v>291494</v>
      </c>
      <c r="AS12" s="4">
        <f t="shared" si="16"/>
        <v>43760</v>
      </c>
      <c r="AT12" s="8">
        <v>335254</v>
      </c>
      <c r="AU12" s="5">
        <f t="shared" si="17"/>
        <v>0.95758403217329713</v>
      </c>
      <c r="AV12" s="9">
        <v>177002</v>
      </c>
      <c r="AW12" s="17">
        <v>139410</v>
      </c>
      <c r="AX12" s="4">
        <f t="shared" si="18"/>
        <v>22982</v>
      </c>
      <c r="AY12" s="22">
        <v>162392</v>
      </c>
      <c r="AZ12" s="5">
        <f t="shared" si="19"/>
        <v>0.9174585597902849</v>
      </c>
      <c r="BA12" s="9">
        <v>166689</v>
      </c>
      <c r="BB12" s="20">
        <v>136357</v>
      </c>
      <c r="BC12" s="4">
        <f t="shared" si="20"/>
        <v>28220</v>
      </c>
      <c r="BD12" s="8">
        <v>164577</v>
      </c>
      <c r="BE12" s="5">
        <f t="shared" si="21"/>
        <v>0.98732969782049207</v>
      </c>
      <c r="BF12" s="9">
        <v>341156</v>
      </c>
      <c r="BG12" s="8">
        <v>270534</v>
      </c>
      <c r="BH12" s="4">
        <f t="shared" si="22"/>
        <v>69389</v>
      </c>
      <c r="BI12" s="8">
        <v>339923</v>
      </c>
      <c r="BJ12" s="5">
        <f t="shared" si="23"/>
        <v>0.99638581763181655</v>
      </c>
    </row>
    <row r="13" spans="1:62" x14ac:dyDescent="0.3">
      <c r="A13" s="26">
        <v>4</v>
      </c>
      <c r="B13" s="3" t="s">
        <v>9</v>
      </c>
      <c r="C13" s="9">
        <v>16166</v>
      </c>
      <c r="D13" s="8">
        <v>13748</v>
      </c>
      <c r="E13" s="4">
        <f t="shared" si="0"/>
        <v>1983</v>
      </c>
      <c r="F13" s="22">
        <v>15731</v>
      </c>
      <c r="G13" s="5">
        <f t="shared" si="1"/>
        <v>0.97309167388345907</v>
      </c>
      <c r="H13" s="9">
        <v>16130</v>
      </c>
      <c r="I13" s="8">
        <v>13339</v>
      </c>
      <c r="J13" s="4">
        <f t="shared" si="2"/>
        <v>2482</v>
      </c>
      <c r="K13" s="22">
        <v>15821</v>
      </c>
      <c r="L13" s="5">
        <f t="shared" si="3"/>
        <v>0.98084314941103534</v>
      </c>
      <c r="M13" s="4">
        <v>27634</v>
      </c>
      <c r="N13" s="4">
        <v>22592</v>
      </c>
      <c r="O13" s="4">
        <f t="shared" si="4"/>
        <v>4429</v>
      </c>
      <c r="P13" s="8">
        <v>27021</v>
      </c>
      <c r="Q13" s="5">
        <f t="shared" si="5"/>
        <v>0.9778171817326482</v>
      </c>
      <c r="R13" s="9">
        <v>16335</v>
      </c>
      <c r="S13" s="8">
        <v>13515</v>
      </c>
      <c r="T13" s="4">
        <f t="shared" si="6"/>
        <v>2399</v>
      </c>
      <c r="U13" s="8">
        <v>15914</v>
      </c>
      <c r="V13" s="5">
        <f t="shared" si="7"/>
        <v>0.97422711968166509</v>
      </c>
      <c r="W13" s="9">
        <v>16429</v>
      </c>
      <c r="X13" s="8">
        <v>13415</v>
      </c>
      <c r="Y13" s="4">
        <f t="shared" si="8"/>
        <v>2647</v>
      </c>
      <c r="Z13" s="22">
        <v>16062</v>
      </c>
      <c r="AA13" s="5">
        <f t="shared" si="9"/>
        <v>0.97766145230993973</v>
      </c>
      <c r="AB13" s="9">
        <v>27947</v>
      </c>
      <c r="AC13" s="8">
        <v>21927</v>
      </c>
      <c r="AD13" s="4">
        <f t="shared" si="10"/>
        <v>5404</v>
      </c>
      <c r="AE13" s="8">
        <v>27331</v>
      </c>
      <c r="AF13" s="5">
        <f t="shared" si="11"/>
        <v>0.97795827816939207</v>
      </c>
      <c r="AG13" s="9">
        <v>16563</v>
      </c>
      <c r="AH13" s="8">
        <v>13600</v>
      </c>
      <c r="AI13" s="4">
        <f t="shared" si="12"/>
        <v>2669</v>
      </c>
      <c r="AJ13" s="22">
        <v>16269</v>
      </c>
      <c r="AK13" s="5">
        <f t="shared" si="13"/>
        <v>0.9822495924651331</v>
      </c>
      <c r="AL13" s="9">
        <v>16674</v>
      </c>
      <c r="AM13" s="8">
        <v>14084</v>
      </c>
      <c r="AN13" s="4">
        <f t="shared" si="14"/>
        <v>2222</v>
      </c>
      <c r="AO13" s="22">
        <v>16306</v>
      </c>
      <c r="AP13" s="5">
        <f t="shared" si="15"/>
        <v>0.97792971092719205</v>
      </c>
      <c r="AQ13" s="15">
        <v>28095</v>
      </c>
      <c r="AR13" s="16">
        <v>23765</v>
      </c>
      <c r="AS13" s="4">
        <f t="shared" si="16"/>
        <v>3756</v>
      </c>
      <c r="AT13" s="8">
        <v>27521</v>
      </c>
      <c r="AU13" s="5">
        <f t="shared" si="17"/>
        <v>0.97956931838405414</v>
      </c>
      <c r="AV13" s="9">
        <v>16929</v>
      </c>
      <c r="AW13" s="17">
        <v>14131</v>
      </c>
      <c r="AX13" s="4">
        <f t="shared" si="18"/>
        <v>2223</v>
      </c>
      <c r="AY13" s="22">
        <v>16354</v>
      </c>
      <c r="AZ13" s="5">
        <f t="shared" si="19"/>
        <v>0.96603461515742217</v>
      </c>
      <c r="BA13" s="9">
        <v>16442</v>
      </c>
      <c r="BB13" s="20">
        <v>13922</v>
      </c>
      <c r="BC13" s="4">
        <f t="shared" si="20"/>
        <v>2531</v>
      </c>
      <c r="BD13" s="8">
        <v>16453</v>
      </c>
      <c r="BE13" s="5">
        <f t="shared" si="21"/>
        <v>1.0006690183675953</v>
      </c>
      <c r="BF13" s="9">
        <v>27637</v>
      </c>
      <c r="BG13" s="8">
        <v>22468</v>
      </c>
      <c r="BH13" s="4">
        <f t="shared" si="22"/>
        <v>5281</v>
      </c>
      <c r="BI13" s="8">
        <v>27749</v>
      </c>
      <c r="BJ13" s="5">
        <f t="shared" si="23"/>
        <v>1.0040525382639216</v>
      </c>
    </row>
    <row r="14" spans="1:62" x14ac:dyDescent="0.3">
      <c r="A14" s="26">
        <v>5</v>
      </c>
      <c r="B14" s="3" t="s">
        <v>10</v>
      </c>
      <c r="C14" s="9">
        <v>82800</v>
      </c>
      <c r="D14" s="8">
        <v>63216</v>
      </c>
      <c r="E14" s="4">
        <f t="shared" si="0"/>
        <v>15678</v>
      </c>
      <c r="F14" s="22">
        <v>78894</v>
      </c>
      <c r="G14" s="5">
        <f t="shared" si="1"/>
        <v>0.95282608695652171</v>
      </c>
      <c r="H14" s="9">
        <v>84757</v>
      </c>
      <c r="I14" s="8">
        <v>61757</v>
      </c>
      <c r="J14" s="4">
        <f t="shared" si="2"/>
        <v>18870</v>
      </c>
      <c r="K14" s="22">
        <v>80627</v>
      </c>
      <c r="L14" s="5">
        <f t="shared" si="3"/>
        <v>0.95127246127163534</v>
      </c>
      <c r="M14" s="4">
        <v>154914</v>
      </c>
      <c r="N14" s="4">
        <v>116234</v>
      </c>
      <c r="O14" s="4">
        <f t="shared" si="4"/>
        <v>31312</v>
      </c>
      <c r="P14" s="8">
        <v>147546</v>
      </c>
      <c r="Q14" s="5">
        <f t="shared" si="5"/>
        <v>0.95243812696076535</v>
      </c>
      <c r="R14" s="9">
        <v>85475</v>
      </c>
      <c r="S14" s="8">
        <v>62339</v>
      </c>
      <c r="T14" s="4">
        <f t="shared" si="6"/>
        <v>18035</v>
      </c>
      <c r="U14" s="8">
        <v>80374</v>
      </c>
      <c r="V14" s="5">
        <f t="shared" si="7"/>
        <v>0.94032173150043874</v>
      </c>
      <c r="W14" s="9">
        <v>86445</v>
      </c>
      <c r="X14" s="8">
        <v>62443</v>
      </c>
      <c r="Y14" s="4">
        <f t="shared" si="8"/>
        <v>19191</v>
      </c>
      <c r="Z14" s="22">
        <v>81634</v>
      </c>
      <c r="AA14" s="5">
        <f t="shared" si="9"/>
        <v>0.94434611602753193</v>
      </c>
      <c r="AB14" s="9">
        <v>156524</v>
      </c>
      <c r="AC14" s="8">
        <v>111683</v>
      </c>
      <c r="AD14" s="4">
        <f t="shared" si="10"/>
        <v>37399</v>
      </c>
      <c r="AE14" s="8">
        <v>149082</v>
      </c>
      <c r="AF14" s="5">
        <f t="shared" si="11"/>
        <v>0.95245457565612945</v>
      </c>
      <c r="AG14" s="9">
        <v>86459</v>
      </c>
      <c r="AH14" s="8">
        <v>62077</v>
      </c>
      <c r="AI14" s="4">
        <f t="shared" si="12"/>
        <v>19488</v>
      </c>
      <c r="AJ14" s="22">
        <v>81565</v>
      </c>
      <c r="AK14" s="5">
        <f t="shared" si="13"/>
        <v>0.94339513526642682</v>
      </c>
      <c r="AL14" s="9">
        <v>87786</v>
      </c>
      <c r="AM14" s="8">
        <v>66101</v>
      </c>
      <c r="AN14" s="4">
        <f t="shared" si="14"/>
        <v>16945</v>
      </c>
      <c r="AO14" s="22">
        <v>83046</v>
      </c>
      <c r="AP14" s="5">
        <f t="shared" si="15"/>
        <v>0.94600505775408383</v>
      </c>
      <c r="AQ14" s="15">
        <v>158597</v>
      </c>
      <c r="AR14" s="16">
        <v>123154</v>
      </c>
      <c r="AS14" s="4">
        <f t="shared" si="16"/>
        <v>28229</v>
      </c>
      <c r="AT14" s="8">
        <v>151383</v>
      </c>
      <c r="AU14" s="5">
        <f t="shared" si="17"/>
        <v>0.95451364149384921</v>
      </c>
      <c r="AV14" s="9">
        <v>90863</v>
      </c>
      <c r="AW14" s="17">
        <v>66574</v>
      </c>
      <c r="AX14" s="4">
        <f t="shared" si="18"/>
        <v>17160</v>
      </c>
      <c r="AY14" s="22">
        <v>83734</v>
      </c>
      <c r="AZ14" s="5">
        <f t="shared" si="19"/>
        <v>0.92154122139924943</v>
      </c>
      <c r="BA14" s="9">
        <v>86219</v>
      </c>
      <c r="BB14" s="20">
        <v>67669</v>
      </c>
      <c r="BC14" s="4">
        <f t="shared" si="20"/>
        <v>17701</v>
      </c>
      <c r="BD14" s="8">
        <v>85370</v>
      </c>
      <c r="BE14" s="5">
        <f t="shared" si="21"/>
        <v>0.99015298252125405</v>
      </c>
      <c r="BF14" s="9">
        <v>155639</v>
      </c>
      <c r="BG14" s="8">
        <v>114687</v>
      </c>
      <c r="BH14" s="4">
        <f t="shared" si="22"/>
        <v>40060</v>
      </c>
      <c r="BI14" s="8">
        <v>154747</v>
      </c>
      <c r="BJ14" s="5">
        <f t="shared" si="23"/>
        <v>0.99426878867121993</v>
      </c>
    </row>
    <row r="15" spans="1:62" x14ac:dyDescent="0.3">
      <c r="A15" s="26">
        <v>6</v>
      </c>
      <c r="B15" s="3" t="s">
        <v>11</v>
      </c>
      <c r="C15" s="9">
        <v>272326</v>
      </c>
      <c r="D15" s="8">
        <v>216540</v>
      </c>
      <c r="E15" s="4">
        <f t="shared" si="0"/>
        <v>42563</v>
      </c>
      <c r="F15" s="22">
        <v>259103</v>
      </c>
      <c r="G15" s="5">
        <f t="shared" si="1"/>
        <v>0.95144422493628955</v>
      </c>
      <c r="H15" s="9">
        <v>273855</v>
      </c>
      <c r="I15" s="8">
        <v>212405</v>
      </c>
      <c r="J15" s="4">
        <f t="shared" si="2"/>
        <v>51656</v>
      </c>
      <c r="K15" s="22">
        <v>264061</v>
      </c>
      <c r="L15" s="5">
        <f t="shared" si="3"/>
        <v>0.96423654853846008</v>
      </c>
      <c r="M15" s="4">
        <v>476752</v>
      </c>
      <c r="N15" s="4">
        <v>375255</v>
      </c>
      <c r="O15" s="4">
        <f t="shared" si="4"/>
        <v>82640</v>
      </c>
      <c r="P15" s="8">
        <v>457895</v>
      </c>
      <c r="Q15" s="5">
        <f t="shared" si="5"/>
        <v>0.9604469409672115</v>
      </c>
      <c r="R15" s="9">
        <v>276623</v>
      </c>
      <c r="S15" s="8">
        <v>215870</v>
      </c>
      <c r="T15" s="4">
        <f t="shared" si="6"/>
        <v>48254</v>
      </c>
      <c r="U15" s="8">
        <v>264124</v>
      </c>
      <c r="V15" s="5">
        <f t="shared" si="7"/>
        <v>0.95481576007779545</v>
      </c>
      <c r="W15" s="9">
        <v>279410</v>
      </c>
      <c r="X15" s="8">
        <v>216779</v>
      </c>
      <c r="Y15" s="4">
        <f t="shared" si="8"/>
        <v>51087</v>
      </c>
      <c r="Z15" s="22">
        <v>267866</v>
      </c>
      <c r="AA15" s="5">
        <f t="shared" si="9"/>
        <v>0.95868437063813039</v>
      </c>
      <c r="AB15" s="9">
        <v>484645</v>
      </c>
      <c r="AC15" s="8">
        <v>365604</v>
      </c>
      <c r="AD15" s="4">
        <f t="shared" si="10"/>
        <v>99581</v>
      </c>
      <c r="AE15" s="8">
        <v>465185</v>
      </c>
      <c r="AF15" s="5">
        <f t="shared" si="11"/>
        <v>0.95984689824510727</v>
      </c>
      <c r="AG15" s="9">
        <v>282622</v>
      </c>
      <c r="AH15" s="8">
        <v>216387</v>
      </c>
      <c r="AI15" s="4">
        <f t="shared" si="12"/>
        <v>52763</v>
      </c>
      <c r="AJ15" s="22">
        <v>269150</v>
      </c>
      <c r="AK15" s="5">
        <f t="shared" si="13"/>
        <v>0.95233209021236842</v>
      </c>
      <c r="AL15" s="9">
        <v>285773</v>
      </c>
      <c r="AM15" s="8">
        <v>226955</v>
      </c>
      <c r="AN15" s="4">
        <f t="shared" si="14"/>
        <v>46185</v>
      </c>
      <c r="AO15" s="22">
        <v>273140</v>
      </c>
      <c r="AP15" s="5">
        <f t="shared" si="15"/>
        <v>0.95579358441840201</v>
      </c>
      <c r="AQ15" s="15">
        <v>491220</v>
      </c>
      <c r="AR15" s="16">
        <v>402097</v>
      </c>
      <c r="AS15" s="4">
        <f t="shared" si="16"/>
        <v>69965</v>
      </c>
      <c r="AT15" s="8">
        <v>472062</v>
      </c>
      <c r="AU15" s="5">
        <f t="shared" si="17"/>
        <v>0.96099914498595329</v>
      </c>
      <c r="AV15" s="9">
        <v>292625</v>
      </c>
      <c r="AW15" s="17">
        <v>230692</v>
      </c>
      <c r="AX15" s="4">
        <f t="shared" si="18"/>
        <v>44926</v>
      </c>
      <c r="AY15" s="22">
        <v>275618</v>
      </c>
      <c r="AZ15" s="5">
        <f t="shared" si="19"/>
        <v>0.94188124733020073</v>
      </c>
      <c r="BA15" s="9">
        <v>283148</v>
      </c>
      <c r="BB15" s="20">
        <v>233430</v>
      </c>
      <c r="BC15" s="4">
        <f t="shared" si="20"/>
        <v>46795</v>
      </c>
      <c r="BD15" s="8">
        <v>280225</v>
      </c>
      <c r="BE15" s="5">
        <f t="shared" si="21"/>
        <v>0.98967677680930111</v>
      </c>
      <c r="BF15" s="9">
        <v>485122</v>
      </c>
      <c r="BG15" s="8">
        <v>380863</v>
      </c>
      <c r="BH15" s="4">
        <f t="shared" si="22"/>
        <v>100956</v>
      </c>
      <c r="BI15" s="8">
        <v>481819</v>
      </c>
      <c r="BJ15" s="5">
        <f t="shared" si="23"/>
        <v>0.99319140339955725</v>
      </c>
    </row>
    <row r="16" spans="1:62" x14ac:dyDescent="0.3">
      <c r="A16" s="26">
        <v>7</v>
      </c>
      <c r="B16" s="3" t="s">
        <v>12</v>
      </c>
      <c r="C16" s="9">
        <v>410282</v>
      </c>
      <c r="D16" s="8">
        <v>332213</v>
      </c>
      <c r="E16" s="4">
        <f t="shared" si="0"/>
        <v>61340</v>
      </c>
      <c r="F16" s="22">
        <v>393553</v>
      </c>
      <c r="G16" s="5">
        <f t="shared" si="1"/>
        <v>0.959225605802838</v>
      </c>
      <c r="H16" s="9">
        <v>416018</v>
      </c>
      <c r="I16" s="8">
        <v>326640</v>
      </c>
      <c r="J16" s="4">
        <f t="shared" si="2"/>
        <v>74127</v>
      </c>
      <c r="K16" s="22">
        <v>400767</v>
      </c>
      <c r="L16" s="5">
        <f t="shared" si="3"/>
        <v>0.96334052853482299</v>
      </c>
      <c r="M16" s="4">
        <v>750813</v>
      </c>
      <c r="N16" s="4">
        <v>598466</v>
      </c>
      <c r="O16" s="4">
        <f t="shared" si="4"/>
        <v>121090</v>
      </c>
      <c r="P16" s="8">
        <v>719556</v>
      </c>
      <c r="Q16" s="5">
        <f t="shared" si="5"/>
        <v>0.95836912786539397</v>
      </c>
      <c r="R16" s="9">
        <v>419109</v>
      </c>
      <c r="S16" s="8">
        <v>328883</v>
      </c>
      <c r="T16" s="4">
        <f t="shared" si="6"/>
        <v>73017</v>
      </c>
      <c r="U16" s="8">
        <v>401900</v>
      </c>
      <c r="V16" s="5">
        <f t="shared" si="7"/>
        <v>0.95893908267300387</v>
      </c>
      <c r="W16" s="9">
        <v>423539</v>
      </c>
      <c r="X16" s="8">
        <v>333955</v>
      </c>
      <c r="Y16" s="4">
        <f t="shared" si="8"/>
        <v>73349</v>
      </c>
      <c r="Z16" s="22">
        <v>407304</v>
      </c>
      <c r="AA16" s="5">
        <f t="shared" si="9"/>
        <v>0.96166822889981796</v>
      </c>
      <c r="AB16" s="9">
        <v>762171</v>
      </c>
      <c r="AC16" s="8">
        <v>580492</v>
      </c>
      <c r="AD16" s="4">
        <f t="shared" si="10"/>
        <v>150583</v>
      </c>
      <c r="AE16" s="8">
        <v>731075</v>
      </c>
      <c r="AF16" s="5">
        <f t="shared" si="11"/>
        <v>0.95920075678555072</v>
      </c>
      <c r="AG16" s="9">
        <v>429452</v>
      </c>
      <c r="AH16" s="8">
        <v>331544</v>
      </c>
      <c r="AI16" s="4">
        <f t="shared" si="12"/>
        <v>79994</v>
      </c>
      <c r="AJ16" s="22">
        <v>411538</v>
      </c>
      <c r="AK16" s="5">
        <f t="shared" si="13"/>
        <v>0.95828637426301422</v>
      </c>
      <c r="AL16" s="9">
        <v>434676</v>
      </c>
      <c r="AM16" s="8">
        <v>346099</v>
      </c>
      <c r="AN16" s="4">
        <f t="shared" si="14"/>
        <v>70954</v>
      </c>
      <c r="AO16" s="22">
        <v>417053</v>
      </c>
      <c r="AP16" s="5">
        <f t="shared" si="15"/>
        <v>0.9594571588953611</v>
      </c>
      <c r="AQ16" s="15">
        <v>772632</v>
      </c>
      <c r="AR16" s="16">
        <v>631305</v>
      </c>
      <c r="AS16" s="4">
        <f t="shared" si="16"/>
        <v>110190</v>
      </c>
      <c r="AT16" s="8">
        <v>741495</v>
      </c>
      <c r="AU16" s="5">
        <f t="shared" si="17"/>
        <v>0.95970009008169477</v>
      </c>
      <c r="AV16" s="9">
        <v>448203</v>
      </c>
      <c r="AW16" s="17">
        <v>350456</v>
      </c>
      <c r="AX16" s="4">
        <f t="shared" si="18"/>
        <v>69555</v>
      </c>
      <c r="AY16" s="22">
        <v>420011</v>
      </c>
      <c r="AZ16" s="5">
        <f t="shared" si="19"/>
        <v>0.93709993016557225</v>
      </c>
      <c r="BA16" s="9">
        <v>429555</v>
      </c>
      <c r="BB16" s="20">
        <v>353872</v>
      </c>
      <c r="BC16" s="4">
        <f t="shared" si="20"/>
        <v>70948</v>
      </c>
      <c r="BD16" s="8">
        <v>424820</v>
      </c>
      <c r="BE16" s="5">
        <f t="shared" si="21"/>
        <v>0.98897696453306327</v>
      </c>
      <c r="BF16" s="9">
        <v>753579</v>
      </c>
      <c r="BG16" s="8">
        <v>603202</v>
      </c>
      <c r="BH16" s="4">
        <f t="shared" si="22"/>
        <v>148001</v>
      </c>
      <c r="BI16" s="8">
        <v>751203</v>
      </c>
      <c r="BJ16" s="5">
        <f t="shared" si="23"/>
        <v>0.99684704589697959</v>
      </c>
    </row>
    <row r="17" spans="1:62" x14ac:dyDescent="0.3">
      <c r="A17" s="26">
        <v>8</v>
      </c>
      <c r="B17" s="3" t="s">
        <v>13</v>
      </c>
      <c r="C17" s="9">
        <v>282871</v>
      </c>
      <c r="D17" s="8">
        <v>226052</v>
      </c>
      <c r="E17" s="4">
        <f t="shared" si="0"/>
        <v>51286</v>
      </c>
      <c r="F17" s="22">
        <v>277338</v>
      </c>
      <c r="G17" s="5">
        <f t="shared" si="1"/>
        <v>0.98043984713880183</v>
      </c>
      <c r="H17" s="9">
        <v>290053</v>
      </c>
      <c r="I17" s="8">
        <v>225287</v>
      </c>
      <c r="J17" s="4">
        <f t="shared" si="2"/>
        <v>59551</v>
      </c>
      <c r="K17" s="22">
        <v>284838</v>
      </c>
      <c r="L17" s="5">
        <f t="shared" si="3"/>
        <v>0.98202052728294487</v>
      </c>
      <c r="M17" s="4">
        <v>666005</v>
      </c>
      <c r="N17" s="4">
        <v>517864</v>
      </c>
      <c r="O17" s="4">
        <f t="shared" si="4"/>
        <v>128133</v>
      </c>
      <c r="P17" s="8">
        <v>645997</v>
      </c>
      <c r="Q17" s="5">
        <f t="shared" si="5"/>
        <v>0.96995818349712093</v>
      </c>
      <c r="R17" s="9">
        <v>287981</v>
      </c>
      <c r="S17" s="8">
        <v>225545</v>
      </c>
      <c r="T17" s="4">
        <f t="shared" si="6"/>
        <v>55285</v>
      </c>
      <c r="U17" s="8">
        <v>280830</v>
      </c>
      <c r="V17" s="5">
        <f t="shared" si="7"/>
        <v>0.97516850069969896</v>
      </c>
      <c r="W17" s="9">
        <v>293004</v>
      </c>
      <c r="X17" s="8">
        <v>226187</v>
      </c>
      <c r="Y17" s="4">
        <f t="shared" si="8"/>
        <v>60480</v>
      </c>
      <c r="Z17" s="22">
        <v>286667</v>
      </c>
      <c r="AA17" s="5">
        <f t="shared" si="9"/>
        <v>0.97837230891045857</v>
      </c>
      <c r="AB17" s="9">
        <v>677720</v>
      </c>
      <c r="AC17" s="8">
        <v>513261</v>
      </c>
      <c r="AD17" s="4">
        <f t="shared" si="10"/>
        <v>145689</v>
      </c>
      <c r="AE17" s="8">
        <v>658950</v>
      </c>
      <c r="AF17" s="5">
        <f t="shared" si="11"/>
        <v>0.97230419642330168</v>
      </c>
      <c r="AG17" s="9">
        <v>295677</v>
      </c>
      <c r="AH17" s="8">
        <v>228444</v>
      </c>
      <c r="AI17" s="4">
        <f t="shared" si="12"/>
        <v>59679</v>
      </c>
      <c r="AJ17" s="22">
        <v>288123</v>
      </c>
      <c r="AK17" s="5">
        <f t="shared" si="13"/>
        <v>0.97445185117543809</v>
      </c>
      <c r="AL17" s="9">
        <v>303084</v>
      </c>
      <c r="AM17" s="8">
        <v>244508</v>
      </c>
      <c r="AN17" s="4">
        <f t="shared" si="14"/>
        <v>51552</v>
      </c>
      <c r="AO17" s="22">
        <v>296060</v>
      </c>
      <c r="AP17" s="5">
        <f t="shared" si="15"/>
        <v>0.97682490662654575</v>
      </c>
      <c r="AQ17" s="15">
        <v>690105</v>
      </c>
      <c r="AR17" s="16">
        <v>567145</v>
      </c>
      <c r="AS17" s="4">
        <f t="shared" si="16"/>
        <v>105815</v>
      </c>
      <c r="AT17" s="8">
        <v>672960</v>
      </c>
      <c r="AU17" s="5">
        <f t="shared" si="17"/>
        <v>0.97515595452865866</v>
      </c>
      <c r="AV17" s="9">
        <v>311697</v>
      </c>
      <c r="AW17" s="17">
        <v>245843</v>
      </c>
      <c r="AX17" s="4">
        <f t="shared" si="18"/>
        <v>49022</v>
      </c>
      <c r="AY17" s="22">
        <v>294865</v>
      </c>
      <c r="AZ17" s="5">
        <f t="shared" si="19"/>
        <v>0.94599883861570688</v>
      </c>
      <c r="BA17" s="9">
        <v>307540</v>
      </c>
      <c r="BB17" s="20">
        <v>252773</v>
      </c>
      <c r="BC17" s="4">
        <f t="shared" si="20"/>
        <v>49219</v>
      </c>
      <c r="BD17" s="8">
        <v>301992</v>
      </c>
      <c r="BE17" s="5">
        <f t="shared" si="21"/>
        <v>0.98196007023476617</v>
      </c>
      <c r="BF17" s="9">
        <v>689646</v>
      </c>
      <c r="BG17" s="8">
        <v>534020</v>
      </c>
      <c r="BH17" s="4">
        <f t="shared" si="22"/>
        <v>153218</v>
      </c>
      <c r="BI17" s="8">
        <v>687238</v>
      </c>
      <c r="BJ17" s="5">
        <f t="shared" si="23"/>
        <v>0.99650835356110234</v>
      </c>
    </row>
    <row r="18" spans="1:62" x14ac:dyDescent="0.3">
      <c r="A18" s="26">
        <v>9</v>
      </c>
      <c r="B18" s="3" t="s">
        <v>14</v>
      </c>
      <c r="C18" s="9">
        <v>840499</v>
      </c>
      <c r="D18" s="8">
        <v>680513</v>
      </c>
      <c r="E18" s="4">
        <f t="shared" si="0"/>
        <v>141578</v>
      </c>
      <c r="F18" s="22">
        <v>822091</v>
      </c>
      <c r="G18" s="5">
        <f t="shared" si="1"/>
        <v>0.97809872468616854</v>
      </c>
      <c r="H18" s="9">
        <v>861805</v>
      </c>
      <c r="I18" s="8">
        <v>675234</v>
      </c>
      <c r="J18" s="4">
        <f t="shared" si="2"/>
        <v>162051</v>
      </c>
      <c r="K18" s="22">
        <v>837285</v>
      </c>
      <c r="L18" s="5">
        <f t="shared" si="3"/>
        <v>0.97154808802455317</v>
      </c>
      <c r="M18" s="4">
        <v>1358945</v>
      </c>
      <c r="N18" s="4">
        <v>1058233</v>
      </c>
      <c r="O18" s="4">
        <f t="shared" si="4"/>
        <v>245613</v>
      </c>
      <c r="P18" s="8">
        <v>1303846</v>
      </c>
      <c r="Q18" s="5">
        <f t="shared" si="5"/>
        <v>0.95945457689604807</v>
      </c>
      <c r="R18" s="9">
        <v>869959</v>
      </c>
      <c r="S18" s="8">
        <v>681015</v>
      </c>
      <c r="T18" s="4">
        <f t="shared" si="6"/>
        <v>158481</v>
      </c>
      <c r="U18" s="8">
        <v>839496</v>
      </c>
      <c r="V18" s="5">
        <f t="shared" si="7"/>
        <v>0.96498340726402054</v>
      </c>
      <c r="W18" s="9">
        <v>883450</v>
      </c>
      <c r="X18" s="8">
        <v>690579</v>
      </c>
      <c r="Y18" s="4">
        <f t="shared" si="8"/>
        <v>163361</v>
      </c>
      <c r="Z18" s="22">
        <v>853940</v>
      </c>
      <c r="AA18" s="5">
        <f t="shared" si="9"/>
        <v>0.96659686456505745</v>
      </c>
      <c r="AB18" s="9">
        <v>1397129</v>
      </c>
      <c r="AC18" s="8">
        <v>1050129</v>
      </c>
      <c r="AD18" s="4">
        <f t="shared" si="10"/>
        <v>289660</v>
      </c>
      <c r="AE18" s="8">
        <v>1339789</v>
      </c>
      <c r="AF18" s="5">
        <f t="shared" si="11"/>
        <v>0.95895869314859261</v>
      </c>
      <c r="AG18" s="9">
        <v>899515</v>
      </c>
      <c r="AH18" s="8">
        <v>696377</v>
      </c>
      <c r="AI18" s="4">
        <f t="shared" si="12"/>
        <v>168557</v>
      </c>
      <c r="AJ18" s="22">
        <v>864934</v>
      </c>
      <c r="AK18" s="5">
        <f t="shared" si="13"/>
        <v>0.96155594959505952</v>
      </c>
      <c r="AL18" s="9">
        <v>914748</v>
      </c>
      <c r="AM18" s="8">
        <v>734326</v>
      </c>
      <c r="AN18" s="4">
        <f t="shared" si="14"/>
        <v>146492</v>
      </c>
      <c r="AO18" s="22">
        <v>880818</v>
      </c>
      <c r="AP18" s="5">
        <f t="shared" si="15"/>
        <v>0.96290781723491059</v>
      </c>
      <c r="AQ18" s="15">
        <v>1436617</v>
      </c>
      <c r="AR18" s="16">
        <v>1155422</v>
      </c>
      <c r="AS18" s="4">
        <f t="shared" si="16"/>
        <v>219841</v>
      </c>
      <c r="AT18" s="8">
        <v>1375263</v>
      </c>
      <c r="AU18" s="5">
        <f t="shared" si="17"/>
        <v>0.95729272311270153</v>
      </c>
      <c r="AV18" s="9">
        <v>954168</v>
      </c>
      <c r="AW18" s="17">
        <v>741787</v>
      </c>
      <c r="AX18" s="4">
        <f t="shared" si="18"/>
        <v>153033</v>
      </c>
      <c r="AY18" s="22">
        <v>894820</v>
      </c>
      <c r="AZ18" s="5">
        <f t="shared" si="19"/>
        <v>0.93780130962262409</v>
      </c>
      <c r="BA18" s="9">
        <v>922519</v>
      </c>
      <c r="BB18" s="20">
        <v>753044</v>
      </c>
      <c r="BC18" s="4">
        <f t="shared" si="20"/>
        <v>158414</v>
      </c>
      <c r="BD18" s="8">
        <v>911458</v>
      </c>
      <c r="BE18" s="5">
        <f t="shared" si="21"/>
        <v>0.98801000304600772</v>
      </c>
      <c r="BF18" s="9">
        <v>1428140</v>
      </c>
      <c r="BG18" s="8">
        <v>1085654</v>
      </c>
      <c r="BH18" s="4">
        <f t="shared" si="22"/>
        <v>327773</v>
      </c>
      <c r="BI18" s="8">
        <v>1413427</v>
      </c>
      <c r="BJ18" s="5">
        <f t="shared" si="23"/>
        <v>0.98969778873219716</v>
      </c>
    </row>
    <row r="19" spans="1:62" x14ac:dyDescent="0.3">
      <c r="A19" s="27">
        <v>10</v>
      </c>
      <c r="B19" s="3" t="s">
        <v>15</v>
      </c>
      <c r="C19" s="9">
        <v>276452</v>
      </c>
      <c r="D19" s="8">
        <v>190870</v>
      </c>
      <c r="E19" s="4">
        <f t="shared" si="0"/>
        <v>54819</v>
      </c>
      <c r="F19" s="22">
        <v>245689</v>
      </c>
      <c r="G19" s="5">
        <f t="shared" si="1"/>
        <v>0.88872209280453751</v>
      </c>
      <c r="H19" s="9">
        <v>280982</v>
      </c>
      <c r="I19" s="8">
        <v>160814</v>
      </c>
      <c r="J19" s="4">
        <f t="shared" si="2"/>
        <v>89977</v>
      </c>
      <c r="K19" s="22">
        <v>250791</v>
      </c>
      <c r="L19" s="5">
        <f t="shared" si="3"/>
        <v>0.8925518360606729</v>
      </c>
      <c r="M19" s="4">
        <v>470659</v>
      </c>
      <c r="N19" s="4">
        <v>332491</v>
      </c>
      <c r="O19" s="4">
        <f t="shared" si="4"/>
        <v>92084</v>
      </c>
      <c r="P19" s="8">
        <v>424575</v>
      </c>
      <c r="Q19" s="5">
        <f t="shared" si="5"/>
        <v>0.90208622378409842</v>
      </c>
      <c r="R19" s="9">
        <v>282327</v>
      </c>
      <c r="S19" s="8">
        <v>194090</v>
      </c>
      <c r="T19" s="4">
        <f t="shared" si="6"/>
        <v>55611</v>
      </c>
      <c r="U19" s="8">
        <v>249701</v>
      </c>
      <c r="V19" s="5">
        <f t="shared" si="7"/>
        <v>0.8844389661633496</v>
      </c>
      <c r="W19" s="9">
        <v>286093</v>
      </c>
      <c r="X19" s="8">
        <v>195913</v>
      </c>
      <c r="Y19" s="4">
        <f t="shared" si="8"/>
        <v>58860</v>
      </c>
      <c r="Z19" s="22">
        <v>254773</v>
      </c>
      <c r="AA19" s="5">
        <f t="shared" si="9"/>
        <v>0.89052510896806281</v>
      </c>
      <c r="AB19" s="9">
        <v>481143</v>
      </c>
      <c r="AC19" s="8">
        <v>328154</v>
      </c>
      <c r="AD19" s="4">
        <f t="shared" si="10"/>
        <v>107386</v>
      </c>
      <c r="AE19" s="8">
        <v>435540</v>
      </c>
      <c r="AF19" s="5">
        <f t="shared" si="11"/>
        <v>0.90521944619375116</v>
      </c>
      <c r="AG19" s="9">
        <v>287213</v>
      </c>
      <c r="AH19" s="8">
        <v>196786</v>
      </c>
      <c r="AI19" s="4">
        <f t="shared" si="12"/>
        <v>57880</v>
      </c>
      <c r="AJ19" s="22">
        <v>254666</v>
      </c>
      <c r="AK19" s="5">
        <f t="shared" si="13"/>
        <v>0.88667992047713717</v>
      </c>
      <c r="AL19" s="9">
        <v>292666</v>
      </c>
      <c r="AM19" s="8">
        <v>207194</v>
      </c>
      <c r="AN19" s="4">
        <f t="shared" si="14"/>
        <v>53096</v>
      </c>
      <c r="AO19" s="22">
        <v>260290</v>
      </c>
      <c r="AP19" s="5">
        <f t="shared" si="15"/>
        <v>0.88937560222232848</v>
      </c>
      <c r="AQ19" s="15">
        <v>495564</v>
      </c>
      <c r="AR19" s="16">
        <v>363400</v>
      </c>
      <c r="AS19" s="4">
        <f t="shared" si="16"/>
        <v>83382</v>
      </c>
      <c r="AT19" s="8">
        <v>446782</v>
      </c>
      <c r="AU19" s="5">
        <f t="shared" si="17"/>
        <v>0.90156266395460527</v>
      </c>
      <c r="AV19" s="9">
        <v>310298</v>
      </c>
      <c r="AW19" s="17">
        <v>212014</v>
      </c>
      <c r="AX19" s="4">
        <f t="shared" si="18"/>
        <v>52461</v>
      </c>
      <c r="AY19" s="22">
        <v>264475</v>
      </c>
      <c r="AZ19" s="5">
        <f t="shared" si="19"/>
        <v>0.85232582871948903</v>
      </c>
      <c r="BA19" s="9">
        <v>280202</v>
      </c>
      <c r="BB19" s="20">
        <v>216907</v>
      </c>
      <c r="BC19" s="4">
        <f t="shared" si="20"/>
        <v>55917</v>
      </c>
      <c r="BD19" s="8">
        <v>272824</v>
      </c>
      <c r="BE19" s="5">
        <f t="shared" si="21"/>
        <v>0.97366899593864431</v>
      </c>
      <c r="BF19" s="9">
        <v>473091</v>
      </c>
      <c r="BG19" s="8">
        <v>337326</v>
      </c>
      <c r="BH19" s="4">
        <f t="shared" si="22"/>
        <v>125854</v>
      </c>
      <c r="BI19" s="8">
        <v>463180</v>
      </c>
      <c r="BJ19" s="5">
        <f t="shared" si="23"/>
        <v>0.97905054207330089</v>
      </c>
    </row>
    <row r="20" spans="1:62" x14ac:dyDescent="0.3">
      <c r="A20" s="27">
        <v>11</v>
      </c>
      <c r="B20" s="3" t="s">
        <v>16</v>
      </c>
      <c r="C20" s="9">
        <v>6036</v>
      </c>
      <c r="D20" s="8">
        <v>3825</v>
      </c>
      <c r="E20" s="4">
        <f t="shared" si="0"/>
        <v>1352</v>
      </c>
      <c r="F20" s="22">
        <v>5177</v>
      </c>
      <c r="G20" s="5">
        <f t="shared" si="1"/>
        <v>0.85768721007289594</v>
      </c>
      <c r="H20" s="9">
        <v>6124</v>
      </c>
      <c r="I20" s="8">
        <v>3777</v>
      </c>
      <c r="J20" s="4">
        <f t="shared" si="2"/>
        <v>1458</v>
      </c>
      <c r="K20" s="22">
        <v>5235</v>
      </c>
      <c r="L20" s="5">
        <f t="shared" si="3"/>
        <v>0.85483344219464408</v>
      </c>
      <c r="M20" s="4">
        <v>9262</v>
      </c>
      <c r="N20" s="4">
        <v>6258</v>
      </c>
      <c r="O20" s="4">
        <f t="shared" si="4"/>
        <v>1954</v>
      </c>
      <c r="P20" s="8">
        <v>8212</v>
      </c>
      <c r="Q20" s="5">
        <f t="shared" si="5"/>
        <v>0.8866335564672857</v>
      </c>
      <c r="R20" s="9">
        <v>6202</v>
      </c>
      <c r="S20" s="8">
        <v>3845</v>
      </c>
      <c r="T20" s="4">
        <f t="shared" si="6"/>
        <v>1443</v>
      </c>
      <c r="U20" s="8">
        <v>5288</v>
      </c>
      <c r="V20" s="5">
        <f t="shared" si="7"/>
        <v>0.85262818445662691</v>
      </c>
      <c r="W20" s="9">
        <v>6226</v>
      </c>
      <c r="X20" s="8">
        <v>3891</v>
      </c>
      <c r="Y20" s="4">
        <f t="shared" si="8"/>
        <v>1483</v>
      </c>
      <c r="Z20" s="22">
        <v>5374</v>
      </c>
      <c r="AA20" s="5">
        <f t="shared" si="9"/>
        <v>0.86315451333119175</v>
      </c>
      <c r="AB20" s="9">
        <v>9386</v>
      </c>
      <c r="AC20" s="8">
        <v>6015</v>
      </c>
      <c r="AD20" s="4">
        <f t="shared" si="10"/>
        <v>2422</v>
      </c>
      <c r="AE20" s="8">
        <v>8437</v>
      </c>
      <c r="AF20" s="5">
        <f t="shared" si="11"/>
        <v>0.89889196675900274</v>
      </c>
      <c r="AG20" s="9">
        <v>6315</v>
      </c>
      <c r="AH20" s="8">
        <v>3768</v>
      </c>
      <c r="AI20" s="4">
        <f t="shared" si="12"/>
        <v>1691</v>
      </c>
      <c r="AJ20" s="22">
        <v>5459</v>
      </c>
      <c r="AK20" s="5">
        <f t="shared" si="13"/>
        <v>0.86444972288202693</v>
      </c>
      <c r="AL20" s="9">
        <v>6446</v>
      </c>
      <c r="AM20" s="8">
        <v>3994</v>
      </c>
      <c r="AN20" s="4">
        <f t="shared" si="14"/>
        <v>1580</v>
      </c>
      <c r="AO20" s="22">
        <v>5574</v>
      </c>
      <c r="AP20" s="5">
        <f t="shared" si="15"/>
        <v>0.86472230840831521</v>
      </c>
      <c r="AQ20" s="15">
        <v>9604</v>
      </c>
      <c r="AR20" s="16">
        <v>6476</v>
      </c>
      <c r="AS20" s="4">
        <f t="shared" si="16"/>
        <v>2144</v>
      </c>
      <c r="AT20" s="8">
        <v>8620</v>
      </c>
      <c r="AU20" s="5">
        <f t="shared" si="17"/>
        <v>0.89754269054560598</v>
      </c>
      <c r="AV20" s="9">
        <v>6642</v>
      </c>
      <c r="AW20" s="17">
        <v>4164</v>
      </c>
      <c r="AX20" s="4">
        <f t="shared" si="18"/>
        <v>1457</v>
      </c>
      <c r="AY20" s="22">
        <v>5621</v>
      </c>
      <c r="AZ20" s="5">
        <f t="shared" si="19"/>
        <v>0.84628124059018373</v>
      </c>
      <c r="BA20" s="9">
        <v>5628</v>
      </c>
      <c r="BB20" s="20">
        <v>4263</v>
      </c>
      <c r="BC20" s="4">
        <f t="shared" si="20"/>
        <v>1464</v>
      </c>
      <c r="BD20" s="8">
        <v>5727</v>
      </c>
      <c r="BE20" s="5">
        <f t="shared" si="21"/>
        <v>1.017590618336887</v>
      </c>
      <c r="BF20" s="9">
        <v>8802</v>
      </c>
      <c r="BG20" s="8">
        <v>6268</v>
      </c>
      <c r="BH20" s="4">
        <f t="shared" si="22"/>
        <v>2693</v>
      </c>
      <c r="BI20" s="8">
        <v>8961</v>
      </c>
      <c r="BJ20" s="5">
        <f t="shared" si="23"/>
        <v>1.0180640763462849</v>
      </c>
    </row>
    <row r="21" spans="1:62" x14ac:dyDescent="0.3">
      <c r="A21" s="27">
        <v>12</v>
      </c>
      <c r="B21" s="3" t="s">
        <v>17</v>
      </c>
      <c r="C21" s="9">
        <v>10617</v>
      </c>
      <c r="D21" s="8">
        <v>5278</v>
      </c>
      <c r="E21" s="4">
        <f t="shared" si="0"/>
        <v>3323</v>
      </c>
      <c r="F21" s="22">
        <v>8601</v>
      </c>
      <c r="G21" s="5">
        <f t="shared" si="1"/>
        <v>0.810115851935575</v>
      </c>
      <c r="H21" s="9">
        <v>10811</v>
      </c>
      <c r="I21" s="8">
        <v>5520</v>
      </c>
      <c r="J21" s="4">
        <f t="shared" si="2"/>
        <v>3224</v>
      </c>
      <c r="K21" s="22">
        <v>8744</v>
      </c>
      <c r="L21" s="5">
        <f t="shared" si="3"/>
        <v>0.80880584589769677</v>
      </c>
      <c r="M21" s="4">
        <v>14133</v>
      </c>
      <c r="N21" s="4">
        <v>7970</v>
      </c>
      <c r="O21" s="4">
        <f t="shared" si="4"/>
        <v>3841</v>
      </c>
      <c r="P21" s="8">
        <v>11811</v>
      </c>
      <c r="Q21" s="5">
        <f t="shared" si="5"/>
        <v>0.83570367225642117</v>
      </c>
      <c r="R21" s="9">
        <v>11019</v>
      </c>
      <c r="S21" s="8">
        <v>5813</v>
      </c>
      <c r="T21" s="4">
        <f t="shared" si="6"/>
        <v>3085</v>
      </c>
      <c r="U21" s="8">
        <v>8898</v>
      </c>
      <c r="V21" s="5">
        <f t="shared" si="7"/>
        <v>0.80751429349305748</v>
      </c>
      <c r="W21" s="9">
        <v>11175</v>
      </c>
      <c r="X21" s="8">
        <v>5899</v>
      </c>
      <c r="Y21" s="4">
        <f t="shared" si="8"/>
        <v>3197</v>
      </c>
      <c r="Z21" s="22">
        <v>9096</v>
      </c>
      <c r="AA21" s="5">
        <f t="shared" si="9"/>
        <v>0.81395973154362411</v>
      </c>
      <c r="AB21" s="9">
        <v>14571</v>
      </c>
      <c r="AC21" s="8">
        <v>7734</v>
      </c>
      <c r="AD21" s="4">
        <f t="shared" si="10"/>
        <v>4489</v>
      </c>
      <c r="AE21" s="8">
        <v>12223</v>
      </c>
      <c r="AF21" s="5">
        <f t="shared" si="11"/>
        <v>0.83885800562761648</v>
      </c>
      <c r="AG21" s="9">
        <v>11345</v>
      </c>
      <c r="AH21" s="8">
        <v>5990</v>
      </c>
      <c r="AI21" s="4">
        <f t="shared" si="12"/>
        <v>3240</v>
      </c>
      <c r="AJ21" s="22">
        <v>9230</v>
      </c>
      <c r="AK21" s="5">
        <f t="shared" si="13"/>
        <v>0.81357426178933456</v>
      </c>
      <c r="AL21" s="9">
        <v>11441</v>
      </c>
      <c r="AM21" s="8">
        <v>6248</v>
      </c>
      <c r="AN21" s="4">
        <f t="shared" si="14"/>
        <v>3105</v>
      </c>
      <c r="AO21" s="22">
        <v>9353</v>
      </c>
      <c r="AP21" s="5">
        <f t="shared" si="15"/>
        <v>0.81749847041342538</v>
      </c>
      <c r="AQ21" s="15">
        <v>14790</v>
      </c>
      <c r="AR21" s="16">
        <v>8485</v>
      </c>
      <c r="AS21" s="4">
        <f t="shared" si="16"/>
        <v>4024</v>
      </c>
      <c r="AT21" s="8">
        <v>12509</v>
      </c>
      <c r="AU21" s="5">
        <f t="shared" si="17"/>
        <v>0.84577417173766056</v>
      </c>
      <c r="AV21" s="9">
        <v>11740</v>
      </c>
      <c r="AW21" s="17">
        <v>6260</v>
      </c>
      <c r="AX21" s="4">
        <f t="shared" si="18"/>
        <v>3233</v>
      </c>
      <c r="AY21" s="22">
        <v>9493</v>
      </c>
      <c r="AZ21" s="5">
        <f t="shared" si="19"/>
        <v>0.80860306643952296</v>
      </c>
      <c r="BA21" s="9">
        <v>9242</v>
      </c>
      <c r="BB21" s="20">
        <v>6453</v>
      </c>
      <c r="BC21" s="4">
        <f t="shared" si="20"/>
        <v>3135</v>
      </c>
      <c r="BD21" s="8">
        <v>9588</v>
      </c>
      <c r="BE21" s="5">
        <f t="shared" si="21"/>
        <v>1.0374377840294309</v>
      </c>
      <c r="BF21" s="9">
        <v>12544</v>
      </c>
      <c r="BG21" s="8">
        <v>7222</v>
      </c>
      <c r="BH21" s="4">
        <f t="shared" si="22"/>
        <v>5692</v>
      </c>
      <c r="BI21" s="8">
        <v>12914</v>
      </c>
      <c r="BJ21" s="5">
        <f t="shared" si="23"/>
        <v>1.0294961734693877</v>
      </c>
    </row>
    <row r="22" spans="1:62" x14ac:dyDescent="0.3">
      <c r="A22" s="27">
        <v>13</v>
      </c>
      <c r="B22" s="3" t="s">
        <v>18</v>
      </c>
      <c r="C22" s="9">
        <v>6106</v>
      </c>
      <c r="D22" s="8">
        <v>4016</v>
      </c>
      <c r="E22" s="4">
        <f t="shared" si="0"/>
        <v>1584</v>
      </c>
      <c r="F22" s="22">
        <v>5600</v>
      </c>
      <c r="G22" s="5">
        <f t="shared" si="1"/>
        <v>0.91713069112348511</v>
      </c>
      <c r="H22" s="9">
        <v>6184</v>
      </c>
      <c r="I22" s="8">
        <v>4054</v>
      </c>
      <c r="J22" s="4">
        <f t="shared" si="2"/>
        <v>1615</v>
      </c>
      <c r="K22" s="22">
        <v>5669</v>
      </c>
      <c r="L22" s="5">
        <f t="shared" si="3"/>
        <v>0.91672056921086675</v>
      </c>
      <c r="M22" s="4">
        <v>7446</v>
      </c>
      <c r="N22" s="4">
        <v>4961</v>
      </c>
      <c r="O22" s="4">
        <f t="shared" si="4"/>
        <v>1919</v>
      </c>
      <c r="P22" s="8">
        <v>6880</v>
      </c>
      <c r="Q22" s="5">
        <f t="shared" si="5"/>
        <v>0.92398603276927205</v>
      </c>
      <c r="R22" s="9">
        <v>6325</v>
      </c>
      <c r="S22" s="8">
        <v>4199</v>
      </c>
      <c r="T22" s="4">
        <f t="shared" si="6"/>
        <v>1604</v>
      </c>
      <c r="U22" s="8">
        <v>5803</v>
      </c>
      <c r="V22" s="5">
        <f t="shared" si="7"/>
        <v>0.91747035573122526</v>
      </c>
      <c r="W22" s="9">
        <v>6418</v>
      </c>
      <c r="X22" s="8">
        <v>4299</v>
      </c>
      <c r="Y22" s="4">
        <f t="shared" si="8"/>
        <v>1581</v>
      </c>
      <c r="Z22" s="22">
        <v>5880</v>
      </c>
      <c r="AA22" s="5">
        <f t="shared" si="9"/>
        <v>0.91617326269866006</v>
      </c>
      <c r="AB22" s="9">
        <v>7662</v>
      </c>
      <c r="AC22" s="8">
        <v>5004</v>
      </c>
      <c r="AD22" s="4">
        <f t="shared" si="10"/>
        <v>2097</v>
      </c>
      <c r="AE22" s="8">
        <v>7101</v>
      </c>
      <c r="AF22" s="5">
        <f t="shared" si="11"/>
        <v>0.92678151918559126</v>
      </c>
      <c r="AG22" s="9">
        <v>6546</v>
      </c>
      <c r="AH22" s="8">
        <v>4240</v>
      </c>
      <c r="AI22" s="4">
        <f t="shared" si="12"/>
        <v>1773</v>
      </c>
      <c r="AJ22" s="22">
        <v>6013</v>
      </c>
      <c r="AK22" s="5">
        <f t="shared" si="13"/>
        <v>0.91857622975863118</v>
      </c>
      <c r="AL22" s="9">
        <v>6648</v>
      </c>
      <c r="AM22" s="8">
        <v>4473</v>
      </c>
      <c r="AN22" s="4">
        <f t="shared" si="14"/>
        <v>1601</v>
      </c>
      <c r="AO22" s="22">
        <v>6074</v>
      </c>
      <c r="AP22" s="5">
        <f t="shared" si="15"/>
        <v>0.91365824308062571</v>
      </c>
      <c r="AQ22" s="15">
        <v>7880</v>
      </c>
      <c r="AR22" s="16">
        <v>5237</v>
      </c>
      <c r="AS22" s="4">
        <f t="shared" si="16"/>
        <v>2029</v>
      </c>
      <c r="AT22" s="8">
        <v>7266</v>
      </c>
      <c r="AU22" s="5">
        <f t="shared" si="17"/>
        <v>0.92208121827411171</v>
      </c>
      <c r="AV22" s="9">
        <v>6715</v>
      </c>
      <c r="AW22" s="17">
        <v>4420</v>
      </c>
      <c r="AX22" s="4">
        <f t="shared" si="18"/>
        <v>1678</v>
      </c>
      <c r="AY22" s="22">
        <v>6098</v>
      </c>
      <c r="AZ22" s="5">
        <f t="shared" si="19"/>
        <v>0.90811615785554733</v>
      </c>
      <c r="BA22" s="9">
        <v>6117</v>
      </c>
      <c r="BB22" s="20">
        <v>4458</v>
      </c>
      <c r="BC22" s="4">
        <f t="shared" si="20"/>
        <v>1688</v>
      </c>
      <c r="BD22" s="8">
        <v>6146</v>
      </c>
      <c r="BE22" s="5">
        <f t="shared" si="21"/>
        <v>1.0047408860552558</v>
      </c>
      <c r="BF22" s="9">
        <v>7349</v>
      </c>
      <c r="BG22" s="8">
        <v>4846</v>
      </c>
      <c r="BH22" s="4">
        <f t="shared" si="22"/>
        <v>2560</v>
      </c>
      <c r="BI22" s="8">
        <v>7406</v>
      </c>
      <c r="BJ22" s="5">
        <f t="shared" si="23"/>
        <v>1.0077561573003129</v>
      </c>
    </row>
    <row r="23" spans="1:62" x14ac:dyDescent="0.3">
      <c r="A23" s="27">
        <v>14</v>
      </c>
      <c r="B23" s="3" t="s">
        <v>19</v>
      </c>
      <c r="C23" s="9">
        <v>9012</v>
      </c>
      <c r="D23" s="8">
        <v>4941</v>
      </c>
      <c r="E23" s="4">
        <f t="shared" si="0"/>
        <v>2767</v>
      </c>
      <c r="F23" s="22">
        <v>7708</v>
      </c>
      <c r="G23" s="5">
        <f t="shared" si="1"/>
        <v>0.85530403905903241</v>
      </c>
      <c r="H23" s="9">
        <v>9118</v>
      </c>
      <c r="I23" s="8">
        <v>4850</v>
      </c>
      <c r="J23" s="4">
        <f t="shared" si="2"/>
        <v>2981</v>
      </c>
      <c r="K23" s="22">
        <v>7831</v>
      </c>
      <c r="L23" s="5">
        <f t="shared" si="3"/>
        <v>0.85885062513709143</v>
      </c>
      <c r="M23" s="4">
        <v>11079</v>
      </c>
      <c r="N23" s="4">
        <v>6320</v>
      </c>
      <c r="O23" s="4">
        <f t="shared" si="4"/>
        <v>3338</v>
      </c>
      <c r="P23" s="8">
        <v>9658</v>
      </c>
      <c r="Q23" s="5">
        <f t="shared" si="5"/>
        <v>0.8717393266540302</v>
      </c>
      <c r="R23" s="9">
        <v>9156</v>
      </c>
      <c r="S23" s="8">
        <v>5135</v>
      </c>
      <c r="T23" s="4">
        <f t="shared" si="6"/>
        <v>2807</v>
      </c>
      <c r="U23" s="8">
        <v>7942</v>
      </c>
      <c r="V23" s="5">
        <f t="shared" si="7"/>
        <v>0.8674093490607252</v>
      </c>
      <c r="W23" s="9">
        <v>9166</v>
      </c>
      <c r="X23" s="8">
        <v>4932</v>
      </c>
      <c r="Y23" s="4">
        <f t="shared" si="8"/>
        <v>3182</v>
      </c>
      <c r="Z23" s="22">
        <v>8114</v>
      </c>
      <c r="AA23" s="5">
        <f t="shared" si="9"/>
        <v>0.88522801658302419</v>
      </c>
      <c r="AB23" s="9">
        <v>11322</v>
      </c>
      <c r="AC23" s="8">
        <v>6266</v>
      </c>
      <c r="AD23" s="4">
        <f t="shared" si="10"/>
        <v>3789</v>
      </c>
      <c r="AE23" s="8">
        <v>10055</v>
      </c>
      <c r="AF23" s="5">
        <f t="shared" si="11"/>
        <v>0.88809397632927045</v>
      </c>
      <c r="AG23" s="9">
        <v>9569</v>
      </c>
      <c r="AH23" s="8">
        <v>5108</v>
      </c>
      <c r="AI23" s="4">
        <f t="shared" si="12"/>
        <v>3122</v>
      </c>
      <c r="AJ23" s="22">
        <v>8230</v>
      </c>
      <c r="AK23" s="5">
        <f t="shared" si="13"/>
        <v>0.86006897272442262</v>
      </c>
      <c r="AL23" s="9">
        <v>9502</v>
      </c>
      <c r="AM23" s="8">
        <v>5491</v>
      </c>
      <c r="AN23" s="4">
        <f t="shared" si="14"/>
        <v>2853</v>
      </c>
      <c r="AO23" s="22">
        <v>8344</v>
      </c>
      <c r="AP23" s="5">
        <f t="shared" si="15"/>
        <v>0.8781309198063566</v>
      </c>
      <c r="AQ23" s="15">
        <v>11767</v>
      </c>
      <c r="AR23" s="16">
        <v>7126</v>
      </c>
      <c r="AS23" s="4">
        <f t="shared" si="16"/>
        <v>3222</v>
      </c>
      <c r="AT23" s="8">
        <v>10348</v>
      </c>
      <c r="AU23" s="5">
        <f t="shared" si="17"/>
        <v>0.87940851533950881</v>
      </c>
      <c r="AV23" s="9">
        <v>9805</v>
      </c>
      <c r="AW23" s="17">
        <v>5588</v>
      </c>
      <c r="AX23" s="4">
        <f t="shared" si="18"/>
        <v>2850</v>
      </c>
      <c r="AY23" s="22">
        <v>8438</v>
      </c>
      <c r="AZ23" s="5">
        <f t="shared" si="19"/>
        <v>0.86058133605303422</v>
      </c>
      <c r="BA23" s="9">
        <v>8694</v>
      </c>
      <c r="BB23" s="20">
        <v>5682</v>
      </c>
      <c r="BC23" s="4">
        <f t="shared" si="20"/>
        <v>2855</v>
      </c>
      <c r="BD23" s="8">
        <v>8537</v>
      </c>
      <c r="BE23" s="5">
        <f t="shared" si="21"/>
        <v>0.98194156889809059</v>
      </c>
      <c r="BF23" s="9">
        <v>11229</v>
      </c>
      <c r="BG23" s="8">
        <v>5986</v>
      </c>
      <c r="BH23" s="4">
        <f t="shared" si="22"/>
        <v>4622</v>
      </c>
      <c r="BI23" s="8">
        <v>10608</v>
      </c>
      <c r="BJ23" s="5">
        <f t="shared" si="23"/>
        <v>0.94469676729895802</v>
      </c>
    </row>
    <row r="24" spans="1:62" x14ac:dyDescent="0.3">
      <c r="A24" s="27">
        <v>15</v>
      </c>
      <c r="B24" s="3" t="s">
        <v>20</v>
      </c>
      <c r="C24" s="9">
        <v>6298</v>
      </c>
      <c r="D24" s="8">
        <v>3975</v>
      </c>
      <c r="E24" s="4">
        <f t="shared" si="0"/>
        <v>1134</v>
      </c>
      <c r="F24" s="22">
        <v>5109</v>
      </c>
      <c r="G24" s="5">
        <f t="shared" si="1"/>
        <v>0.8112099079072721</v>
      </c>
      <c r="H24" s="9">
        <v>6340</v>
      </c>
      <c r="I24" s="8">
        <v>3877</v>
      </c>
      <c r="J24" s="4">
        <f t="shared" si="2"/>
        <v>1300</v>
      </c>
      <c r="K24" s="22">
        <v>5177</v>
      </c>
      <c r="L24" s="5">
        <f t="shared" si="3"/>
        <v>0.81656151419558365</v>
      </c>
      <c r="M24" s="4">
        <v>7252</v>
      </c>
      <c r="N24" s="4">
        <v>4700</v>
      </c>
      <c r="O24" s="4">
        <f t="shared" si="4"/>
        <v>1358</v>
      </c>
      <c r="P24" s="8">
        <v>6058</v>
      </c>
      <c r="Q24" s="5">
        <f t="shared" si="5"/>
        <v>0.83535576392719246</v>
      </c>
      <c r="R24" s="9">
        <v>6353</v>
      </c>
      <c r="S24" s="8">
        <v>4040</v>
      </c>
      <c r="T24" s="4">
        <f t="shared" si="6"/>
        <v>1169</v>
      </c>
      <c r="U24" s="8">
        <v>5209</v>
      </c>
      <c r="V24" s="5">
        <f t="shared" si="7"/>
        <v>0.81992759326302533</v>
      </c>
      <c r="W24" s="9">
        <v>6421</v>
      </c>
      <c r="X24" s="8">
        <v>4122</v>
      </c>
      <c r="Y24" s="4">
        <f t="shared" si="8"/>
        <v>1157</v>
      </c>
      <c r="Z24" s="22">
        <v>5279</v>
      </c>
      <c r="AA24" s="5">
        <f t="shared" si="9"/>
        <v>0.82214608316461613</v>
      </c>
      <c r="AB24" s="9">
        <v>7434</v>
      </c>
      <c r="AC24" s="8">
        <v>4668</v>
      </c>
      <c r="AD24" s="4">
        <f t="shared" si="10"/>
        <v>1556</v>
      </c>
      <c r="AE24" s="8">
        <v>6224</v>
      </c>
      <c r="AF24" s="5">
        <f t="shared" si="11"/>
        <v>0.83723432875975246</v>
      </c>
      <c r="AG24" s="9">
        <v>6545</v>
      </c>
      <c r="AH24" s="8">
        <v>3921</v>
      </c>
      <c r="AI24" s="4">
        <f t="shared" si="12"/>
        <v>1417</v>
      </c>
      <c r="AJ24" s="22">
        <v>5338</v>
      </c>
      <c r="AK24" s="5">
        <f t="shared" si="13"/>
        <v>0.81558441558441563</v>
      </c>
      <c r="AL24" s="9">
        <v>6623</v>
      </c>
      <c r="AM24" s="8">
        <v>4123</v>
      </c>
      <c r="AN24" s="4">
        <f t="shared" si="14"/>
        <v>1307</v>
      </c>
      <c r="AO24" s="22">
        <v>5430</v>
      </c>
      <c r="AP24" s="5">
        <f t="shared" si="15"/>
        <v>0.81987014947908798</v>
      </c>
      <c r="AQ24" s="15">
        <v>7610</v>
      </c>
      <c r="AR24" s="16">
        <v>4969</v>
      </c>
      <c r="AS24" s="4">
        <f t="shared" si="16"/>
        <v>1415</v>
      </c>
      <c r="AT24" s="8">
        <v>6384</v>
      </c>
      <c r="AU24" s="5">
        <f t="shared" si="17"/>
        <v>0.83889618922470433</v>
      </c>
      <c r="AV24" s="9">
        <v>6365</v>
      </c>
      <c r="AW24" s="17">
        <v>4143</v>
      </c>
      <c r="AX24" s="4">
        <f t="shared" si="18"/>
        <v>1299</v>
      </c>
      <c r="AY24" s="22">
        <v>5442</v>
      </c>
      <c r="AZ24" s="5">
        <f t="shared" si="19"/>
        <v>0.85498821681068338</v>
      </c>
      <c r="BA24" s="9">
        <v>5683</v>
      </c>
      <c r="BB24" s="20">
        <v>4189</v>
      </c>
      <c r="BC24" s="4">
        <f t="shared" si="20"/>
        <v>1298</v>
      </c>
      <c r="BD24" s="8">
        <v>5487</v>
      </c>
      <c r="BE24" s="5">
        <f t="shared" si="21"/>
        <v>0.96551117367587547</v>
      </c>
      <c r="BF24" s="9">
        <v>6688</v>
      </c>
      <c r="BG24" s="8">
        <v>4889</v>
      </c>
      <c r="BH24" s="4">
        <f t="shared" si="22"/>
        <v>1604</v>
      </c>
      <c r="BI24" s="8">
        <v>6493</v>
      </c>
      <c r="BJ24" s="5">
        <f t="shared" si="23"/>
        <v>0.97084330143540665</v>
      </c>
    </row>
    <row r="25" spans="1:62" x14ac:dyDescent="0.3">
      <c r="A25" s="27">
        <v>16</v>
      </c>
      <c r="B25" s="3" t="s">
        <v>21</v>
      </c>
      <c r="C25" s="9">
        <v>18977</v>
      </c>
      <c r="D25" s="8">
        <v>14262</v>
      </c>
      <c r="E25" s="4">
        <f t="shared" si="0"/>
        <v>3224</v>
      </c>
      <c r="F25" s="22">
        <v>17486</v>
      </c>
      <c r="G25" s="5">
        <f t="shared" si="1"/>
        <v>0.92143120619697527</v>
      </c>
      <c r="H25" s="9">
        <v>19277</v>
      </c>
      <c r="I25" s="8">
        <v>14036</v>
      </c>
      <c r="J25" s="4">
        <f t="shared" si="2"/>
        <v>3668</v>
      </c>
      <c r="K25" s="22">
        <v>17704</v>
      </c>
      <c r="L25" s="5">
        <f t="shared" si="3"/>
        <v>0.91840016600093377</v>
      </c>
      <c r="M25" s="4">
        <v>26614</v>
      </c>
      <c r="N25" s="4">
        <v>20405</v>
      </c>
      <c r="O25" s="4">
        <f t="shared" si="4"/>
        <v>4374</v>
      </c>
      <c r="P25" s="8">
        <v>24779</v>
      </c>
      <c r="Q25" s="5">
        <f t="shared" si="5"/>
        <v>0.93105132636957988</v>
      </c>
      <c r="R25" s="9">
        <v>19402</v>
      </c>
      <c r="S25" s="8">
        <v>14660</v>
      </c>
      <c r="T25" s="4">
        <f t="shared" si="6"/>
        <v>3192</v>
      </c>
      <c r="U25" s="8">
        <v>17852</v>
      </c>
      <c r="V25" s="5">
        <f t="shared" si="7"/>
        <v>0.92011132872899704</v>
      </c>
      <c r="W25" s="9">
        <v>19474</v>
      </c>
      <c r="X25" s="8">
        <v>14471</v>
      </c>
      <c r="Y25" s="4">
        <f t="shared" si="8"/>
        <v>3579</v>
      </c>
      <c r="Z25" s="22">
        <v>18050</v>
      </c>
      <c r="AA25" s="5">
        <f t="shared" si="9"/>
        <v>0.92687686145630066</v>
      </c>
      <c r="AB25" s="9">
        <v>27081</v>
      </c>
      <c r="AC25" s="8">
        <v>19652</v>
      </c>
      <c r="AD25" s="4">
        <f t="shared" si="10"/>
        <v>5533</v>
      </c>
      <c r="AE25" s="8">
        <v>25185</v>
      </c>
      <c r="AF25" s="5">
        <f t="shared" si="11"/>
        <v>0.92998781433477351</v>
      </c>
      <c r="AG25" s="9">
        <v>19543</v>
      </c>
      <c r="AH25" s="8">
        <v>14504</v>
      </c>
      <c r="AI25" s="4">
        <f t="shared" si="12"/>
        <v>3610</v>
      </c>
      <c r="AJ25" s="22">
        <v>18114</v>
      </c>
      <c r="AK25" s="5">
        <f t="shared" si="13"/>
        <v>0.92687918947960912</v>
      </c>
      <c r="AL25" s="9">
        <v>19594</v>
      </c>
      <c r="AM25" s="8">
        <v>14994</v>
      </c>
      <c r="AN25" s="4">
        <f t="shared" si="14"/>
        <v>3311</v>
      </c>
      <c r="AO25" s="22">
        <v>18305</v>
      </c>
      <c r="AP25" s="5">
        <f t="shared" si="15"/>
        <v>0.93421455547616616</v>
      </c>
      <c r="AQ25" s="15">
        <v>26830</v>
      </c>
      <c r="AR25" s="16">
        <v>20966</v>
      </c>
      <c r="AS25" s="4">
        <f t="shared" si="16"/>
        <v>4459</v>
      </c>
      <c r="AT25" s="8">
        <v>25425</v>
      </c>
      <c r="AU25" s="5">
        <f t="shared" si="17"/>
        <v>0.94763324636600821</v>
      </c>
      <c r="AV25" s="9">
        <v>19719</v>
      </c>
      <c r="AW25" s="17">
        <v>14900</v>
      </c>
      <c r="AX25" s="4">
        <f t="shared" si="18"/>
        <v>3491</v>
      </c>
      <c r="AY25" s="22">
        <v>18391</v>
      </c>
      <c r="AZ25" s="5">
        <f t="shared" si="19"/>
        <v>0.93265378568892943</v>
      </c>
      <c r="BA25" s="9">
        <v>18241</v>
      </c>
      <c r="BB25" s="20">
        <v>14921</v>
      </c>
      <c r="BC25" s="4">
        <f t="shared" si="20"/>
        <v>3482</v>
      </c>
      <c r="BD25" s="8">
        <v>18403</v>
      </c>
      <c r="BE25" s="5">
        <f t="shared" si="21"/>
        <v>1.0088810920453923</v>
      </c>
      <c r="BF25" s="9">
        <v>25358</v>
      </c>
      <c r="BG25" s="8">
        <v>18273</v>
      </c>
      <c r="BH25" s="4">
        <f t="shared" si="22"/>
        <v>7387</v>
      </c>
      <c r="BI25" s="8">
        <v>25660</v>
      </c>
      <c r="BJ25" s="5">
        <f t="shared" si="23"/>
        <v>1.0119094565817492</v>
      </c>
    </row>
    <row r="26" spans="1:62" x14ac:dyDescent="0.3">
      <c r="A26" s="27">
        <v>17</v>
      </c>
      <c r="B26" s="3" t="s">
        <v>22</v>
      </c>
      <c r="C26" s="9">
        <v>16008</v>
      </c>
      <c r="D26" s="8">
        <v>9574</v>
      </c>
      <c r="E26" s="4">
        <f t="shared" si="0"/>
        <v>3351</v>
      </c>
      <c r="F26" s="22">
        <v>12925</v>
      </c>
      <c r="G26" s="5">
        <f t="shared" si="1"/>
        <v>0.80740879560219891</v>
      </c>
      <c r="H26" s="9">
        <v>16365</v>
      </c>
      <c r="I26" s="8">
        <v>9807</v>
      </c>
      <c r="J26" s="4">
        <f t="shared" si="2"/>
        <v>3592</v>
      </c>
      <c r="K26" s="22">
        <v>13399</v>
      </c>
      <c r="L26" s="5">
        <f t="shared" si="3"/>
        <v>0.81875954781545979</v>
      </c>
      <c r="M26" s="4">
        <v>27510</v>
      </c>
      <c r="N26" s="4">
        <v>19113</v>
      </c>
      <c r="O26" s="4">
        <f t="shared" si="4"/>
        <v>5031</v>
      </c>
      <c r="P26" s="8">
        <v>24144</v>
      </c>
      <c r="Q26" s="5">
        <f t="shared" si="5"/>
        <v>0.87764449291166846</v>
      </c>
      <c r="R26" s="9">
        <v>16566</v>
      </c>
      <c r="S26" s="8">
        <v>9954</v>
      </c>
      <c r="T26" s="4">
        <f t="shared" si="6"/>
        <v>3650</v>
      </c>
      <c r="U26" s="8">
        <v>13604</v>
      </c>
      <c r="V26" s="5">
        <f t="shared" si="7"/>
        <v>0.82120004829168181</v>
      </c>
      <c r="W26" s="9">
        <v>16728</v>
      </c>
      <c r="X26" s="8">
        <v>10181</v>
      </c>
      <c r="Y26" s="4">
        <f t="shared" si="8"/>
        <v>3634</v>
      </c>
      <c r="Z26" s="22">
        <v>13815</v>
      </c>
      <c r="AA26" s="5">
        <f t="shared" si="9"/>
        <v>0.82586083213773309</v>
      </c>
      <c r="AB26" s="9">
        <v>28240</v>
      </c>
      <c r="AC26" s="8">
        <v>18973</v>
      </c>
      <c r="AD26" s="4">
        <f t="shared" si="10"/>
        <v>5978</v>
      </c>
      <c r="AE26" s="8">
        <v>24951</v>
      </c>
      <c r="AF26" s="5">
        <f t="shared" si="11"/>
        <v>0.88353399433427759</v>
      </c>
      <c r="AG26" s="9">
        <v>16538</v>
      </c>
      <c r="AH26" s="8">
        <v>9953</v>
      </c>
      <c r="AI26" s="4">
        <f t="shared" si="12"/>
        <v>3551</v>
      </c>
      <c r="AJ26" s="22">
        <v>13504</v>
      </c>
      <c r="AK26" s="5">
        <f t="shared" si="13"/>
        <v>0.81654371749909305</v>
      </c>
      <c r="AL26" s="9">
        <v>16671</v>
      </c>
      <c r="AM26" s="8">
        <v>10197</v>
      </c>
      <c r="AN26" s="4">
        <f t="shared" si="14"/>
        <v>3421</v>
      </c>
      <c r="AO26" s="22">
        <v>13618</v>
      </c>
      <c r="AP26" s="5">
        <f t="shared" si="15"/>
        <v>0.81686761442025069</v>
      </c>
      <c r="AQ26" s="15">
        <v>28406</v>
      </c>
      <c r="AR26" s="16">
        <v>19544</v>
      </c>
      <c r="AS26" s="4">
        <f t="shared" si="16"/>
        <v>5543</v>
      </c>
      <c r="AT26" s="8">
        <v>25087</v>
      </c>
      <c r="AU26" s="5">
        <f t="shared" si="17"/>
        <v>0.88315848764345561</v>
      </c>
      <c r="AV26" s="9">
        <v>16717</v>
      </c>
      <c r="AW26" s="17">
        <v>9971</v>
      </c>
      <c r="AX26" s="4">
        <f t="shared" si="18"/>
        <v>3343</v>
      </c>
      <c r="AY26" s="22">
        <v>13314</v>
      </c>
      <c r="AZ26" s="5">
        <f t="shared" si="19"/>
        <v>0.79643476700364901</v>
      </c>
      <c r="BA26" s="9">
        <v>13719</v>
      </c>
      <c r="BB26" s="20">
        <v>10138</v>
      </c>
      <c r="BC26" s="4">
        <f t="shared" si="20"/>
        <v>3284</v>
      </c>
      <c r="BD26" s="8">
        <v>13422</v>
      </c>
      <c r="BE26" s="5">
        <f t="shared" si="21"/>
        <v>0.97835119177782637</v>
      </c>
      <c r="BF26" s="9">
        <v>25779</v>
      </c>
      <c r="BG26" s="8">
        <v>18498</v>
      </c>
      <c r="BH26" s="4">
        <f t="shared" si="22"/>
        <v>6629</v>
      </c>
      <c r="BI26" s="8">
        <v>25127</v>
      </c>
      <c r="BJ26" s="5">
        <f t="shared" si="23"/>
        <v>0.97470809573684003</v>
      </c>
    </row>
    <row r="27" spans="1:62" x14ac:dyDescent="0.3">
      <c r="A27" s="27">
        <v>18</v>
      </c>
      <c r="B27" s="3" t="s">
        <v>23</v>
      </c>
      <c r="C27" s="9">
        <v>118506</v>
      </c>
      <c r="D27" s="8">
        <v>80202</v>
      </c>
      <c r="E27" s="4">
        <f t="shared" si="0"/>
        <v>32565</v>
      </c>
      <c r="F27" s="22">
        <v>112767</v>
      </c>
      <c r="G27" s="5">
        <f t="shared" si="1"/>
        <v>0.95157207230013674</v>
      </c>
      <c r="H27" s="9">
        <v>121212</v>
      </c>
      <c r="I27" s="8">
        <v>79882</v>
      </c>
      <c r="J27" s="4">
        <f t="shared" si="2"/>
        <v>34906</v>
      </c>
      <c r="K27" s="22">
        <v>114788</v>
      </c>
      <c r="L27" s="5">
        <f t="shared" si="3"/>
        <v>0.94700194700194695</v>
      </c>
      <c r="M27" s="4">
        <v>178312</v>
      </c>
      <c r="N27" s="4">
        <v>122088</v>
      </c>
      <c r="O27" s="4">
        <f t="shared" si="4"/>
        <v>46503</v>
      </c>
      <c r="P27" s="8">
        <v>168591</v>
      </c>
      <c r="Q27" s="5">
        <f t="shared" si="5"/>
        <v>0.94548319799003988</v>
      </c>
      <c r="R27" s="9">
        <v>121489</v>
      </c>
      <c r="S27" s="8">
        <v>82934</v>
      </c>
      <c r="T27" s="4">
        <f t="shared" si="6"/>
        <v>32075</v>
      </c>
      <c r="U27" s="8">
        <v>115009</v>
      </c>
      <c r="V27" s="5">
        <f t="shared" si="7"/>
        <v>0.9466618376972401</v>
      </c>
      <c r="W27" s="9">
        <v>123451</v>
      </c>
      <c r="X27" s="8">
        <v>81485</v>
      </c>
      <c r="Y27" s="4">
        <f t="shared" si="8"/>
        <v>35426</v>
      </c>
      <c r="Z27" s="22">
        <v>116911</v>
      </c>
      <c r="AA27" s="5">
        <f t="shared" si="9"/>
        <v>0.94702351540287244</v>
      </c>
      <c r="AB27" s="9">
        <v>182601</v>
      </c>
      <c r="AC27" s="8">
        <v>119697</v>
      </c>
      <c r="AD27" s="4">
        <f t="shared" si="10"/>
        <v>53481</v>
      </c>
      <c r="AE27" s="8">
        <v>173178</v>
      </c>
      <c r="AF27" s="5">
        <f t="shared" si="11"/>
        <v>0.94839568238947214</v>
      </c>
      <c r="AG27" s="9">
        <v>124689</v>
      </c>
      <c r="AH27" s="8">
        <v>83564</v>
      </c>
      <c r="AI27" s="4">
        <f t="shared" si="12"/>
        <v>33838</v>
      </c>
      <c r="AJ27" s="22">
        <v>117402</v>
      </c>
      <c r="AK27" s="5">
        <f t="shared" si="13"/>
        <v>0.9415585977913048</v>
      </c>
      <c r="AL27" s="9">
        <v>127177</v>
      </c>
      <c r="AM27" s="8">
        <v>88210</v>
      </c>
      <c r="AN27" s="4">
        <f t="shared" si="14"/>
        <v>31130</v>
      </c>
      <c r="AO27" s="22">
        <v>119340</v>
      </c>
      <c r="AP27" s="5">
        <f t="shared" si="15"/>
        <v>0.93837722229648446</v>
      </c>
      <c r="AQ27" s="15">
        <v>185152</v>
      </c>
      <c r="AR27" s="16">
        <v>132360</v>
      </c>
      <c r="AS27" s="4">
        <f t="shared" si="16"/>
        <v>44050</v>
      </c>
      <c r="AT27" s="8">
        <v>176410</v>
      </c>
      <c r="AU27" s="5">
        <f t="shared" si="17"/>
        <v>0.95278473902523331</v>
      </c>
      <c r="AV27" s="9">
        <v>127611</v>
      </c>
      <c r="AW27" s="17">
        <v>88800</v>
      </c>
      <c r="AX27" s="4">
        <f t="shared" si="18"/>
        <v>30419</v>
      </c>
      <c r="AY27" s="22">
        <v>119219</v>
      </c>
      <c r="AZ27" s="5">
        <f t="shared" si="19"/>
        <v>0.93423764409024301</v>
      </c>
      <c r="BA27" s="9">
        <v>122070</v>
      </c>
      <c r="BB27" s="20">
        <v>89591</v>
      </c>
      <c r="BC27" s="4">
        <f t="shared" si="20"/>
        <v>31297</v>
      </c>
      <c r="BD27" s="8">
        <v>120888</v>
      </c>
      <c r="BE27" s="5">
        <f t="shared" si="21"/>
        <v>0.99031703121159986</v>
      </c>
      <c r="BF27" s="9">
        <v>180737</v>
      </c>
      <c r="BG27" s="8">
        <v>113403</v>
      </c>
      <c r="BH27" s="4">
        <f t="shared" si="22"/>
        <v>65948</v>
      </c>
      <c r="BI27" s="8">
        <v>179351</v>
      </c>
      <c r="BJ27" s="5">
        <f t="shared" si="23"/>
        <v>0.99233139866214448</v>
      </c>
    </row>
    <row r="28" spans="1:62" x14ac:dyDescent="0.3">
      <c r="A28" s="27">
        <v>19</v>
      </c>
      <c r="B28" s="3" t="s">
        <v>24</v>
      </c>
      <c r="C28" s="9">
        <v>364360</v>
      </c>
      <c r="D28" s="8">
        <v>294655</v>
      </c>
      <c r="E28" s="4">
        <f t="shared" si="0"/>
        <v>55197</v>
      </c>
      <c r="F28" s="22">
        <v>349852</v>
      </c>
      <c r="G28" s="5">
        <f t="shared" si="1"/>
        <v>0.96018223734767816</v>
      </c>
      <c r="H28" s="9">
        <v>368904</v>
      </c>
      <c r="I28" s="8">
        <v>291461</v>
      </c>
      <c r="J28" s="4">
        <f t="shared" si="2"/>
        <v>63527</v>
      </c>
      <c r="K28" s="22">
        <v>354988</v>
      </c>
      <c r="L28" s="5">
        <f t="shared" si="3"/>
        <v>0.96227744887558819</v>
      </c>
      <c r="M28" s="4">
        <v>633580</v>
      </c>
      <c r="N28" s="4">
        <v>509259</v>
      </c>
      <c r="O28" s="4">
        <f t="shared" si="4"/>
        <v>99958</v>
      </c>
      <c r="P28" s="8">
        <v>609217</v>
      </c>
      <c r="Q28" s="5">
        <f t="shared" si="5"/>
        <v>0.96154708166293124</v>
      </c>
      <c r="R28" s="9">
        <v>370844</v>
      </c>
      <c r="S28" s="8">
        <v>295247</v>
      </c>
      <c r="T28" s="4">
        <f t="shared" si="6"/>
        <v>61810</v>
      </c>
      <c r="U28" s="8">
        <v>357057</v>
      </c>
      <c r="V28" s="5">
        <f t="shared" si="7"/>
        <v>0.96282264240489257</v>
      </c>
      <c r="W28" s="9">
        <v>375522</v>
      </c>
      <c r="X28" s="8">
        <v>295194</v>
      </c>
      <c r="Y28" s="4">
        <f t="shared" si="8"/>
        <v>66536</v>
      </c>
      <c r="Z28" s="22">
        <v>361730</v>
      </c>
      <c r="AA28" s="5">
        <f t="shared" si="9"/>
        <v>0.96327245807169748</v>
      </c>
      <c r="AB28" s="9">
        <v>643156</v>
      </c>
      <c r="AC28" s="8">
        <v>504527</v>
      </c>
      <c r="AD28" s="4">
        <f t="shared" si="10"/>
        <v>116204</v>
      </c>
      <c r="AE28" s="8">
        <v>620731</v>
      </c>
      <c r="AF28" s="5">
        <f t="shared" si="11"/>
        <v>0.96513287600519937</v>
      </c>
      <c r="AG28" s="9">
        <v>378725</v>
      </c>
      <c r="AH28" s="8">
        <v>297944</v>
      </c>
      <c r="AI28" s="4">
        <f t="shared" si="12"/>
        <v>65137</v>
      </c>
      <c r="AJ28" s="22">
        <v>363081</v>
      </c>
      <c r="AK28" s="5">
        <f t="shared" si="13"/>
        <v>0.9586929830351838</v>
      </c>
      <c r="AL28" s="9">
        <v>382864</v>
      </c>
      <c r="AM28" s="8">
        <v>310470</v>
      </c>
      <c r="AN28" s="4">
        <f t="shared" si="14"/>
        <v>58064</v>
      </c>
      <c r="AO28" s="22">
        <v>368534</v>
      </c>
      <c r="AP28" s="5">
        <f t="shared" si="15"/>
        <v>0.96257156588240211</v>
      </c>
      <c r="AQ28" s="15">
        <v>653033</v>
      </c>
      <c r="AR28" s="16">
        <v>540561</v>
      </c>
      <c r="AS28" s="4">
        <f t="shared" si="16"/>
        <v>88408</v>
      </c>
      <c r="AT28" s="8">
        <v>628969</v>
      </c>
      <c r="AU28" s="5">
        <f t="shared" si="17"/>
        <v>0.96315040740667013</v>
      </c>
      <c r="AV28" s="9">
        <v>393378</v>
      </c>
      <c r="AW28" s="17">
        <v>316664</v>
      </c>
      <c r="AX28" s="4">
        <f t="shared" si="18"/>
        <v>54875</v>
      </c>
      <c r="AY28" s="22">
        <v>371539</v>
      </c>
      <c r="AZ28" s="5">
        <f t="shared" si="19"/>
        <v>0.94448342306890576</v>
      </c>
      <c r="BA28" s="9">
        <v>381893</v>
      </c>
      <c r="BB28" s="20">
        <v>318657</v>
      </c>
      <c r="BC28" s="4">
        <f t="shared" si="20"/>
        <v>58001</v>
      </c>
      <c r="BD28" s="8">
        <v>376658</v>
      </c>
      <c r="BE28" s="5">
        <f t="shared" si="21"/>
        <v>0.9862919718350428</v>
      </c>
      <c r="BF28" s="9">
        <v>643514</v>
      </c>
      <c r="BG28" s="8">
        <v>505875</v>
      </c>
      <c r="BH28" s="4">
        <f t="shared" si="22"/>
        <v>133758</v>
      </c>
      <c r="BI28" s="8">
        <v>639633</v>
      </c>
      <c r="BJ28" s="5">
        <f t="shared" si="23"/>
        <v>0.99396905117837375</v>
      </c>
    </row>
    <row r="29" spans="1:62" x14ac:dyDescent="0.3">
      <c r="A29" s="27">
        <v>20</v>
      </c>
      <c r="B29" s="3" t="s">
        <v>25</v>
      </c>
      <c r="C29" s="9">
        <v>120558</v>
      </c>
      <c r="D29" s="8">
        <v>93649</v>
      </c>
      <c r="E29" s="4">
        <f t="shared" si="0"/>
        <v>22290</v>
      </c>
      <c r="F29" s="22">
        <v>115939</v>
      </c>
      <c r="G29" s="5">
        <f t="shared" si="1"/>
        <v>0.96168649114948823</v>
      </c>
      <c r="H29" s="9">
        <v>121339</v>
      </c>
      <c r="I29" s="8">
        <v>91708</v>
      </c>
      <c r="J29" s="4">
        <f t="shared" si="2"/>
        <v>25249</v>
      </c>
      <c r="K29" s="22">
        <v>116957</v>
      </c>
      <c r="L29" s="5">
        <f t="shared" si="3"/>
        <v>0.96388630201336756</v>
      </c>
      <c r="M29" s="4">
        <v>168897</v>
      </c>
      <c r="N29" s="4">
        <v>131764</v>
      </c>
      <c r="O29" s="4">
        <f t="shared" si="4"/>
        <v>30931</v>
      </c>
      <c r="P29" s="8">
        <v>162695</v>
      </c>
      <c r="Q29" s="5">
        <f t="shared" si="5"/>
        <v>0.9632793951343126</v>
      </c>
      <c r="R29" s="9">
        <v>122532</v>
      </c>
      <c r="S29" s="8">
        <v>94590</v>
      </c>
      <c r="T29" s="4">
        <f t="shared" si="6"/>
        <v>23589</v>
      </c>
      <c r="U29" s="8">
        <v>118179</v>
      </c>
      <c r="V29" s="5">
        <f t="shared" si="7"/>
        <v>0.96447458623053572</v>
      </c>
      <c r="W29" s="9">
        <v>124179</v>
      </c>
      <c r="X29" s="8">
        <v>94879</v>
      </c>
      <c r="Y29" s="4">
        <f t="shared" si="8"/>
        <v>24604</v>
      </c>
      <c r="Z29" s="22">
        <v>119483</v>
      </c>
      <c r="AA29" s="5">
        <f t="shared" si="9"/>
        <v>0.9621836220294897</v>
      </c>
      <c r="AB29" s="9">
        <v>172673</v>
      </c>
      <c r="AC29" s="8">
        <v>128664</v>
      </c>
      <c r="AD29" s="4">
        <f t="shared" si="10"/>
        <v>37476</v>
      </c>
      <c r="AE29" s="8">
        <v>166140</v>
      </c>
      <c r="AF29" s="5">
        <f t="shared" si="11"/>
        <v>0.96216548041674144</v>
      </c>
      <c r="AG29" s="9">
        <v>125793</v>
      </c>
      <c r="AH29" s="8">
        <v>96079</v>
      </c>
      <c r="AI29" s="4">
        <f t="shared" si="12"/>
        <v>24707</v>
      </c>
      <c r="AJ29" s="22">
        <v>120786</v>
      </c>
      <c r="AK29" s="5">
        <f t="shared" si="13"/>
        <v>0.96019651331950107</v>
      </c>
      <c r="AL29" s="9">
        <v>126934</v>
      </c>
      <c r="AM29" s="8">
        <v>100460</v>
      </c>
      <c r="AN29" s="4">
        <f t="shared" si="14"/>
        <v>21697</v>
      </c>
      <c r="AO29" s="22">
        <v>122157</v>
      </c>
      <c r="AP29" s="5">
        <f t="shared" si="15"/>
        <v>0.96236626908472123</v>
      </c>
      <c r="AQ29" s="15">
        <v>175834</v>
      </c>
      <c r="AR29" s="16">
        <v>140756</v>
      </c>
      <c r="AS29" s="4">
        <f t="shared" si="16"/>
        <v>28299</v>
      </c>
      <c r="AT29" s="8">
        <v>169055</v>
      </c>
      <c r="AU29" s="5">
        <f t="shared" si="17"/>
        <v>0.96144659167169033</v>
      </c>
      <c r="AV29" s="9">
        <v>130198</v>
      </c>
      <c r="AW29" s="17">
        <v>101727</v>
      </c>
      <c r="AX29" s="4">
        <f t="shared" si="18"/>
        <v>22061</v>
      </c>
      <c r="AY29" s="22">
        <v>123788</v>
      </c>
      <c r="AZ29" s="5">
        <f t="shared" si="19"/>
        <v>0.95076729289236395</v>
      </c>
      <c r="BA29" s="9">
        <v>127545</v>
      </c>
      <c r="BB29" s="20">
        <v>102787</v>
      </c>
      <c r="BC29" s="4">
        <f t="shared" si="20"/>
        <v>22792</v>
      </c>
      <c r="BD29" s="8">
        <v>125579</v>
      </c>
      <c r="BE29" s="5">
        <f t="shared" si="21"/>
        <v>0.98458583245129172</v>
      </c>
      <c r="BF29" s="9">
        <v>174166</v>
      </c>
      <c r="BG29" s="8">
        <v>130006</v>
      </c>
      <c r="BH29" s="4">
        <f t="shared" si="22"/>
        <v>42593</v>
      </c>
      <c r="BI29" s="8">
        <v>172599</v>
      </c>
      <c r="BJ29" s="5">
        <f t="shared" si="23"/>
        <v>0.99100283637449327</v>
      </c>
    </row>
    <row r="30" spans="1:62" x14ac:dyDescent="0.3">
      <c r="A30" s="27">
        <v>21</v>
      </c>
      <c r="B30" s="3" t="s">
        <v>26</v>
      </c>
      <c r="C30" s="9">
        <v>158626</v>
      </c>
      <c r="D30" s="8">
        <v>118469</v>
      </c>
      <c r="E30" s="4">
        <f t="shared" si="0"/>
        <v>33474</v>
      </c>
      <c r="F30" s="22">
        <v>151943</v>
      </c>
      <c r="G30" s="5">
        <f t="shared" si="1"/>
        <v>0.95786945393567258</v>
      </c>
      <c r="H30" s="9">
        <v>160653</v>
      </c>
      <c r="I30" s="8">
        <v>115438</v>
      </c>
      <c r="J30" s="4">
        <f t="shared" si="2"/>
        <v>39625</v>
      </c>
      <c r="K30" s="22">
        <v>155063</v>
      </c>
      <c r="L30" s="5">
        <f t="shared" si="3"/>
        <v>0.96520450909724687</v>
      </c>
      <c r="M30" s="4">
        <v>275749</v>
      </c>
      <c r="N30" s="4">
        <v>205599</v>
      </c>
      <c r="O30" s="4">
        <f t="shared" si="4"/>
        <v>59348</v>
      </c>
      <c r="P30" s="8">
        <v>264947</v>
      </c>
      <c r="Q30" s="5">
        <f t="shared" si="5"/>
        <v>0.96082669384113817</v>
      </c>
      <c r="R30" s="9">
        <v>161454</v>
      </c>
      <c r="S30" s="8">
        <v>119173</v>
      </c>
      <c r="T30" s="4">
        <f t="shared" si="6"/>
        <v>35708</v>
      </c>
      <c r="U30" s="8">
        <v>154881</v>
      </c>
      <c r="V30" s="5">
        <f t="shared" si="7"/>
        <v>0.95928871381322234</v>
      </c>
      <c r="W30" s="9">
        <v>163696</v>
      </c>
      <c r="X30" s="8">
        <v>119526</v>
      </c>
      <c r="Y30" s="4">
        <f t="shared" si="8"/>
        <v>38339</v>
      </c>
      <c r="Z30" s="22">
        <v>157865</v>
      </c>
      <c r="AA30" s="5">
        <f t="shared" si="9"/>
        <v>0.96437909295279056</v>
      </c>
      <c r="AB30" s="9">
        <v>281667</v>
      </c>
      <c r="AC30" s="8">
        <v>202799</v>
      </c>
      <c r="AD30" s="4">
        <f t="shared" si="10"/>
        <v>68195</v>
      </c>
      <c r="AE30" s="8">
        <v>270994</v>
      </c>
      <c r="AF30" s="5">
        <f t="shared" si="11"/>
        <v>0.96210773715060693</v>
      </c>
      <c r="AG30" s="9">
        <v>165324</v>
      </c>
      <c r="AH30" s="8">
        <v>119712</v>
      </c>
      <c r="AI30" s="4">
        <f t="shared" si="12"/>
        <v>38755</v>
      </c>
      <c r="AJ30" s="22">
        <v>158467</v>
      </c>
      <c r="AK30" s="5">
        <f t="shared" si="13"/>
        <v>0.95852386828288694</v>
      </c>
      <c r="AL30" s="9">
        <v>168552</v>
      </c>
      <c r="AM30" s="8">
        <v>127492</v>
      </c>
      <c r="AN30" s="4">
        <f t="shared" si="14"/>
        <v>34440</v>
      </c>
      <c r="AO30" s="22">
        <v>161932</v>
      </c>
      <c r="AP30" s="5">
        <f t="shared" si="15"/>
        <v>0.96072428686696099</v>
      </c>
      <c r="AQ30" s="15">
        <v>288456</v>
      </c>
      <c r="AR30" s="16">
        <v>221373</v>
      </c>
      <c r="AS30" s="4">
        <f t="shared" si="16"/>
        <v>55849</v>
      </c>
      <c r="AT30" s="8">
        <v>277222</v>
      </c>
      <c r="AU30" s="5">
        <f t="shared" si="17"/>
        <v>0.9610547189172699</v>
      </c>
      <c r="AV30" s="9">
        <v>173481</v>
      </c>
      <c r="AW30" s="17">
        <v>127682</v>
      </c>
      <c r="AX30" s="4">
        <f t="shared" si="18"/>
        <v>35292</v>
      </c>
      <c r="AY30" s="22">
        <v>162974</v>
      </c>
      <c r="AZ30" s="5">
        <f t="shared" si="19"/>
        <v>0.93943428963402331</v>
      </c>
      <c r="BA30" s="9">
        <v>168414</v>
      </c>
      <c r="BB30" s="20">
        <v>130520</v>
      </c>
      <c r="BC30" s="4">
        <f t="shared" si="20"/>
        <v>35321</v>
      </c>
      <c r="BD30" s="8">
        <v>165841</v>
      </c>
      <c r="BE30" s="5">
        <f t="shared" si="21"/>
        <v>0.9847221727409835</v>
      </c>
      <c r="BF30" s="9">
        <v>284492</v>
      </c>
      <c r="BG30" s="8">
        <v>204680</v>
      </c>
      <c r="BH30" s="4">
        <f t="shared" si="22"/>
        <v>78365</v>
      </c>
      <c r="BI30" s="8">
        <v>283045</v>
      </c>
      <c r="BJ30" s="5">
        <f t="shared" si="23"/>
        <v>0.99491374098392926</v>
      </c>
    </row>
    <row r="31" spans="1:62" x14ac:dyDescent="0.3">
      <c r="A31" s="27">
        <v>22</v>
      </c>
      <c r="B31" s="3" t="s">
        <v>27</v>
      </c>
      <c r="C31" s="9">
        <v>74350</v>
      </c>
      <c r="D31" s="8">
        <v>50760</v>
      </c>
      <c r="E31" s="4">
        <f t="shared" si="0"/>
        <v>20670</v>
      </c>
      <c r="F31" s="22">
        <v>71430</v>
      </c>
      <c r="G31" s="5">
        <f t="shared" si="1"/>
        <v>0.9607262945527909</v>
      </c>
      <c r="H31" s="9">
        <v>75353</v>
      </c>
      <c r="I31" s="8">
        <v>49970</v>
      </c>
      <c r="J31" s="4">
        <f t="shared" si="2"/>
        <v>22534</v>
      </c>
      <c r="K31" s="22">
        <v>72504</v>
      </c>
      <c r="L31" s="5">
        <f t="shared" si="3"/>
        <v>0.96219128634560003</v>
      </c>
      <c r="M31" s="4">
        <v>132153</v>
      </c>
      <c r="N31" s="4">
        <v>90084</v>
      </c>
      <c r="O31" s="4">
        <f t="shared" si="4"/>
        <v>36852</v>
      </c>
      <c r="P31" s="8">
        <v>126936</v>
      </c>
      <c r="Q31" s="5">
        <f t="shared" si="5"/>
        <v>0.96052303012417428</v>
      </c>
      <c r="R31" s="9">
        <v>74474</v>
      </c>
      <c r="S31" s="8">
        <v>51186</v>
      </c>
      <c r="T31" s="4">
        <f t="shared" si="6"/>
        <v>20045</v>
      </c>
      <c r="U31" s="8">
        <v>71231</v>
      </c>
      <c r="V31" s="5">
        <f t="shared" si="7"/>
        <v>0.95645460160592954</v>
      </c>
      <c r="W31" s="9">
        <v>75697</v>
      </c>
      <c r="X31" s="8">
        <v>49893</v>
      </c>
      <c r="Y31" s="4">
        <f t="shared" si="8"/>
        <v>22609</v>
      </c>
      <c r="Z31" s="22">
        <v>72502</v>
      </c>
      <c r="AA31" s="5">
        <f t="shared" si="9"/>
        <v>0.9577922506836466</v>
      </c>
      <c r="AB31" s="9">
        <v>133809</v>
      </c>
      <c r="AC31" s="8">
        <v>90391</v>
      </c>
      <c r="AD31" s="4">
        <f t="shared" si="10"/>
        <v>38792</v>
      </c>
      <c r="AE31" s="8">
        <v>129183</v>
      </c>
      <c r="AF31" s="5">
        <f t="shared" si="11"/>
        <v>0.96542833441696752</v>
      </c>
      <c r="AG31" s="9">
        <v>75434</v>
      </c>
      <c r="AH31" s="8">
        <v>50766</v>
      </c>
      <c r="AI31" s="4">
        <f t="shared" si="12"/>
        <v>21529</v>
      </c>
      <c r="AJ31" s="22">
        <v>72295</v>
      </c>
      <c r="AK31" s="5">
        <f t="shared" si="13"/>
        <v>0.95838746453853696</v>
      </c>
      <c r="AL31" s="9">
        <v>76990</v>
      </c>
      <c r="AM31" s="8">
        <v>54599</v>
      </c>
      <c r="AN31" s="4">
        <f t="shared" si="14"/>
        <v>18800</v>
      </c>
      <c r="AO31" s="22">
        <v>73399</v>
      </c>
      <c r="AP31" s="5">
        <f t="shared" si="15"/>
        <v>0.95335757890635142</v>
      </c>
      <c r="AQ31" s="15">
        <v>135546</v>
      </c>
      <c r="AR31" s="16">
        <v>98417</v>
      </c>
      <c r="AS31" s="4">
        <f t="shared" si="16"/>
        <v>32621</v>
      </c>
      <c r="AT31" s="8">
        <v>131038</v>
      </c>
      <c r="AU31" s="5">
        <f t="shared" si="17"/>
        <v>0.9667419178728992</v>
      </c>
      <c r="AV31" s="9">
        <v>78435</v>
      </c>
      <c r="AW31" s="17">
        <v>54969</v>
      </c>
      <c r="AX31" s="4">
        <f t="shared" si="18"/>
        <v>18420</v>
      </c>
      <c r="AY31" s="22">
        <v>73389</v>
      </c>
      <c r="AZ31" s="5">
        <f t="shared" si="19"/>
        <v>0.93566647542551162</v>
      </c>
      <c r="BA31" s="9">
        <v>76166</v>
      </c>
      <c r="BB31" s="20">
        <v>55063</v>
      </c>
      <c r="BC31" s="4">
        <f t="shared" si="20"/>
        <v>19446</v>
      </c>
      <c r="BD31" s="8">
        <v>74509</v>
      </c>
      <c r="BE31" s="5">
        <f t="shared" si="21"/>
        <v>0.97824488616968197</v>
      </c>
      <c r="BF31" s="9">
        <v>132970</v>
      </c>
      <c r="BG31" s="8">
        <v>83422</v>
      </c>
      <c r="BH31" s="4">
        <f t="shared" si="22"/>
        <v>49532</v>
      </c>
      <c r="BI31" s="8">
        <v>132954</v>
      </c>
      <c r="BJ31" s="5">
        <f t="shared" si="23"/>
        <v>0.9998796721064902</v>
      </c>
    </row>
    <row r="32" spans="1:62" x14ac:dyDescent="0.3">
      <c r="A32" s="27">
        <v>23</v>
      </c>
      <c r="B32" s="3" t="s">
        <v>28</v>
      </c>
      <c r="C32" s="9">
        <v>191998</v>
      </c>
      <c r="D32" s="8">
        <v>150214</v>
      </c>
      <c r="E32" s="4">
        <f t="shared" si="0"/>
        <v>38783</v>
      </c>
      <c r="F32" s="22">
        <v>188997</v>
      </c>
      <c r="G32" s="5">
        <f t="shared" si="1"/>
        <v>0.98436962885030055</v>
      </c>
      <c r="H32" s="9">
        <v>196288</v>
      </c>
      <c r="I32" s="8">
        <v>146000</v>
      </c>
      <c r="J32" s="4">
        <f t="shared" si="2"/>
        <v>46874</v>
      </c>
      <c r="K32" s="22">
        <v>192874</v>
      </c>
      <c r="L32" s="5">
        <f t="shared" si="3"/>
        <v>0.98260718943593084</v>
      </c>
      <c r="M32" s="4">
        <v>418497</v>
      </c>
      <c r="N32" s="4">
        <v>314630</v>
      </c>
      <c r="O32" s="4">
        <f t="shared" si="4"/>
        <v>94444</v>
      </c>
      <c r="P32" s="8">
        <v>409074</v>
      </c>
      <c r="Q32" s="5">
        <f t="shared" si="5"/>
        <v>0.97748370956064201</v>
      </c>
      <c r="R32" s="9">
        <v>194320</v>
      </c>
      <c r="S32" s="8">
        <v>147506</v>
      </c>
      <c r="T32" s="4">
        <f t="shared" si="6"/>
        <v>42842</v>
      </c>
      <c r="U32" s="8">
        <v>190348</v>
      </c>
      <c r="V32" s="5">
        <f t="shared" si="7"/>
        <v>0.97955948950185256</v>
      </c>
      <c r="W32" s="9">
        <v>198209</v>
      </c>
      <c r="X32" s="8">
        <v>146923</v>
      </c>
      <c r="Y32" s="4">
        <f t="shared" si="8"/>
        <v>47434</v>
      </c>
      <c r="Z32" s="22">
        <v>194357</v>
      </c>
      <c r="AA32" s="5">
        <f t="shared" si="9"/>
        <v>0.98056596824563969</v>
      </c>
      <c r="AB32" s="9">
        <v>426405</v>
      </c>
      <c r="AC32" s="8">
        <v>319714</v>
      </c>
      <c r="AD32" s="4">
        <f t="shared" si="10"/>
        <v>98668</v>
      </c>
      <c r="AE32" s="8">
        <v>418382</v>
      </c>
      <c r="AF32" s="5">
        <f t="shared" si="11"/>
        <v>0.98118455459011977</v>
      </c>
      <c r="AG32" s="9">
        <v>199136</v>
      </c>
      <c r="AH32" s="8">
        <v>150613</v>
      </c>
      <c r="AI32" s="4">
        <f t="shared" si="12"/>
        <v>44770</v>
      </c>
      <c r="AJ32" s="22">
        <v>195383</v>
      </c>
      <c r="AK32" s="5">
        <f t="shared" si="13"/>
        <v>0.9811535834806363</v>
      </c>
      <c r="AL32" s="9">
        <v>204506</v>
      </c>
      <c r="AM32" s="8">
        <v>161605</v>
      </c>
      <c r="AN32" s="4">
        <f t="shared" si="14"/>
        <v>38347</v>
      </c>
      <c r="AO32" s="22">
        <v>199952</v>
      </c>
      <c r="AP32" s="5">
        <f t="shared" si="15"/>
        <v>0.97773170469326087</v>
      </c>
      <c r="AQ32" s="15">
        <v>435626</v>
      </c>
      <c r="AR32" s="16">
        <v>344046</v>
      </c>
      <c r="AS32" s="4">
        <f t="shared" si="16"/>
        <v>82523</v>
      </c>
      <c r="AT32" s="8">
        <v>426569</v>
      </c>
      <c r="AU32" s="5">
        <f t="shared" si="17"/>
        <v>0.97920922993577064</v>
      </c>
      <c r="AV32" s="9">
        <v>208760</v>
      </c>
      <c r="AW32" s="17">
        <v>161014</v>
      </c>
      <c r="AX32" s="4">
        <f t="shared" si="18"/>
        <v>38571</v>
      </c>
      <c r="AY32" s="22">
        <v>199585</v>
      </c>
      <c r="AZ32" s="5">
        <f t="shared" si="19"/>
        <v>0.95605000958037933</v>
      </c>
      <c r="BA32" s="9">
        <v>206539</v>
      </c>
      <c r="BB32" s="20">
        <v>163321</v>
      </c>
      <c r="BC32" s="4">
        <f t="shared" si="20"/>
        <v>40481</v>
      </c>
      <c r="BD32" s="8">
        <v>203802</v>
      </c>
      <c r="BE32" s="5">
        <f t="shared" si="21"/>
        <v>0.98674826546076044</v>
      </c>
      <c r="BF32" s="9">
        <v>435831</v>
      </c>
      <c r="BG32" s="8">
        <v>306532</v>
      </c>
      <c r="BH32" s="4">
        <f t="shared" si="22"/>
        <v>128644</v>
      </c>
      <c r="BI32" s="8">
        <v>435176</v>
      </c>
      <c r="BJ32" s="5">
        <f t="shared" si="23"/>
        <v>0.99849712388517564</v>
      </c>
    </row>
    <row r="33" spans="1:62" x14ac:dyDescent="0.3">
      <c r="A33" s="27">
        <v>24</v>
      </c>
      <c r="B33" s="3" t="s">
        <v>29</v>
      </c>
      <c r="C33" s="9">
        <v>586507</v>
      </c>
      <c r="D33" s="8">
        <v>509368</v>
      </c>
      <c r="E33" s="4">
        <f t="shared" si="0"/>
        <v>71718</v>
      </c>
      <c r="F33" s="22">
        <v>581086</v>
      </c>
      <c r="G33" s="5">
        <f t="shared" si="1"/>
        <v>0.99075714356350397</v>
      </c>
      <c r="H33" s="9">
        <v>594451</v>
      </c>
      <c r="I33" s="8">
        <v>507033</v>
      </c>
      <c r="J33" s="4">
        <f t="shared" si="2"/>
        <v>83849</v>
      </c>
      <c r="K33" s="22">
        <v>590882</v>
      </c>
      <c r="L33" s="5">
        <f t="shared" si="3"/>
        <v>0.99399614097713684</v>
      </c>
      <c r="M33" s="4">
        <v>1006436</v>
      </c>
      <c r="N33" s="4">
        <v>852249</v>
      </c>
      <c r="O33" s="4">
        <f t="shared" si="4"/>
        <v>139358</v>
      </c>
      <c r="P33" s="8">
        <v>991607</v>
      </c>
      <c r="Q33" s="5">
        <f t="shared" si="5"/>
        <v>0.98526582912375948</v>
      </c>
      <c r="R33" s="9">
        <v>599279</v>
      </c>
      <c r="S33" s="8">
        <v>506864</v>
      </c>
      <c r="T33" s="4">
        <f t="shared" si="6"/>
        <v>86668</v>
      </c>
      <c r="U33" s="8">
        <v>593532</v>
      </c>
      <c r="V33" s="5">
        <f t="shared" si="7"/>
        <v>0.9904101428549974</v>
      </c>
      <c r="W33" s="9">
        <v>608923</v>
      </c>
      <c r="X33" s="8">
        <v>515988</v>
      </c>
      <c r="Y33" s="4">
        <f t="shared" si="8"/>
        <v>85232</v>
      </c>
      <c r="Z33" s="22">
        <v>601220</v>
      </c>
      <c r="AA33" s="5">
        <f t="shared" si="9"/>
        <v>0.98734979627966102</v>
      </c>
      <c r="AB33" s="9">
        <v>1019860</v>
      </c>
      <c r="AC33" s="8">
        <v>870461</v>
      </c>
      <c r="AD33" s="4">
        <f t="shared" si="10"/>
        <v>135722</v>
      </c>
      <c r="AE33" s="8">
        <v>1006183</v>
      </c>
      <c r="AF33" s="5">
        <f t="shared" si="11"/>
        <v>0.98658933579118702</v>
      </c>
      <c r="AG33" s="9">
        <v>610453</v>
      </c>
      <c r="AH33" s="8">
        <v>516091</v>
      </c>
      <c r="AI33" s="4">
        <f t="shared" si="12"/>
        <v>86834</v>
      </c>
      <c r="AJ33" s="22">
        <v>602925</v>
      </c>
      <c r="AK33" s="5">
        <f t="shared" si="13"/>
        <v>0.98766817429024023</v>
      </c>
      <c r="AL33" s="9">
        <v>617988</v>
      </c>
      <c r="AM33" s="8">
        <v>537926</v>
      </c>
      <c r="AN33" s="4">
        <f t="shared" si="14"/>
        <v>70941</v>
      </c>
      <c r="AO33" s="22">
        <v>608867</v>
      </c>
      <c r="AP33" s="5">
        <f t="shared" si="15"/>
        <v>0.98524081373748362</v>
      </c>
      <c r="AQ33" s="15">
        <v>1027609</v>
      </c>
      <c r="AR33" s="16">
        <v>892505</v>
      </c>
      <c r="AS33" s="4">
        <f t="shared" si="16"/>
        <v>122619</v>
      </c>
      <c r="AT33" s="8">
        <v>1015124</v>
      </c>
      <c r="AU33" s="5">
        <f t="shared" si="17"/>
        <v>0.98785043727721344</v>
      </c>
      <c r="AV33" s="9">
        <v>625585</v>
      </c>
      <c r="AW33" s="17">
        <v>540547</v>
      </c>
      <c r="AX33" s="4">
        <f t="shared" si="18"/>
        <v>71280</v>
      </c>
      <c r="AY33" s="22">
        <v>611827</v>
      </c>
      <c r="AZ33" s="5">
        <f t="shared" si="19"/>
        <v>0.97800778471350813</v>
      </c>
      <c r="BA33" s="9">
        <v>617039</v>
      </c>
      <c r="BB33" s="20">
        <v>546304</v>
      </c>
      <c r="BC33" s="4">
        <f t="shared" si="20"/>
        <v>71312</v>
      </c>
      <c r="BD33" s="8">
        <v>617616</v>
      </c>
      <c r="BE33" s="5">
        <f t="shared" si="21"/>
        <v>1.0009351110707752</v>
      </c>
      <c r="BF33" s="9">
        <v>1025594</v>
      </c>
      <c r="BG33" s="8">
        <v>857040</v>
      </c>
      <c r="BH33" s="4">
        <f t="shared" si="22"/>
        <v>171349</v>
      </c>
      <c r="BI33" s="8">
        <v>1028389</v>
      </c>
      <c r="BJ33" s="5">
        <f t="shared" si="23"/>
        <v>1.0027252499527104</v>
      </c>
    </row>
    <row r="34" spans="1:62" x14ac:dyDescent="0.3">
      <c r="A34" s="27">
        <v>25</v>
      </c>
      <c r="B34" s="3" t="s">
        <v>30</v>
      </c>
      <c r="C34" s="23" t="s">
        <v>48</v>
      </c>
      <c r="D34" s="23" t="s">
        <v>48</v>
      </c>
      <c r="E34" s="23" t="s">
        <v>48</v>
      </c>
      <c r="F34" s="23">
        <v>0</v>
      </c>
      <c r="G34" s="23" t="s">
        <v>48</v>
      </c>
      <c r="H34" s="23" t="s">
        <v>48</v>
      </c>
      <c r="I34" s="23" t="s">
        <v>48</v>
      </c>
      <c r="J34" s="23" t="s">
        <v>48</v>
      </c>
      <c r="K34" s="23">
        <v>0</v>
      </c>
      <c r="L34" s="23" t="s">
        <v>48</v>
      </c>
      <c r="M34" s="23" t="s">
        <v>48</v>
      </c>
      <c r="N34" s="23" t="s">
        <v>48</v>
      </c>
      <c r="O34" s="23" t="s">
        <v>48</v>
      </c>
      <c r="P34" s="8">
        <v>0</v>
      </c>
      <c r="Q34" s="23" t="s">
        <v>48</v>
      </c>
      <c r="R34" s="23" t="s">
        <v>48</v>
      </c>
      <c r="S34" s="23" t="s">
        <v>48</v>
      </c>
      <c r="T34" s="23" t="s">
        <v>48</v>
      </c>
      <c r="U34" s="8">
        <v>0</v>
      </c>
      <c r="V34" s="23" t="s">
        <v>48</v>
      </c>
      <c r="W34" s="23" t="s">
        <v>48</v>
      </c>
      <c r="X34" s="23" t="s">
        <v>48</v>
      </c>
      <c r="Y34" s="23" t="s">
        <v>48</v>
      </c>
      <c r="Z34" s="23">
        <v>0</v>
      </c>
      <c r="AA34" s="23" t="s">
        <v>48</v>
      </c>
      <c r="AB34" s="23" t="s">
        <v>48</v>
      </c>
      <c r="AC34" s="23" t="s">
        <v>48</v>
      </c>
      <c r="AD34" s="23" t="s">
        <v>48</v>
      </c>
      <c r="AE34" s="8">
        <v>0</v>
      </c>
      <c r="AF34" s="23" t="s">
        <v>48</v>
      </c>
      <c r="AG34" s="23" t="s">
        <v>48</v>
      </c>
      <c r="AH34" s="23" t="s">
        <v>48</v>
      </c>
      <c r="AI34" s="23" t="s">
        <v>48</v>
      </c>
      <c r="AJ34" s="23">
        <v>0</v>
      </c>
      <c r="AK34" s="23" t="s">
        <v>48</v>
      </c>
      <c r="AL34" s="23" t="s">
        <v>48</v>
      </c>
      <c r="AM34" s="23" t="s">
        <v>48</v>
      </c>
      <c r="AN34" s="23" t="s">
        <v>48</v>
      </c>
      <c r="AO34" s="23">
        <v>0</v>
      </c>
      <c r="AP34" s="23" t="s">
        <v>48</v>
      </c>
      <c r="AQ34" s="23" t="s">
        <v>48</v>
      </c>
      <c r="AR34" s="23" t="s">
        <v>48</v>
      </c>
      <c r="AS34" s="23" t="s">
        <v>48</v>
      </c>
      <c r="AT34" s="23">
        <v>0</v>
      </c>
      <c r="AU34" s="23" t="s">
        <v>48</v>
      </c>
      <c r="AV34" s="23" t="s">
        <v>48</v>
      </c>
      <c r="AW34" s="23">
        <v>0</v>
      </c>
      <c r="AX34" s="23" t="s">
        <v>48</v>
      </c>
      <c r="AY34" s="23">
        <v>0</v>
      </c>
      <c r="AZ34" s="23" t="s">
        <v>48</v>
      </c>
      <c r="BA34" s="23" t="s">
        <v>48</v>
      </c>
      <c r="BB34" s="23" t="s">
        <v>48</v>
      </c>
      <c r="BC34" s="23" t="s">
        <v>48</v>
      </c>
      <c r="BD34" s="23">
        <v>0</v>
      </c>
      <c r="BE34" s="23" t="s">
        <v>48</v>
      </c>
      <c r="BF34" s="23" t="s">
        <v>48</v>
      </c>
      <c r="BG34" s="23" t="s">
        <v>48</v>
      </c>
      <c r="BH34" s="23" t="s">
        <v>48</v>
      </c>
      <c r="BI34" s="23">
        <v>0</v>
      </c>
      <c r="BJ34" s="23" t="s">
        <v>48</v>
      </c>
    </row>
    <row r="35" spans="1:62" x14ac:dyDescent="0.3">
      <c r="A35" s="27">
        <v>26</v>
      </c>
      <c r="B35" s="3" t="s">
        <v>31</v>
      </c>
      <c r="C35" s="9">
        <v>11569</v>
      </c>
      <c r="D35" s="8">
        <v>9131</v>
      </c>
      <c r="E35" s="4">
        <f t="shared" si="0"/>
        <v>1999</v>
      </c>
      <c r="F35" s="22">
        <v>11130</v>
      </c>
      <c r="G35" s="5">
        <f t="shared" ref="G35:G47" si="24">F35/C35</f>
        <v>0.96205376437029999</v>
      </c>
      <c r="H35" s="9">
        <v>11640</v>
      </c>
      <c r="I35" s="8">
        <v>8731</v>
      </c>
      <c r="J35" s="4">
        <f t="shared" si="2"/>
        <v>2419</v>
      </c>
      <c r="K35" s="22">
        <v>11150</v>
      </c>
      <c r="L35" s="5">
        <f t="shared" si="3"/>
        <v>0.95790378006872856</v>
      </c>
      <c r="M35" s="4">
        <v>14678</v>
      </c>
      <c r="N35" s="4">
        <v>11095</v>
      </c>
      <c r="O35" s="4">
        <f t="shared" si="4"/>
        <v>2988</v>
      </c>
      <c r="P35" s="8">
        <v>14083</v>
      </c>
      <c r="Q35" s="5">
        <f t="shared" si="5"/>
        <v>0.95946314211745465</v>
      </c>
      <c r="R35" s="9">
        <v>11636</v>
      </c>
      <c r="S35" s="8">
        <v>8919</v>
      </c>
      <c r="T35" s="4">
        <f t="shared" si="6"/>
        <v>2235</v>
      </c>
      <c r="U35" s="8">
        <v>11154</v>
      </c>
      <c r="V35" s="5">
        <f t="shared" si="7"/>
        <v>0.95857683052595388</v>
      </c>
      <c r="W35" s="9">
        <v>11721</v>
      </c>
      <c r="X35" s="8">
        <v>9027</v>
      </c>
      <c r="Y35" s="4">
        <f t="shared" si="8"/>
        <v>2178</v>
      </c>
      <c r="Z35" s="22">
        <v>11205</v>
      </c>
      <c r="AA35" s="5">
        <f t="shared" si="9"/>
        <v>0.95597645252111596</v>
      </c>
      <c r="AB35" s="9">
        <v>14756</v>
      </c>
      <c r="AC35" s="8">
        <v>11120</v>
      </c>
      <c r="AD35" s="4">
        <f t="shared" si="10"/>
        <v>3087</v>
      </c>
      <c r="AE35" s="8">
        <v>14207</v>
      </c>
      <c r="AF35" s="5">
        <f t="shared" si="11"/>
        <v>0.96279479533748979</v>
      </c>
      <c r="AG35" s="9">
        <v>11790</v>
      </c>
      <c r="AH35" s="8">
        <v>8867</v>
      </c>
      <c r="AI35" s="4">
        <f t="shared" si="12"/>
        <v>2452</v>
      </c>
      <c r="AJ35" s="22">
        <v>11319</v>
      </c>
      <c r="AK35" s="5">
        <f t="shared" si="13"/>
        <v>0.96005089058524173</v>
      </c>
      <c r="AL35" s="9">
        <v>11873</v>
      </c>
      <c r="AM35" s="8">
        <v>9312</v>
      </c>
      <c r="AN35" s="4">
        <f t="shared" si="14"/>
        <v>2068</v>
      </c>
      <c r="AO35" s="22">
        <v>11380</v>
      </c>
      <c r="AP35" s="5">
        <f t="shared" si="15"/>
        <v>0.95847721721553103</v>
      </c>
      <c r="AQ35" s="15">
        <v>14870</v>
      </c>
      <c r="AR35" s="16">
        <v>11717</v>
      </c>
      <c r="AS35" s="4">
        <f t="shared" si="16"/>
        <v>2629</v>
      </c>
      <c r="AT35" s="8">
        <v>14346</v>
      </c>
      <c r="AU35" s="5">
        <f t="shared" si="17"/>
        <v>0.96476126429051778</v>
      </c>
      <c r="AV35" s="9">
        <v>11999</v>
      </c>
      <c r="AW35" s="17">
        <v>9344</v>
      </c>
      <c r="AX35" s="4">
        <f t="shared" si="18"/>
        <v>2145</v>
      </c>
      <c r="AY35" s="22">
        <v>11489</v>
      </c>
      <c r="AZ35" s="5">
        <f t="shared" si="19"/>
        <v>0.95749645803816985</v>
      </c>
      <c r="BA35" s="9">
        <v>11707</v>
      </c>
      <c r="BB35" s="20">
        <v>9431</v>
      </c>
      <c r="BC35" s="4">
        <f t="shared" si="20"/>
        <v>2099</v>
      </c>
      <c r="BD35" s="8">
        <v>11530</v>
      </c>
      <c r="BE35" s="5">
        <f t="shared" si="21"/>
        <v>0.98488084052276414</v>
      </c>
      <c r="BF35" s="9">
        <v>14459</v>
      </c>
      <c r="BG35" s="8">
        <v>11027</v>
      </c>
      <c r="BH35" s="4">
        <f t="shared" si="22"/>
        <v>3420</v>
      </c>
      <c r="BI35" s="8">
        <v>14447</v>
      </c>
      <c r="BJ35" s="5">
        <f t="shared" si="23"/>
        <v>0.9991700670862439</v>
      </c>
    </row>
    <row r="36" spans="1:62" x14ac:dyDescent="0.3">
      <c r="A36" s="27">
        <v>27</v>
      </c>
      <c r="B36" s="3" t="s">
        <v>32</v>
      </c>
      <c r="C36" s="9">
        <v>804151</v>
      </c>
      <c r="D36" s="8">
        <v>607091</v>
      </c>
      <c r="E36" s="4">
        <f t="shared" si="0"/>
        <v>170303</v>
      </c>
      <c r="F36" s="22">
        <v>777394</v>
      </c>
      <c r="G36" s="5">
        <f t="shared" si="24"/>
        <v>0.96672639840030039</v>
      </c>
      <c r="H36" s="9">
        <v>814447</v>
      </c>
      <c r="I36" s="8">
        <v>597130</v>
      </c>
      <c r="J36" s="4">
        <f t="shared" si="2"/>
        <v>192043</v>
      </c>
      <c r="K36" s="22">
        <v>789173</v>
      </c>
      <c r="L36" s="5">
        <f t="shared" si="3"/>
        <v>0.96896790091927409</v>
      </c>
      <c r="M36" s="4">
        <v>1485608</v>
      </c>
      <c r="N36" s="4">
        <v>1109942</v>
      </c>
      <c r="O36" s="4">
        <f t="shared" si="4"/>
        <v>325465</v>
      </c>
      <c r="P36" s="8">
        <v>1435407</v>
      </c>
      <c r="Q36" s="5">
        <f t="shared" si="5"/>
        <v>0.96620844798897154</v>
      </c>
      <c r="R36" s="9">
        <v>815623</v>
      </c>
      <c r="S36" s="8">
        <v>609262</v>
      </c>
      <c r="T36" s="4">
        <f t="shared" si="6"/>
        <v>178518</v>
      </c>
      <c r="U36" s="8">
        <v>787780</v>
      </c>
      <c r="V36" s="5">
        <f t="shared" si="7"/>
        <v>0.96586290479792747</v>
      </c>
      <c r="W36" s="9">
        <v>826349</v>
      </c>
      <c r="X36" s="8">
        <v>604988</v>
      </c>
      <c r="Y36" s="4">
        <f t="shared" si="8"/>
        <v>192833</v>
      </c>
      <c r="Z36" s="22">
        <v>797821</v>
      </c>
      <c r="AA36" s="5">
        <f t="shared" si="9"/>
        <v>0.96547705630429759</v>
      </c>
      <c r="AB36" s="9">
        <v>1500292</v>
      </c>
      <c r="AC36" s="8">
        <v>1103472</v>
      </c>
      <c r="AD36" s="4">
        <f t="shared" si="10"/>
        <v>350460</v>
      </c>
      <c r="AE36" s="8">
        <v>1453932</v>
      </c>
      <c r="AF36" s="5">
        <f t="shared" si="11"/>
        <v>0.96909934866012748</v>
      </c>
      <c r="AG36" s="9">
        <v>833041</v>
      </c>
      <c r="AH36" s="8">
        <v>605596</v>
      </c>
      <c r="AI36" s="4">
        <f t="shared" si="12"/>
        <v>198257</v>
      </c>
      <c r="AJ36" s="22">
        <v>803853</v>
      </c>
      <c r="AK36" s="5">
        <f t="shared" si="13"/>
        <v>0.96496210870773469</v>
      </c>
      <c r="AL36" s="9">
        <v>845911</v>
      </c>
      <c r="AM36" s="8">
        <v>646809</v>
      </c>
      <c r="AN36" s="4">
        <f t="shared" si="14"/>
        <v>169668</v>
      </c>
      <c r="AO36" s="22">
        <v>816477</v>
      </c>
      <c r="AP36" s="5">
        <f t="shared" si="15"/>
        <v>0.96520437729264663</v>
      </c>
      <c r="AQ36" s="15">
        <v>1519147</v>
      </c>
      <c r="AR36" s="16">
        <v>1186626</v>
      </c>
      <c r="AS36" s="4">
        <f t="shared" si="16"/>
        <v>287949</v>
      </c>
      <c r="AT36" s="8">
        <v>1474575</v>
      </c>
      <c r="AU36" s="5">
        <f t="shared" si="17"/>
        <v>0.970659850560874</v>
      </c>
      <c r="AV36" s="9">
        <v>864672</v>
      </c>
      <c r="AW36" s="17">
        <v>658554</v>
      </c>
      <c r="AX36" s="4">
        <f t="shared" si="18"/>
        <v>160512</v>
      </c>
      <c r="AY36" s="22">
        <v>819066</v>
      </c>
      <c r="AZ36" s="5">
        <f t="shared" si="19"/>
        <v>0.94725630065504607</v>
      </c>
      <c r="BA36" s="9">
        <v>838532</v>
      </c>
      <c r="BB36" s="20">
        <v>669542</v>
      </c>
      <c r="BC36" s="4">
        <f t="shared" si="20"/>
        <v>161129</v>
      </c>
      <c r="BD36" s="8">
        <v>830671</v>
      </c>
      <c r="BE36" s="5">
        <f t="shared" si="21"/>
        <v>0.99062528323307875</v>
      </c>
      <c r="BF36" s="9">
        <v>1502094</v>
      </c>
      <c r="BG36" s="8">
        <v>1106719</v>
      </c>
      <c r="BH36" s="4">
        <f t="shared" si="22"/>
        <v>388510</v>
      </c>
      <c r="BI36" s="8">
        <v>1495229</v>
      </c>
      <c r="BJ36" s="5">
        <f t="shared" si="23"/>
        <v>0.9954297134533524</v>
      </c>
    </row>
    <row r="37" spans="1:62" x14ac:dyDescent="0.3">
      <c r="A37" s="27">
        <v>29</v>
      </c>
      <c r="B37" s="3" t="s">
        <v>33</v>
      </c>
      <c r="C37" s="9">
        <v>650637</v>
      </c>
      <c r="D37" s="8">
        <v>509848</v>
      </c>
      <c r="E37" s="4">
        <f t="shared" si="0"/>
        <v>111294</v>
      </c>
      <c r="F37" s="22">
        <v>621142</v>
      </c>
      <c r="G37" s="5">
        <f t="shared" si="24"/>
        <v>0.95466750277036194</v>
      </c>
      <c r="H37" s="9">
        <v>656039</v>
      </c>
      <c r="I37" s="8">
        <v>500494</v>
      </c>
      <c r="J37" s="4">
        <f t="shared" si="2"/>
        <v>125871</v>
      </c>
      <c r="K37" s="22">
        <v>626365</v>
      </c>
      <c r="L37" s="5">
        <f t="shared" si="3"/>
        <v>0.95476793300398299</v>
      </c>
      <c r="M37" s="4">
        <v>844882</v>
      </c>
      <c r="N37" s="4">
        <v>648078</v>
      </c>
      <c r="O37" s="4">
        <f t="shared" si="4"/>
        <v>156062</v>
      </c>
      <c r="P37" s="8">
        <v>804140</v>
      </c>
      <c r="Q37" s="5">
        <f t="shared" si="5"/>
        <v>0.95177788140829134</v>
      </c>
      <c r="R37" s="9">
        <v>664863</v>
      </c>
      <c r="S37" s="8">
        <v>511998</v>
      </c>
      <c r="T37" s="4">
        <f t="shared" si="6"/>
        <v>120168</v>
      </c>
      <c r="U37" s="8">
        <v>632166</v>
      </c>
      <c r="V37" s="5">
        <f t="shared" si="7"/>
        <v>0.95082144742601105</v>
      </c>
      <c r="W37" s="9">
        <v>670009</v>
      </c>
      <c r="X37" s="8">
        <v>510770</v>
      </c>
      <c r="Y37" s="4">
        <f t="shared" si="8"/>
        <v>127263</v>
      </c>
      <c r="Z37" s="22">
        <v>638033</v>
      </c>
      <c r="AA37" s="5">
        <f t="shared" si="9"/>
        <v>0.95227526794416195</v>
      </c>
      <c r="AB37" s="9">
        <v>858143</v>
      </c>
      <c r="AC37" s="8">
        <v>635617</v>
      </c>
      <c r="AD37" s="4">
        <f t="shared" si="10"/>
        <v>183066</v>
      </c>
      <c r="AE37" s="8">
        <v>818683</v>
      </c>
      <c r="AF37" s="5">
        <f t="shared" si="11"/>
        <v>0.95401698784468325</v>
      </c>
      <c r="AG37" s="9">
        <v>675943</v>
      </c>
      <c r="AH37" s="8">
        <v>514707</v>
      </c>
      <c r="AI37" s="4">
        <f t="shared" si="12"/>
        <v>129778</v>
      </c>
      <c r="AJ37" s="22">
        <v>644485</v>
      </c>
      <c r="AK37" s="5">
        <f t="shared" si="13"/>
        <v>0.95346057285895414</v>
      </c>
      <c r="AL37" s="9">
        <v>678429</v>
      </c>
      <c r="AM37" s="8">
        <v>538714</v>
      </c>
      <c r="AN37" s="4">
        <f t="shared" si="14"/>
        <v>111972</v>
      </c>
      <c r="AO37" s="22">
        <v>650686</v>
      </c>
      <c r="AP37" s="5">
        <f t="shared" si="15"/>
        <v>0.95910699572099656</v>
      </c>
      <c r="AQ37" s="15">
        <v>865622</v>
      </c>
      <c r="AR37" s="16">
        <v>691741</v>
      </c>
      <c r="AS37" s="4">
        <f t="shared" si="16"/>
        <v>140858</v>
      </c>
      <c r="AT37" s="8">
        <v>832599</v>
      </c>
      <c r="AU37" s="5">
        <f t="shared" si="17"/>
        <v>0.96185055370589012</v>
      </c>
      <c r="AV37" s="9">
        <v>690116</v>
      </c>
      <c r="AW37" s="17">
        <v>543288</v>
      </c>
      <c r="AX37" s="4">
        <f t="shared" si="18"/>
        <v>115292</v>
      </c>
      <c r="AY37" s="22">
        <v>658580</v>
      </c>
      <c r="AZ37" s="5">
        <f t="shared" si="19"/>
        <v>0.95430333451187921</v>
      </c>
      <c r="BA37" s="9">
        <v>673244</v>
      </c>
      <c r="BB37" s="20">
        <v>550019</v>
      </c>
      <c r="BC37" s="4">
        <f t="shared" si="20"/>
        <v>114873</v>
      </c>
      <c r="BD37" s="8">
        <v>664892</v>
      </c>
      <c r="BE37" s="5">
        <f t="shared" si="21"/>
        <v>0.98759439371164093</v>
      </c>
      <c r="BF37" s="9">
        <v>856336</v>
      </c>
      <c r="BG37" s="8">
        <v>643815</v>
      </c>
      <c r="BH37" s="4">
        <f t="shared" si="22"/>
        <v>202735</v>
      </c>
      <c r="BI37" s="8">
        <v>846550</v>
      </c>
      <c r="BJ37" s="5">
        <f t="shared" si="23"/>
        <v>0.98857224267110111</v>
      </c>
    </row>
    <row r="38" spans="1:62" x14ac:dyDescent="0.3">
      <c r="A38" s="27">
        <v>30</v>
      </c>
      <c r="B38" s="3" t="s">
        <v>34</v>
      </c>
      <c r="C38" s="9">
        <v>25038</v>
      </c>
      <c r="D38" s="8">
        <v>15458</v>
      </c>
      <c r="E38" s="4">
        <f t="shared" si="0"/>
        <v>5677</v>
      </c>
      <c r="F38" s="22">
        <v>21135</v>
      </c>
      <c r="G38" s="5">
        <f t="shared" si="24"/>
        <v>0.84411694224778333</v>
      </c>
      <c r="H38" s="9">
        <v>25302</v>
      </c>
      <c r="I38" s="8">
        <v>15172</v>
      </c>
      <c r="J38" s="4">
        <f t="shared" si="2"/>
        <v>6214</v>
      </c>
      <c r="K38" s="22">
        <v>21386</v>
      </c>
      <c r="L38" s="5">
        <f t="shared" si="3"/>
        <v>0.84522962611651253</v>
      </c>
      <c r="M38" s="4">
        <v>37823</v>
      </c>
      <c r="N38" s="4">
        <v>24356</v>
      </c>
      <c r="O38" s="4">
        <f t="shared" si="4"/>
        <v>9114</v>
      </c>
      <c r="P38" s="8">
        <v>33470</v>
      </c>
      <c r="Q38" s="5">
        <f t="shared" si="5"/>
        <v>0.88491129735874996</v>
      </c>
      <c r="R38" s="9">
        <v>25469</v>
      </c>
      <c r="S38" s="8">
        <v>15622</v>
      </c>
      <c r="T38" s="4">
        <f t="shared" si="6"/>
        <v>5838</v>
      </c>
      <c r="U38" s="8">
        <v>21460</v>
      </c>
      <c r="V38" s="5">
        <f t="shared" si="7"/>
        <v>0.84259295614276175</v>
      </c>
      <c r="W38" s="9">
        <v>25404</v>
      </c>
      <c r="X38" s="8">
        <v>15420</v>
      </c>
      <c r="Y38" s="4">
        <f t="shared" si="8"/>
        <v>6249</v>
      </c>
      <c r="Z38" s="22">
        <v>21669</v>
      </c>
      <c r="AA38" s="5">
        <f t="shared" si="9"/>
        <v>0.85297590930562117</v>
      </c>
      <c r="AB38" s="9">
        <v>37238</v>
      </c>
      <c r="AC38" s="8">
        <v>24354</v>
      </c>
      <c r="AD38" s="4">
        <f t="shared" si="10"/>
        <v>9663</v>
      </c>
      <c r="AE38" s="8">
        <v>34017</v>
      </c>
      <c r="AF38" s="5">
        <f t="shared" si="11"/>
        <v>0.91350233632311084</v>
      </c>
      <c r="AG38" s="9">
        <v>24904</v>
      </c>
      <c r="AH38" s="8">
        <v>15774</v>
      </c>
      <c r="AI38" s="4">
        <f t="shared" si="12"/>
        <v>6181</v>
      </c>
      <c r="AJ38" s="22">
        <v>21955</v>
      </c>
      <c r="AK38" s="5">
        <f t="shared" si="13"/>
        <v>0.88158528750401544</v>
      </c>
      <c r="AL38" s="9">
        <v>25338</v>
      </c>
      <c r="AM38" s="8">
        <v>16225</v>
      </c>
      <c r="AN38" s="4">
        <f t="shared" si="14"/>
        <v>6178</v>
      </c>
      <c r="AO38" s="22">
        <v>22403</v>
      </c>
      <c r="AP38" s="5">
        <f t="shared" si="15"/>
        <v>0.88416607467045549</v>
      </c>
      <c r="AQ38" s="15">
        <v>38074</v>
      </c>
      <c r="AR38" s="16">
        <v>26398</v>
      </c>
      <c r="AS38" s="4">
        <f t="shared" si="16"/>
        <v>8482</v>
      </c>
      <c r="AT38" s="8">
        <v>34880</v>
      </c>
      <c r="AU38" s="5">
        <f t="shared" si="17"/>
        <v>0.91611073173294111</v>
      </c>
      <c r="AV38" s="9">
        <v>25812</v>
      </c>
      <c r="AW38" s="17">
        <v>16932</v>
      </c>
      <c r="AX38" s="4">
        <f t="shared" si="18"/>
        <v>5570</v>
      </c>
      <c r="AY38" s="22">
        <v>22502</v>
      </c>
      <c r="AZ38" s="5">
        <f t="shared" si="19"/>
        <v>0.87176507050984042</v>
      </c>
      <c r="BA38" s="9">
        <v>22633</v>
      </c>
      <c r="BB38" s="20">
        <v>17198</v>
      </c>
      <c r="BC38" s="4">
        <f t="shared" si="20"/>
        <v>5555</v>
      </c>
      <c r="BD38" s="8">
        <v>22753</v>
      </c>
      <c r="BE38" s="5">
        <f t="shared" si="21"/>
        <v>1.0053019926655768</v>
      </c>
      <c r="BF38" s="9">
        <v>35534</v>
      </c>
      <c r="BG38" s="8">
        <v>24640</v>
      </c>
      <c r="BH38" s="4">
        <f t="shared" si="22"/>
        <v>10845</v>
      </c>
      <c r="BI38" s="8">
        <v>35485</v>
      </c>
      <c r="BJ38" s="5">
        <f t="shared" si="23"/>
        <v>0.99862103900489674</v>
      </c>
    </row>
    <row r="39" spans="1:62" x14ac:dyDescent="0.3">
      <c r="A39" s="27">
        <v>31</v>
      </c>
      <c r="B39" s="3" t="s">
        <v>35</v>
      </c>
      <c r="C39" s="9">
        <v>178</v>
      </c>
      <c r="D39" s="8">
        <v>122</v>
      </c>
      <c r="E39" s="4">
        <f t="shared" si="0"/>
        <v>49</v>
      </c>
      <c r="F39" s="22">
        <v>171</v>
      </c>
      <c r="G39" s="5">
        <f t="shared" si="24"/>
        <v>0.9606741573033708</v>
      </c>
      <c r="H39" s="9">
        <v>176</v>
      </c>
      <c r="I39" s="8">
        <v>119</v>
      </c>
      <c r="J39" s="4">
        <f t="shared" si="2"/>
        <v>51</v>
      </c>
      <c r="K39" s="22">
        <v>170</v>
      </c>
      <c r="L39" s="5">
        <f t="shared" si="3"/>
        <v>0.96590909090909094</v>
      </c>
      <c r="M39" s="4">
        <v>221</v>
      </c>
      <c r="N39" s="4">
        <v>154</v>
      </c>
      <c r="O39" s="4">
        <f t="shared" si="4"/>
        <v>61</v>
      </c>
      <c r="P39" s="8">
        <v>215</v>
      </c>
      <c r="Q39" s="5">
        <f t="shared" si="5"/>
        <v>0.97285067873303166</v>
      </c>
      <c r="R39" s="9">
        <v>178</v>
      </c>
      <c r="S39" s="8">
        <v>120</v>
      </c>
      <c r="T39" s="4">
        <f t="shared" si="6"/>
        <v>55</v>
      </c>
      <c r="U39" s="8">
        <v>175</v>
      </c>
      <c r="V39" s="5">
        <f t="shared" si="7"/>
        <v>0.9831460674157303</v>
      </c>
      <c r="W39" s="9">
        <v>175</v>
      </c>
      <c r="X39" s="8">
        <v>127</v>
      </c>
      <c r="Y39" s="4">
        <f t="shared" si="8"/>
        <v>48</v>
      </c>
      <c r="Z39" s="22">
        <v>175</v>
      </c>
      <c r="AA39" s="5">
        <f t="shared" si="9"/>
        <v>1</v>
      </c>
      <c r="AB39" s="9">
        <v>221</v>
      </c>
      <c r="AC39" s="8">
        <v>157</v>
      </c>
      <c r="AD39" s="4">
        <f t="shared" si="10"/>
        <v>62</v>
      </c>
      <c r="AE39" s="8">
        <v>219</v>
      </c>
      <c r="AF39" s="5">
        <f t="shared" si="11"/>
        <v>0.99095022624434392</v>
      </c>
      <c r="AG39" s="9">
        <v>186</v>
      </c>
      <c r="AH39" s="8">
        <v>125</v>
      </c>
      <c r="AI39" s="4">
        <f t="shared" si="12"/>
        <v>52</v>
      </c>
      <c r="AJ39" s="22">
        <v>177</v>
      </c>
      <c r="AK39" s="5">
        <f t="shared" si="13"/>
        <v>0.95161290322580649</v>
      </c>
      <c r="AL39" s="9">
        <v>171</v>
      </c>
      <c r="AM39" s="8">
        <v>132</v>
      </c>
      <c r="AN39" s="4">
        <f t="shared" si="14"/>
        <v>43</v>
      </c>
      <c r="AO39" s="22">
        <v>175</v>
      </c>
      <c r="AP39" s="5">
        <f t="shared" si="15"/>
        <v>1.0233918128654971</v>
      </c>
      <c r="AQ39" s="15">
        <v>218</v>
      </c>
      <c r="AR39" s="16">
        <v>171</v>
      </c>
      <c r="AS39" s="4">
        <f t="shared" si="16"/>
        <v>48</v>
      </c>
      <c r="AT39" s="8">
        <v>219</v>
      </c>
      <c r="AU39" s="5">
        <f t="shared" si="17"/>
        <v>1.0045871559633028</v>
      </c>
      <c r="AV39" s="9">
        <v>181</v>
      </c>
      <c r="AW39" s="17">
        <v>125</v>
      </c>
      <c r="AX39" s="4">
        <f t="shared" si="18"/>
        <v>53</v>
      </c>
      <c r="AY39" s="22">
        <v>178</v>
      </c>
      <c r="AZ39" s="5">
        <f t="shared" si="19"/>
        <v>0.98342541436464093</v>
      </c>
      <c r="BA39" s="9">
        <v>184</v>
      </c>
      <c r="BB39" s="20">
        <v>131</v>
      </c>
      <c r="BC39" s="4">
        <f t="shared" si="20"/>
        <v>54</v>
      </c>
      <c r="BD39" s="8">
        <v>185</v>
      </c>
      <c r="BE39" s="5">
        <f t="shared" si="21"/>
        <v>1.0054347826086956</v>
      </c>
      <c r="BF39" s="9">
        <v>224</v>
      </c>
      <c r="BG39" s="8">
        <v>154</v>
      </c>
      <c r="BH39" s="4">
        <f t="shared" si="22"/>
        <v>73</v>
      </c>
      <c r="BI39" s="8">
        <v>227</v>
      </c>
      <c r="BJ39" s="5">
        <f t="shared" si="23"/>
        <v>1.0133928571428572</v>
      </c>
    </row>
    <row r="40" spans="1:62" x14ac:dyDescent="0.3">
      <c r="A40" s="27">
        <v>32</v>
      </c>
      <c r="B40" s="3" t="s">
        <v>36</v>
      </c>
      <c r="C40" s="9">
        <v>273479</v>
      </c>
      <c r="D40" s="8">
        <v>210168</v>
      </c>
      <c r="E40" s="4">
        <f t="shared" si="0"/>
        <v>50310</v>
      </c>
      <c r="F40" s="22">
        <v>260478</v>
      </c>
      <c r="G40" s="5">
        <f t="shared" si="24"/>
        <v>0.95246070082163525</v>
      </c>
      <c r="H40" s="9">
        <v>275367</v>
      </c>
      <c r="I40" s="8">
        <v>205112</v>
      </c>
      <c r="J40" s="4">
        <f t="shared" si="2"/>
        <v>57021</v>
      </c>
      <c r="K40" s="22">
        <v>262133</v>
      </c>
      <c r="L40" s="5">
        <f t="shared" si="3"/>
        <v>0.95194050122200558</v>
      </c>
      <c r="M40" s="4">
        <v>339208</v>
      </c>
      <c r="N40" s="4">
        <v>253600</v>
      </c>
      <c r="O40" s="4">
        <f t="shared" si="4"/>
        <v>69737</v>
      </c>
      <c r="P40" s="8">
        <v>323337</v>
      </c>
      <c r="Q40" s="5">
        <f t="shared" si="5"/>
        <v>0.95321159878304762</v>
      </c>
      <c r="R40" s="9">
        <v>277547</v>
      </c>
      <c r="S40" s="8">
        <v>210262</v>
      </c>
      <c r="T40" s="4">
        <f t="shared" si="6"/>
        <v>54044</v>
      </c>
      <c r="U40" s="8">
        <v>264306</v>
      </c>
      <c r="V40" s="5">
        <f t="shared" si="7"/>
        <v>0.95229276482901992</v>
      </c>
      <c r="W40" s="9">
        <v>278758</v>
      </c>
      <c r="X40" s="8">
        <v>204045</v>
      </c>
      <c r="Y40" s="4">
        <f t="shared" si="8"/>
        <v>62707</v>
      </c>
      <c r="Z40" s="22">
        <v>266752</v>
      </c>
      <c r="AA40" s="5">
        <f t="shared" si="9"/>
        <v>0.9569303840607265</v>
      </c>
      <c r="AB40" s="9">
        <v>343140</v>
      </c>
      <c r="AC40" s="8">
        <v>246257</v>
      </c>
      <c r="AD40" s="4">
        <f t="shared" si="10"/>
        <v>81819</v>
      </c>
      <c r="AE40" s="8">
        <v>328076</v>
      </c>
      <c r="AF40" s="5">
        <f t="shared" si="11"/>
        <v>0.95609955120359036</v>
      </c>
      <c r="AG40" s="9">
        <v>282101</v>
      </c>
      <c r="AH40" s="8">
        <v>206198</v>
      </c>
      <c r="AI40" s="4">
        <f t="shared" si="12"/>
        <v>62432</v>
      </c>
      <c r="AJ40" s="22">
        <v>268630</v>
      </c>
      <c r="AK40" s="5">
        <f t="shared" si="13"/>
        <v>0.9522475992640933</v>
      </c>
      <c r="AL40" s="9">
        <v>282756</v>
      </c>
      <c r="AM40" s="8">
        <v>215115</v>
      </c>
      <c r="AN40" s="4">
        <f t="shared" si="14"/>
        <v>55744</v>
      </c>
      <c r="AO40" s="22">
        <v>270859</v>
      </c>
      <c r="AP40" s="5">
        <f t="shared" si="15"/>
        <v>0.95792485393767068</v>
      </c>
      <c r="AQ40" s="15">
        <v>343988</v>
      </c>
      <c r="AR40" s="16">
        <v>265481</v>
      </c>
      <c r="AS40" s="4">
        <f t="shared" si="16"/>
        <v>66708</v>
      </c>
      <c r="AT40" s="8">
        <v>332189</v>
      </c>
      <c r="AU40" s="5">
        <f t="shared" si="17"/>
        <v>0.96569938486226259</v>
      </c>
      <c r="AV40" s="9">
        <v>285285</v>
      </c>
      <c r="AW40" s="17">
        <v>216852</v>
      </c>
      <c r="AX40" s="4">
        <f t="shared" si="18"/>
        <v>56534</v>
      </c>
      <c r="AY40" s="22">
        <v>273386</v>
      </c>
      <c r="AZ40" s="5">
        <f t="shared" si="19"/>
        <v>0.9582908319750425</v>
      </c>
      <c r="BA40" s="9">
        <v>276279</v>
      </c>
      <c r="BB40" s="20">
        <v>219953</v>
      </c>
      <c r="BC40" s="4">
        <f t="shared" si="20"/>
        <v>55351</v>
      </c>
      <c r="BD40" s="8">
        <v>275304</v>
      </c>
      <c r="BE40" s="5">
        <f t="shared" si="21"/>
        <v>0.99647095870478752</v>
      </c>
      <c r="BF40" s="9">
        <v>339189</v>
      </c>
      <c r="BG40" s="8">
        <v>241774</v>
      </c>
      <c r="BH40" s="4">
        <f t="shared" si="22"/>
        <v>95146</v>
      </c>
      <c r="BI40" s="8">
        <v>336920</v>
      </c>
      <c r="BJ40" s="5">
        <f t="shared" si="23"/>
        <v>0.99331051419709959</v>
      </c>
    </row>
    <row r="41" spans="1:62" x14ac:dyDescent="0.3">
      <c r="A41" s="27">
        <v>33</v>
      </c>
      <c r="B41" s="3" t="s">
        <v>37</v>
      </c>
      <c r="C41" s="9">
        <v>872690</v>
      </c>
      <c r="D41" s="8">
        <v>721448</v>
      </c>
      <c r="E41" s="4">
        <f t="shared" si="0"/>
        <v>119539</v>
      </c>
      <c r="F41" s="22">
        <v>840987</v>
      </c>
      <c r="G41" s="5">
        <f t="shared" si="24"/>
        <v>0.96367209432902867</v>
      </c>
      <c r="H41" s="9">
        <v>878008</v>
      </c>
      <c r="I41" s="8">
        <v>698524</v>
      </c>
      <c r="J41" s="4">
        <f t="shared" si="2"/>
        <v>149527</v>
      </c>
      <c r="K41" s="22">
        <v>848051</v>
      </c>
      <c r="L41" s="5">
        <f t="shared" si="3"/>
        <v>0.96588072090459309</v>
      </c>
      <c r="M41" s="4">
        <v>999035</v>
      </c>
      <c r="N41" s="4">
        <v>799487</v>
      </c>
      <c r="O41" s="4">
        <f t="shared" si="4"/>
        <v>161321</v>
      </c>
      <c r="P41" s="8">
        <v>960808</v>
      </c>
      <c r="Q41" s="5">
        <f t="shared" si="5"/>
        <v>0.96173607531267669</v>
      </c>
      <c r="R41" s="9">
        <v>889467</v>
      </c>
      <c r="S41" s="8">
        <v>710694</v>
      </c>
      <c r="T41" s="4">
        <f t="shared" si="6"/>
        <v>146347</v>
      </c>
      <c r="U41" s="8">
        <v>857041</v>
      </c>
      <c r="V41" s="5">
        <f t="shared" si="7"/>
        <v>0.96354445977197578</v>
      </c>
      <c r="W41" s="9">
        <v>894020</v>
      </c>
      <c r="X41" s="8">
        <v>709376</v>
      </c>
      <c r="Y41" s="4">
        <f t="shared" si="8"/>
        <v>153066</v>
      </c>
      <c r="Z41" s="22">
        <v>862442</v>
      </c>
      <c r="AA41" s="5">
        <f t="shared" si="9"/>
        <v>0.96467864253596114</v>
      </c>
      <c r="AB41" s="9">
        <v>1012178</v>
      </c>
      <c r="AC41" s="8">
        <v>787204</v>
      </c>
      <c r="AD41" s="4">
        <f t="shared" si="10"/>
        <v>189532</v>
      </c>
      <c r="AE41" s="8">
        <v>976736</v>
      </c>
      <c r="AF41" s="5">
        <f t="shared" si="11"/>
        <v>0.96498441973644955</v>
      </c>
      <c r="AG41" s="9">
        <v>904846</v>
      </c>
      <c r="AH41" s="8">
        <v>719755</v>
      </c>
      <c r="AI41" s="4">
        <f t="shared" si="12"/>
        <v>152746</v>
      </c>
      <c r="AJ41" s="22">
        <v>872501</v>
      </c>
      <c r="AK41" s="5">
        <f t="shared" si="13"/>
        <v>0.9642535856930351</v>
      </c>
      <c r="AL41" s="9">
        <v>910192</v>
      </c>
      <c r="AM41" s="8">
        <v>744406</v>
      </c>
      <c r="AN41" s="4">
        <f t="shared" si="14"/>
        <v>134008</v>
      </c>
      <c r="AO41" s="22">
        <v>878414</v>
      </c>
      <c r="AP41" s="5">
        <f t="shared" si="15"/>
        <v>0.96508648724664681</v>
      </c>
      <c r="AQ41" s="15">
        <v>1025826</v>
      </c>
      <c r="AR41" s="16">
        <v>827964</v>
      </c>
      <c r="AS41" s="4">
        <f t="shared" si="16"/>
        <v>163982</v>
      </c>
      <c r="AT41" s="8">
        <v>991946</v>
      </c>
      <c r="AU41" s="5">
        <f t="shared" si="17"/>
        <v>0.96697295642730829</v>
      </c>
      <c r="AV41" s="9">
        <v>923071</v>
      </c>
      <c r="AW41" s="18">
        <v>752539</v>
      </c>
      <c r="AX41" s="4">
        <f t="shared" si="18"/>
        <v>137872</v>
      </c>
      <c r="AY41" s="22">
        <v>890411</v>
      </c>
      <c r="AZ41" s="5">
        <f t="shared" si="19"/>
        <v>0.96461810629951539</v>
      </c>
      <c r="BA41" s="9">
        <v>907892</v>
      </c>
      <c r="BB41" s="20">
        <v>761687</v>
      </c>
      <c r="BC41" s="4">
        <f t="shared" si="20"/>
        <v>135554</v>
      </c>
      <c r="BD41" s="8">
        <v>897241</v>
      </c>
      <c r="BE41" s="5">
        <f t="shared" si="21"/>
        <v>0.98826842840337836</v>
      </c>
      <c r="BF41" s="9">
        <v>1023930</v>
      </c>
      <c r="BG41" s="8">
        <v>795715</v>
      </c>
      <c r="BH41" s="4">
        <f t="shared" si="22"/>
        <v>214816</v>
      </c>
      <c r="BI41" s="8">
        <v>1010531</v>
      </c>
      <c r="BJ41" s="5">
        <f t="shared" si="23"/>
        <v>0.9869141445215982</v>
      </c>
    </row>
    <row r="42" spans="1:62" x14ac:dyDescent="0.3">
      <c r="A42" s="27">
        <v>34</v>
      </c>
      <c r="B42" s="3" t="s">
        <v>38</v>
      </c>
      <c r="C42" s="9">
        <v>17959</v>
      </c>
      <c r="D42" s="8">
        <v>14133</v>
      </c>
      <c r="E42" s="4">
        <f t="shared" si="0"/>
        <v>3071</v>
      </c>
      <c r="F42" s="22">
        <v>17204</v>
      </c>
      <c r="G42" s="5">
        <f t="shared" si="24"/>
        <v>0.95795979731610892</v>
      </c>
      <c r="H42" s="9">
        <v>18024</v>
      </c>
      <c r="I42" s="8">
        <v>13562</v>
      </c>
      <c r="J42" s="4">
        <f t="shared" si="2"/>
        <v>3796</v>
      </c>
      <c r="K42" s="22">
        <v>17358</v>
      </c>
      <c r="L42" s="5">
        <f t="shared" si="3"/>
        <v>0.96304926764314247</v>
      </c>
      <c r="M42" s="4">
        <v>20468</v>
      </c>
      <c r="N42" s="4">
        <v>15286</v>
      </c>
      <c r="O42" s="4">
        <f t="shared" si="4"/>
        <v>4297</v>
      </c>
      <c r="P42" s="8">
        <v>19583</v>
      </c>
      <c r="Q42" s="5">
        <f t="shared" si="5"/>
        <v>0.95676177447723276</v>
      </c>
      <c r="R42" s="9">
        <v>18235</v>
      </c>
      <c r="S42" s="8">
        <v>13741</v>
      </c>
      <c r="T42" s="4">
        <f t="shared" si="6"/>
        <v>3776</v>
      </c>
      <c r="U42" s="8">
        <v>17517</v>
      </c>
      <c r="V42" s="5">
        <f t="shared" si="7"/>
        <v>0.96062517137373182</v>
      </c>
      <c r="W42" s="9">
        <v>18317</v>
      </c>
      <c r="X42" s="8">
        <v>13713</v>
      </c>
      <c r="Y42" s="4">
        <f t="shared" si="8"/>
        <v>3863</v>
      </c>
      <c r="Z42" s="22">
        <v>17576</v>
      </c>
      <c r="AA42" s="5">
        <f t="shared" si="9"/>
        <v>0.95954577714691269</v>
      </c>
      <c r="AB42" s="9">
        <v>20712</v>
      </c>
      <c r="AC42" s="8">
        <v>14847</v>
      </c>
      <c r="AD42" s="4">
        <f t="shared" si="10"/>
        <v>4971</v>
      </c>
      <c r="AE42" s="8">
        <v>19818</v>
      </c>
      <c r="AF42" s="5">
        <f t="shared" si="11"/>
        <v>0.95683661645422946</v>
      </c>
      <c r="AG42" s="9">
        <v>18585</v>
      </c>
      <c r="AH42" s="8">
        <v>13952</v>
      </c>
      <c r="AI42" s="4">
        <f t="shared" si="12"/>
        <v>3799</v>
      </c>
      <c r="AJ42" s="22">
        <v>17751</v>
      </c>
      <c r="AK42" s="5">
        <f t="shared" si="13"/>
        <v>0.95512510088781277</v>
      </c>
      <c r="AL42" s="9">
        <v>18498</v>
      </c>
      <c r="AM42" s="8">
        <v>14356</v>
      </c>
      <c r="AN42" s="4">
        <f t="shared" si="14"/>
        <v>3453</v>
      </c>
      <c r="AO42" s="22">
        <v>17809</v>
      </c>
      <c r="AP42" s="5">
        <f t="shared" si="15"/>
        <v>0.9627527300248675</v>
      </c>
      <c r="AQ42" s="15">
        <v>20775</v>
      </c>
      <c r="AR42" s="16">
        <v>15945</v>
      </c>
      <c r="AS42" s="4">
        <f t="shared" si="16"/>
        <v>4080</v>
      </c>
      <c r="AT42" s="8">
        <v>20025</v>
      </c>
      <c r="AU42" s="5">
        <f t="shared" si="17"/>
        <v>0.96389891696750907</v>
      </c>
      <c r="AV42" s="9">
        <v>18672</v>
      </c>
      <c r="AW42" s="17">
        <v>14396</v>
      </c>
      <c r="AX42" s="4">
        <f t="shared" si="18"/>
        <v>3585</v>
      </c>
      <c r="AY42" s="22">
        <v>17981</v>
      </c>
      <c r="AZ42" s="5">
        <f t="shared" si="19"/>
        <v>0.96299271636675232</v>
      </c>
      <c r="BA42" s="9">
        <v>18422</v>
      </c>
      <c r="BB42" s="20">
        <v>14642</v>
      </c>
      <c r="BC42" s="4">
        <f t="shared" si="20"/>
        <v>3453</v>
      </c>
      <c r="BD42" s="8">
        <v>18095</v>
      </c>
      <c r="BE42" s="5">
        <f t="shared" si="21"/>
        <v>0.98224948431223535</v>
      </c>
      <c r="BF42" s="9">
        <v>20562</v>
      </c>
      <c r="BG42" s="8">
        <v>15388</v>
      </c>
      <c r="BH42" s="4">
        <f t="shared" si="22"/>
        <v>5004</v>
      </c>
      <c r="BI42" s="8">
        <v>20392</v>
      </c>
      <c r="BJ42" s="5">
        <f t="shared" si="23"/>
        <v>0.99173232175858383</v>
      </c>
    </row>
    <row r="43" spans="1:62" x14ac:dyDescent="0.3">
      <c r="A43" s="27">
        <v>35</v>
      </c>
      <c r="B43" s="3" t="s">
        <v>39</v>
      </c>
      <c r="C43" s="9">
        <v>3356</v>
      </c>
      <c r="D43" s="8">
        <v>2179</v>
      </c>
      <c r="E43" s="4">
        <f t="shared" si="0"/>
        <v>1004</v>
      </c>
      <c r="F43" s="22">
        <v>3183</v>
      </c>
      <c r="G43" s="5">
        <f t="shared" si="24"/>
        <v>0.94845053635280097</v>
      </c>
      <c r="H43" s="9">
        <v>3369</v>
      </c>
      <c r="I43" s="8">
        <v>2098</v>
      </c>
      <c r="J43" s="4">
        <f t="shared" si="2"/>
        <v>1131</v>
      </c>
      <c r="K43" s="22">
        <v>3229</v>
      </c>
      <c r="L43" s="5">
        <f t="shared" si="3"/>
        <v>0.95844464232710003</v>
      </c>
      <c r="M43" s="4">
        <v>4189</v>
      </c>
      <c r="N43" s="4">
        <v>2651</v>
      </c>
      <c r="O43" s="4">
        <f t="shared" si="4"/>
        <v>1389</v>
      </c>
      <c r="P43" s="8">
        <v>4040</v>
      </c>
      <c r="Q43" s="5">
        <f t="shared" si="5"/>
        <v>0.96443065170685127</v>
      </c>
      <c r="R43" s="9">
        <v>3398</v>
      </c>
      <c r="S43" s="8">
        <v>2175</v>
      </c>
      <c r="T43" s="4">
        <f t="shared" si="6"/>
        <v>1109</v>
      </c>
      <c r="U43" s="8">
        <v>3284</v>
      </c>
      <c r="V43" s="5">
        <f t="shared" si="7"/>
        <v>0.96645085344320192</v>
      </c>
      <c r="W43" s="9">
        <v>3433</v>
      </c>
      <c r="X43" s="8">
        <v>2179</v>
      </c>
      <c r="Y43" s="4">
        <f t="shared" si="8"/>
        <v>1161</v>
      </c>
      <c r="Z43" s="22">
        <v>3340</v>
      </c>
      <c r="AA43" s="5">
        <f t="shared" si="9"/>
        <v>0.97290999126128752</v>
      </c>
      <c r="AB43" s="9">
        <v>4306</v>
      </c>
      <c r="AC43" s="8">
        <v>2755</v>
      </c>
      <c r="AD43" s="4">
        <f t="shared" si="10"/>
        <v>1428</v>
      </c>
      <c r="AE43" s="8">
        <v>4183</v>
      </c>
      <c r="AF43" s="5">
        <f t="shared" si="11"/>
        <v>0.97143520668834182</v>
      </c>
      <c r="AG43" s="9">
        <v>3505</v>
      </c>
      <c r="AH43" s="8">
        <v>2170</v>
      </c>
      <c r="AI43" s="4">
        <f t="shared" si="12"/>
        <v>1170</v>
      </c>
      <c r="AJ43" s="22">
        <v>3340</v>
      </c>
      <c r="AK43" s="5">
        <f t="shared" si="13"/>
        <v>0.95292439372325255</v>
      </c>
      <c r="AL43" s="9">
        <v>3511</v>
      </c>
      <c r="AM43" s="8">
        <v>2330</v>
      </c>
      <c r="AN43" s="4">
        <f t="shared" si="14"/>
        <v>1041</v>
      </c>
      <c r="AO43" s="22">
        <v>3371</v>
      </c>
      <c r="AP43" s="5">
        <f t="shared" si="15"/>
        <v>0.96012532042153231</v>
      </c>
      <c r="AQ43" s="15">
        <v>4405</v>
      </c>
      <c r="AR43" s="16">
        <v>2987</v>
      </c>
      <c r="AS43" s="4">
        <f t="shared" si="16"/>
        <v>1276</v>
      </c>
      <c r="AT43" s="8">
        <v>4263</v>
      </c>
      <c r="AU43" s="5">
        <f t="shared" si="17"/>
        <v>0.96776390465380246</v>
      </c>
      <c r="AV43" s="9">
        <v>3534</v>
      </c>
      <c r="AW43" s="17">
        <v>2376</v>
      </c>
      <c r="AX43" s="4">
        <f t="shared" si="18"/>
        <v>1023</v>
      </c>
      <c r="AY43" s="22">
        <v>3399</v>
      </c>
      <c r="AZ43" s="5">
        <f t="shared" si="19"/>
        <v>0.96179966044142617</v>
      </c>
      <c r="BA43" s="9">
        <v>3464</v>
      </c>
      <c r="BB43" s="20">
        <v>2407</v>
      </c>
      <c r="BC43" s="4">
        <f t="shared" si="20"/>
        <v>1047</v>
      </c>
      <c r="BD43" s="8">
        <v>3454</v>
      </c>
      <c r="BE43" s="5">
        <f t="shared" si="21"/>
        <v>0.99711316397228633</v>
      </c>
      <c r="BF43" s="9">
        <v>4361</v>
      </c>
      <c r="BG43" s="8">
        <v>2650</v>
      </c>
      <c r="BH43" s="4">
        <f t="shared" si="22"/>
        <v>1685</v>
      </c>
      <c r="BI43" s="8">
        <v>4335</v>
      </c>
      <c r="BJ43" s="5">
        <f t="shared" si="23"/>
        <v>0.99403806466406786</v>
      </c>
    </row>
    <row r="44" spans="1:62" x14ac:dyDescent="0.3">
      <c r="A44" s="27">
        <v>36</v>
      </c>
      <c r="B44" s="3" t="s">
        <v>40</v>
      </c>
      <c r="C44" s="9">
        <v>340147</v>
      </c>
      <c r="D44" s="8">
        <v>237158</v>
      </c>
      <c r="E44" s="4">
        <f t="shared" si="0"/>
        <v>67406</v>
      </c>
      <c r="F44" s="22">
        <v>304564</v>
      </c>
      <c r="G44" s="5">
        <f t="shared" si="24"/>
        <v>0.89538934637083378</v>
      </c>
      <c r="H44" s="9">
        <v>343940</v>
      </c>
      <c r="I44" s="8">
        <v>229566</v>
      </c>
      <c r="J44" s="4">
        <f t="shared" si="2"/>
        <v>78210</v>
      </c>
      <c r="K44" s="22">
        <v>307776</v>
      </c>
      <c r="L44" s="5">
        <f t="shared" si="3"/>
        <v>0.89485375356166774</v>
      </c>
      <c r="M44" s="4">
        <v>415294</v>
      </c>
      <c r="N44" s="4">
        <v>284707</v>
      </c>
      <c r="O44" s="4">
        <f t="shared" si="4"/>
        <v>88840</v>
      </c>
      <c r="P44" s="8">
        <v>373547</v>
      </c>
      <c r="Q44" s="5">
        <f t="shared" si="5"/>
        <v>0.89947603384590191</v>
      </c>
      <c r="R44" s="9">
        <v>349377</v>
      </c>
      <c r="S44" s="8">
        <v>235401</v>
      </c>
      <c r="T44" s="4">
        <f t="shared" si="6"/>
        <v>76589</v>
      </c>
      <c r="U44" s="8">
        <v>311990</v>
      </c>
      <c r="V44" s="5">
        <f t="shared" si="7"/>
        <v>0.89298952134799947</v>
      </c>
      <c r="W44" s="9">
        <v>352323</v>
      </c>
      <c r="X44" s="8">
        <v>237661</v>
      </c>
      <c r="Y44" s="4">
        <f t="shared" si="8"/>
        <v>77414</v>
      </c>
      <c r="Z44" s="22">
        <v>315075</v>
      </c>
      <c r="AA44" s="5">
        <f t="shared" si="9"/>
        <v>0.89427882936964087</v>
      </c>
      <c r="AB44" s="9">
        <v>424236</v>
      </c>
      <c r="AC44" s="8">
        <v>282882</v>
      </c>
      <c r="AD44" s="4">
        <f t="shared" si="10"/>
        <v>99659</v>
      </c>
      <c r="AE44" s="8">
        <v>382541</v>
      </c>
      <c r="AF44" s="5">
        <f t="shared" si="11"/>
        <v>0.90171744029266732</v>
      </c>
      <c r="AG44" s="9">
        <v>358309</v>
      </c>
      <c r="AH44" s="8">
        <v>239340</v>
      </c>
      <c r="AI44" s="4">
        <f t="shared" si="12"/>
        <v>80231</v>
      </c>
      <c r="AJ44" s="22">
        <v>319571</v>
      </c>
      <c r="AK44" s="5">
        <f t="shared" si="13"/>
        <v>0.89188661183503626</v>
      </c>
      <c r="AL44" s="9">
        <v>359722</v>
      </c>
      <c r="AM44" s="8">
        <v>252182</v>
      </c>
      <c r="AN44" s="4">
        <f t="shared" si="14"/>
        <v>71150</v>
      </c>
      <c r="AO44" s="22">
        <v>323332</v>
      </c>
      <c r="AP44" s="5">
        <f t="shared" si="15"/>
        <v>0.89883854754504866</v>
      </c>
      <c r="AQ44" s="15">
        <v>432157</v>
      </c>
      <c r="AR44" s="16">
        <v>308232</v>
      </c>
      <c r="AS44" s="4">
        <f t="shared" si="16"/>
        <v>82583</v>
      </c>
      <c r="AT44" s="8">
        <v>390815</v>
      </c>
      <c r="AU44" s="5">
        <f t="shared" si="17"/>
        <v>0.90433569281534254</v>
      </c>
      <c r="AV44" s="9">
        <v>367733</v>
      </c>
      <c r="AW44" s="17">
        <v>256213</v>
      </c>
      <c r="AX44" s="4">
        <f t="shared" si="18"/>
        <v>71254</v>
      </c>
      <c r="AY44" s="22">
        <v>327467</v>
      </c>
      <c r="AZ44" s="5">
        <f t="shared" si="19"/>
        <v>0.89050207623465938</v>
      </c>
      <c r="BA44" s="9">
        <v>337773</v>
      </c>
      <c r="BB44" s="20">
        <v>259602</v>
      </c>
      <c r="BC44" s="4">
        <f t="shared" si="20"/>
        <v>71567</v>
      </c>
      <c r="BD44" s="8">
        <v>331169</v>
      </c>
      <c r="BE44" s="5">
        <f t="shared" si="21"/>
        <v>0.9804484076583978</v>
      </c>
      <c r="BF44" s="9">
        <v>408499</v>
      </c>
      <c r="BG44" s="8">
        <v>287350</v>
      </c>
      <c r="BH44" s="4">
        <f t="shared" si="22"/>
        <v>111948</v>
      </c>
      <c r="BI44" s="8">
        <v>399298</v>
      </c>
      <c r="BJ44" s="5">
        <f t="shared" si="23"/>
        <v>0.97747607705282025</v>
      </c>
    </row>
    <row r="45" spans="1:62" x14ac:dyDescent="0.3">
      <c r="A45" s="27">
        <v>37</v>
      </c>
      <c r="B45" s="3" t="s">
        <v>41</v>
      </c>
      <c r="C45" s="9">
        <v>250172</v>
      </c>
      <c r="D45" s="8">
        <v>189770</v>
      </c>
      <c r="E45" s="4">
        <f t="shared" si="0"/>
        <v>45812</v>
      </c>
      <c r="F45" s="22">
        <v>235582</v>
      </c>
      <c r="G45" s="5">
        <f t="shared" si="24"/>
        <v>0.94168012407463664</v>
      </c>
      <c r="H45" s="9">
        <v>249985</v>
      </c>
      <c r="I45" s="8">
        <v>187946</v>
      </c>
      <c r="J45" s="4">
        <f t="shared" si="2"/>
        <v>49317</v>
      </c>
      <c r="K45" s="22">
        <v>237263</v>
      </c>
      <c r="L45" s="5">
        <f t="shared" si="3"/>
        <v>0.94910894653679223</v>
      </c>
      <c r="M45" s="4">
        <v>300587</v>
      </c>
      <c r="N45" s="4">
        <v>229546</v>
      </c>
      <c r="O45" s="4">
        <f t="shared" si="4"/>
        <v>59184</v>
      </c>
      <c r="P45" s="8">
        <v>288730</v>
      </c>
      <c r="Q45" s="5">
        <f t="shared" si="5"/>
        <v>0.96055384963421575</v>
      </c>
      <c r="R45" s="9">
        <v>247712</v>
      </c>
      <c r="S45" s="8">
        <v>188634</v>
      </c>
      <c r="T45" s="4">
        <f t="shared" si="6"/>
        <v>49708</v>
      </c>
      <c r="U45" s="8">
        <v>238342</v>
      </c>
      <c r="V45" s="5">
        <f t="shared" si="7"/>
        <v>0.96217381475261599</v>
      </c>
      <c r="W45" s="9">
        <v>250023</v>
      </c>
      <c r="X45" s="8">
        <v>187112</v>
      </c>
      <c r="Y45" s="4">
        <f t="shared" si="8"/>
        <v>53062</v>
      </c>
      <c r="Z45" s="22">
        <v>240174</v>
      </c>
      <c r="AA45" s="5">
        <f t="shared" si="9"/>
        <v>0.96060762409858291</v>
      </c>
      <c r="AB45" s="9">
        <v>306096</v>
      </c>
      <c r="AC45" s="8">
        <v>224314</v>
      </c>
      <c r="AD45" s="4">
        <f t="shared" si="10"/>
        <v>69246</v>
      </c>
      <c r="AE45" s="8">
        <v>293560</v>
      </c>
      <c r="AF45" s="5">
        <f t="shared" si="11"/>
        <v>0.9590455282003032</v>
      </c>
      <c r="AG45" s="9">
        <v>252706</v>
      </c>
      <c r="AH45" s="8">
        <v>191838</v>
      </c>
      <c r="AI45" s="4">
        <f t="shared" si="12"/>
        <v>51724</v>
      </c>
      <c r="AJ45" s="22">
        <v>243562</v>
      </c>
      <c r="AK45" s="5">
        <f t="shared" si="13"/>
        <v>0.96381565930369684</v>
      </c>
      <c r="AL45" s="9">
        <v>254538</v>
      </c>
      <c r="AM45" s="8">
        <v>201213</v>
      </c>
      <c r="AN45" s="4">
        <f t="shared" si="14"/>
        <v>44682</v>
      </c>
      <c r="AO45" s="22">
        <v>245895</v>
      </c>
      <c r="AP45" s="5">
        <f t="shared" si="15"/>
        <v>0.96604436272776562</v>
      </c>
      <c r="AQ45" s="15">
        <v>310997</v>
      </c>
      <c r="AR45" s="16">
        <v>242012</v>
      </c>
      <c r="AS45" s="4">
        <f t="shared" si="16"/>
        <v>57341</v>
      </c>
      <c r="AT45" s="8">
        <v>299353</v>
      </c>
      <c r="AU45" s="5">
        <f t="shared" si="17"/>
        <v>0.96255912436454372</v>
      </c>
      <c r="AV45" s="9">
        <v>259359</v>
      </c>
      <c r="AW45" s="17">
        <v>200680</v>
      </c>
      <c r="AX45" s="4">
        <f t="shared" si="18"/>
        <v>47796</v>
      </c>
      <c r="AY45" s="22">
        <v>248476</v>
      </c>
      <c r="AZ45" s="5">
        <f t="shared" si="19"/>
        <v>0.95803885733674177</v>
      </c>
      <c r="BA45" s="9">
        <v>254394</v>
      </c>
      <c r="BB45" s="20">
        <v>203982</v>
      </c>
      <c r="BC45" s="4">
        <f t="shared" si="20"/>
        <v>46295</v>
      </c>
      <c r="BD45" s="8">
        <v>250277</v>
      </c>
      <c r="BE45" s="5">
        <f t="shared" si="21"/>
        <v>0.9838164422116874</v>
      </c>
      <c r="BF45" s="9">
        <v>309142</v>
      </c>
      <c r="BG45" s="8">
        <v>223894</v>
      </c>
      <c r="BH45" s="4">
        <f t="shared" si="22"/>
        <v>80319</v>
      </c>
      <c r="BI45" s="8">
        <v>304213</v>
      </c>
      <c r="BJ45" s="5">
        <f t="shared" si="23"/>
        <v>0.98405587076489121</v>
      </c>
    </row>
    <row r="46" spans="1:62" x14ac:dyDescent="0.3">
      <c r="A46" s="27">
        <v>38</v>
      </c>
      <c r="B46" s="3" t="s">
        <v>42</v>
      </c>
      <c r="C46" s="9">
        <v>2272</v>
      </c>
      <c r="D46" s="8">
        <v>1547</v>
      </c>
      <c r="E46" s="4">
        <f t="shared" si="0"/>
        <v>820</v>
      </c>
      <c r="F46" s="22">
        <v>2367</v>
      </c>
      <c r="G46" s="5">
        <f t="shared" si="24"/>
        <v>1.0418133802816902</v>
      </c>
      <c r="H46" s="9">
        <v>2410</v>
      </c>
      <c r="I46" s="8">
        <v>1630</v>
      </c>
      <c r="J46" s="4">
        <f t="shared" si="2"/>
        <v>911</v>
      </c>
      <c r="K46" s="22">
        <v>2541</v>
      </c>
      <c r="L46" s="5">
        <f t="shared" si="3"/>
        <v>1.0543568464730291</v>
      </c>
      <c r="M46" s="4">
        <v>5863</v>
      </c>
      <c r="N46" s="4">
        <v>4171</v>
      </c>
      <c r="O46" s="4">
        <f t="shared" si="4"/>
        <v>1733</v>
      </c>
      <c r="P46" s="8">
        <v>5904</v>
      </c>
      <c r="Q46" s="5">
        <f t="shared" si="5"/>
        <v>1.0069930069930071</v>
      </c>
      <c r="R46" s="9">
        <v>2354</v>
      </c>
      <c r="S46" s="8">
        <v>1604</v>
      </c>
      <c r="T46" s="4">
        <f t="shared" si="6"/>
        <v>803</v>
      </c>
      <c r="U46" s="8">
        <v>2407</v>
      </c>
      <c r="V46" s="5">
        <f t="shared" si="7"/>
        <v>1.0225148683092609</v>
      </c>
      <c r="W46" s="9">
        <v>2487</v>
      </c>
      <c r="X46" s="8">
        <v>1632</v>
      </c>
      <c r="Y46" s="4">
        <f t="shared" si="8"/>
        <v>877</v>
      </c>
      <c r="Z46" s="22">
        <v>2509</v>
      </c>
      <c r="AA46" s="5">
        <f t="shared" si="9"/>
        <v>1.0088459991958183</v>
      </c>
      <c r="AB46" s="9">
        <v>6137</v>
      </c>
      <c r="AC46" s="8">
        <v>4409</v>
      </c>
      <c r="AD46" s="4">
        <f t="shared" si="10"/>
        <v>1763</v>
      </c>
      <c r="AE46" s="8">
        <v>6172</v>
      </c>
      <c r="AF46" s="5">
        <f t="shared" si="11"/>
        <v>1.0057031122698388</v>
      </c>
      <c r="AG46" s="9">
        <v>2383</v>
      </c>
      <c r="AH46" s="8">
        <v>1541</v>
      </c>
      <c r="AI46" s="4">
        <f t="shared" si="12"/>
        <v>853</v>
      </c>
      <c r="AJ46" s="22">
        <v>2394</v>
      </c>
      <c r="AK46" s="5">
        <f t="shared" si="13"/>
        <v>1.0046160302140159</v>
      </c>
      <c r="AL46" s="9">
        <v>2468</v>
      </c>
      <c r="AM46" s="8">
        <v>1678</v>
      </c>
      <c r="AN46" s="4">
        <f t="shared" si="14"/>
        <v>803</v>
      </c>
      <c r="AO46" s="22">
        <v>2481</v>
      </c>
      <c r="AP46" s="5">
        <f t="shared" si="15"/>
        <v>1.0052674230145866</v>
      </c>
      <c r="AQ46" s="15">
        <v>6357</v>
      </c>
      <c r="AR46" s="16">
        <v>4971</v>
      </c>
      <c r="AS46" s="4">
        <f t="shared" si="16"/>
        <v>1418</v>
      </c>
      <c r="AT46" s="8">
        <v>6389</v>
      </c>
      <c r="AU46" s="5">
        <f t="shared" si="17"/>
        <v>1.0050338209847411</v>
      </c>
      <c r="AV46" s="9">
        <v>2401</v>
      </c>
      <c r="AW46" s="17">
        <v>1657</v>
      </c>
      <c r="AX46" s="4">
        <f t="shared" si="18"/>
        <v>670</v>
      </c>
      <c r="AY46" s="22">
        <v>2327</v>
      </c>
      <c r="AZ46" s="5">
        <f t="shared" si="19"/>
        <v>0.96917950853810908</v>
      </c>
      <c r="BA46" s="9">
        <v>2316</v>
      </c>
      <c r="BB46" s="20">
        <v>1767</v>
      </c>
      <c r="BC46" s="4">
        <f t="shared" si="20"/>
        <v>632</v>
      </c>
      <c r="BD46" s="8">
        <v>2399</v>
      </c>
      <c r="BE46" s="5">
        <f t="shared" si="21"/>
        <v>1.0358376511226253</v>
      </c>
      <c r="BF46" s="9">
        <v>6380</v>
      </c>
      <c r="BG46" s="8">
        <v>4629</v>
      </c>
      <c r="BH46" s="4">
        <f t="shared" si="22"/>
        <v>1962</v>
      </c>
      <c r="BI46" s="8">
        <v>6591</v>
      </c>
      <c r="BJ46" s="5">
        <f t="shared" si="23"/>
        <v>1.0330721003134795</v>
      </c>
    </row>
    <row r="47" spans="1:62" x14ac:dyDescent="0.3">
      <c r="A47" s="27">
        <v>97</v>
      </c>
      <c r="B47" s="3" t="s">
        <v>43</v>
      </c>
      <c r="C47" s="9">
        <v>82</v>
      </c>
      <c r="D47" s="8">
        <v>62</v>
      </c>
      <c r="E47" s="4">
        <f t="shared" si="0"/>
        <v>4</v>
      </c>
      <c r="F47" s="22">
        <v>66</v>
      </c>
      <c r="G47" s="5">
        <f t="shared" si="24"/>
        <v>0.80487804878048785</v>
      </c>
      <c r="H47" s="9">
        <v>81</v>
      </c>
      <c r="I47" s="8">
        <v>18</v>
      </c>
      <c r="J47" s="4">
        <f t="shared" si="2"/>
        <v>47</v>
      </c>
      <c r="K47" s="22">
        <v>65</v>
      </c>
      <c r="L47" s="5">
        <f t="shared" si="3"/>
        <v>0.80246913580246915</v>
      </c>
      <c r="M47" s="4">
        <v>87</v>
      </c>
      <c r="N47" s="4">
        <v>59</v>
      </c>
      <c r="O47" s="4">
        <f t="shared" si="4"/>
        <v>11</v>
      </c>
      <c r="P47" s="15">
        <v>70</v>
      </c>
      <c r="Q47" s="5">
        <f t="shared" si="5"/>
        <v>0.8045977011494253</v>
      </c>
      <c r="R47" s="9">
        <v>80</v>
      </c>
      <c r="S47" s="8">
        <v>59</v>
      </c>
      <c r="T47" s="4">
        <f t="shared" si="6"/>
        <v>5</v>
      </c>
      <c r="U47" s="8">
        <v>64</v>
      </c>
      <c r="V47" s="5">
        <f t="shared" si="7"/>
        <v>0.8</v>
      </c>
      <c r="W47" s="9">
        <v>83</v>
      </c>
      <c r="X47" s="8">
        <v>61</v>
      </c>
      <c r="Y47" s="4">
        <f t="shared" si="8"/>
        <v>4</v>
      </c>
      <c r="Z47" s="22">
        <v>65</v>
      </c>
      <c r="AA47" s="5">
        <f t="shared" si="9"/>
        <v>0.7831325301204819</v>
      </c>
      <c r="AB47" s="9">
        <v>87</v>
      </c>
      <c r="AC47" s="8">
        <v>58</v>
      </c>
      <c r="AD47" s="4">
        <f t="shared" si="10"/>
        <v>12</v>
      </c>
      <c r="AE47" s="8">
        <v>70</v>
      </c>
      <c r="AF47" s="5">
        <f t="shared" si="11"/>
        <v>0.8045977011494253</v>
      </c>
      <c r="AG47" s="9">
        <v>80</v>
      </c>
      <c r="AH47" s="8">
        <v>55</v>
      </c>
      <c r="AI47" s="4">
        <f t="shared" si="12"/>
        <v>9</v>
      </c>
      <c r="AJ47" s="22">
        <v>64</v>
      </c>
      <c r="AK47" s="5">
        <f t="shared" si="13"/>
        <v>0.8</v>
      </c>
      <c r="AL47" s="9">
        <v>81</v>
      </c>
      <c r="AM47" s="8">
        <v>61</v>
      </c>
      <c r="AN47" s="4">
        <f t="shared" si="14"/>
        <v>4</v>
      </c>
      <c r="AO47" s="22">
        <v>65</v>
      </c>
      <c r="AP47" s="5">
        <f t="shared" si="15"/>
        <v>0.80246913580246915</v>
      </c>
      <c r="AQ47" s="15">
        <v>87</v>
      </c>
      <c r="AR47" s="16">
        <v>65</v>
      </c>
      <c r="AS47" s="4">
        <f t="shared" si="16"/>
        <v>5</v>
      </c>
      <c r="AT47" s="8">
        <v>70</v>
      </c>
      <c r="AU47" s="5">
        <f t="shared" si="17"/>
        <v>0.8045977011494253</v>
      </c>
      <c r="AV47" s="9">
        <v>83</v>
      </c>
      <c r="AW47" s="17">
        <v>61</v>
      </c>
      <c r="AX47" s="4">
        <f t="shared" si="18"/>
        <v>4</v>
      </c>
      <c r="AY47" s="22">
        <v>65</v>
      </c>
      <c r="AZ47" s="5">
        <f t="shared" si="19"/>
        <v>0.7831325301204819</v>
      </c>
      <c r="BA47" s="19">
        <v>79</v>
      </c>
      <c r="BB47" s="21">
        <v>62</v>
      </c>
      <c r="BC47" s="4">
        <f t="shared" si="20"/>
        <v>5</v>
      </c>
      <c r="BD47" s="8">
        <v>67</v>
      </c>
      <c r="BE47" s="5">
        <f t="shared" si="21"/>
        <v>0.84810126582278478</v>
      </c>
      <c r="BF47" s="9">
        <v>86</v>
      </c>
      <c r="BG47" s="8">
        <v>70</v>
      </c>
      <c r="BH47" s="4">
        <f t="shared" si="22"/>
        <v>5</v>
      </c>
      <c r="BI47" s="8">
        <v>75</v>
      </c>
      <c r="BJ47" s="5">
        <f t="shared" si="23"/>
        <v>0.87209302325581395</v>
      </c>
    </row>
    <row r="48" spans="1:62" x14ac:dyDescent="0.3">
      <c r="A48" s="36" t="s">
        <v>44</v>
      </c>
      <c r="B48" s="36"/>
      <c r="C48" s="11">
        <f>SUM(C10:C47)</f>
        <v>7396603</v>
      </c>
      <c r="D48" s="11">
        <f>SUM(D10:D47)</f>
        <v>5810262</v>
      </c>
      <c r="E48" s="13">
        <f t="shared" ref="E48" si="25">F48-D48</f>
        <v>1278120</v>
      </c>
      <c r="F48" s="12">
        <f>SUM(F10:F47)</f>
        <v>7088382</v>
      </c>
      <c r="G48" s="14">
        <f t="shared" ref="G48" si="26">F48/C48</f>
        <v>0.95832938444850968</v>
      </c>
      <c r="H48" s="11">
        <f>SUM(H10:H47)</f>
        <v>7495580</v>
      </c>
      <c r="I48" s="11">
        <f>SUM(I10:I47)</f>
        <v>5685133</v>
      </c>
      <c r="J48" s="13">
        <f t="shared" ref="J48" si="27">K48-I48</f>
        <v>1509363</v>
      </c>
      <c r="K48" s="12">
        <f>SUM(K10:K47)</f>
        <v>7194496</v>
      </c>
      <c r="L48" s="14">
        <f t="shared" ref="L48" si="28">K48/H48</f>
        <v>0.95983179420405096</v>
      </c>
      <c r="M48" s="11">
        <f>SUM(M10:M47)</f>
        <v>11841205</v>
      </c>
      <c r="N48" s="11">
        <f>SUM(N10:N47)</f>
        <v>9141337</v>
      </c>
      <c r="O48" s="13">
        <f t="shared" si="4"/>
        <v>2205491</v>
      </c>
      <c r="P48" s="12">
        <f>SUM(P10:P47)</f>
        <v>11346828</v>
      </c>
      <c r="Q48" s="14">
        <f t="shared" si="5"/>
        <v>0.95824943491815229</v>
      </c>
      <c r="R48" s="11">
        <f>SUM(R10:R47)</f>
        <v>7543421</v>
      </c>
      <c r="S48" s="11">
        <f>SUM(S10:S47)</f>
        <v>5798385</v>
      </c>
      <c r="T48" s="13">
        <f t="shared" si="6"/>
        <v>1416070</v>
      </c>
      <c r="U48" s="12">
        <f>SUM(U10:U47)</f>
        <v>7214455</v>
      </c>
      <c r="V48" s="14">
        <f t="shared" si="7"/>
        <v>0.95639034332035822</v>
      </c>
      <c r="W48" s="11">
        <f>SUM(W10:W47)</f>
        <v>7631076</v>
      </c>
      <c r="X48" s="11">
        <f>SUM(X10:X47)</f>
        <v>5810017</v>
      </c>
      <c r="Y48" s="13">
        <f t="shared" ref="Y48" si="29">Z48-X48</f>
        <v>1498910</v>
      </c>
      <c r="Z48" s="12">
        <f>SUM(Z10:Z47)</f>
        <v>7308927</v>
      </c>
      <c r="AA48" s="14">
        <f t="shared" ref="AA48" si="30">Z48/W48</f>
        <v>0.95778459027272167</v>
      </c>
      <c r="AB48" s="11">
        <f>SUM(AB10:AB47)</f>
        <v>12040422</v>
      </c>
      <c r="AC48" s="11">
        <f>SUM(AC10:AC47)</f>
        <v>9046636</v>
      </c>
      <c r="AD48" s="13">
        <f t="shared" si="10"/>
        <v>2513200</v>
      </c>
      <c r="AE48" s="12">
        <f>SUM(AE10:AE47)</f>
        <v>11559836</v>
      </c>
      <c r="AF48" s="14">
        <f t="shared" si="11"/>
        <v>0.96008561826155259</v>
      </c>
      <c r="AG48" s="11">
        <f>SUM(AG10:AG47)</f>
        <v>7706566</v>
      </c>
      <c r="AH48" s="11">
        <f>SUM(AH10:AH47)</f>
        <v>5850292</v>
      </c>
      <c r="AI48" s="13">
        <f t="shared" si="12"/>
        <v>1514888</v>
      </c>
      <c r="AJ48" s="12">
        <f>SUM(AJ10:AJ47)</f>
        <v>7365180</v>
      </c>
      <c r="AK48" s="14">
        <f t="shared" si="13"/>
        <v>0.9557019300165599</v>
      </c>
      <c r="AL48" s="11">
        <f>SUM(AL10:AL47)</f>
        <v>7799229</v>
      </c>
      <c r="AM48" s="11">
        <f>SUM(AM10:AM47)</f>
        <v>6145213</v>
      </c>
      <c r="AN48" s="13">
        <f t="shared" si="14"/>
        <v>1322734</v>
      </c>
      <c r="AO48" s="12">
        <f>SUM(AO10:AO47)</f>
        <v>7467947</v>
      </c>
      <c r="AP48" s="14">
        <f t="shared" si="15"/>
        <v>0.95752375010401669</v>
      </c>
      <c r="AQ48" s="11">
        <f>SUM(AQ10:AQ47)</f>
        <v>12230251</v>
      </c>
      <c r="AR48" s="11">
        <f>SUM(AR10:AR47)</f>
        <v>9762669</v>
      </c>
      <c r="AS48" s="13">
        <f t="shared" si="16"/>
        <v>1994812</v>
      </c>
      <c r="AT48" s="12">
        <f>SUM(AT10:AT47)</f>
        <v>11757481</v>
      </c>
      <c r="AU48" s="14">
        <f t="shared" si="17"/>
        <v>0.96134421116950097</v>
      </c>
      <c r="AV48" s="11">
        <f>SUM(AV10:AV47)</f>
        <v>7986389</v>
      </c>
      <c r="AW48" s="11">
        <f>SUM(AW10:AW47)</f>
        <v>6206684</v>
      </c>
      <c r="AX48" s="13">
        <f t="shared" si="18"/>
        <v>1323221</v>
      </c>
      <c r="AY48" s="12">
        <f>SUM(AY10:AY47)</f>
        <v>7529905</v>
      </c>
      <c r="AZ48" s="14">
        <f t="shared" si="19"/>
        <v>0.94284225323860382</v>
      </c>
      <c r="BA48" s="11">
        <f>SUM(BA10:BA47)</f>
        <v>7721452</v>
      </c>
      <c r="BB48" s="11">
        <f>SUM(BB10:BB47)</f>
        <v>6288480</v>
      </c>
      <c r="BC48" s="13">
        <f t="shared" si="20"/>
        <v>1344866</v>
      </c>
      <c r="BD48" s="12">
        <f>SUM(BD10:BD47)</f>
        <v>7633346</v>
      </c>
      <c r="BE48" s="14">
        <f t="shared" si="21"/>
        <v>0.98858945182849034</v>
      </c>
      <c r="BF48" s="11">
        <f>SUM(BF10:BF47)</f>
        <v>12067413</v>
      </c>
      <c r="BG48" s="11">
        <f>SUM(BG10:BG47)</f>
        <v>9137888</v>
      </c>
      <c r="BH48" s="13">
        <f t="shared" si="22"/>
        <v>2842212</v>
      </c>
      <c r="BI48" s="12">
        <f>SUM(BI10:BI47)</f>
        <v>11980100</v>
      </c>
      <c r="BJ48" s="14">
        <f t="shared" si="23"/>
        <v>0.99276456353984077</v>
      </c>
    </row>
    <row r="49" spans="1: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5" spans="1:6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35" t="s">
        <v>45</v>
      </c>
      <c r="B56" s="35"/>
      <c r="C56" s="35"/>
      <c r="D56" s="35"/>
      <c r="E56" s="35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</sheetData>
  <mergeCells count="19">
    <mergeCell ref="A1:D1"/>
    <mergeCell ref="A56:E56"/>
    <mergeCell ref="A48:B48"/>
    <mergeCell ref="AB8:AF8"/>
    <mergeCell ref="AG8:AK8"/>
    <mergeCell ref="W8:AA8"/>
    <mergeCell ref="R8:V8"/>
    <mergeCell ref="M8:Q8"/>
    <mergeCell ref="BF8:BJ8"/>
    <mergeCell ref="A3:B3"/>
    <mergeCell ref="A5:C5"/>
    <mergeCell ref="A8:A9"/>
    <mergeCell ref="B8:B9"/>
    <mergeCell ref="C8:G8"/>
    <mergeCell ref="H8:L8"/>
    <mergeCell ref="BA8:BE8"/>
    <mergeCell ref="AV8:AZ8"/>
    <mergeCell ref="AQ8:AU8"/>
    <mergeCell ref="AL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2026-09-09T11:43:53Z</dcterms:modified>
</cp:coreProperties>
</file>