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GSTR 3B\"/>
    </mc:Choice>
  </mc:AlternateContent>
  <xr:revisionPtr revIDLastSave="0" documentId="13_ncr:1_{2E1C015F-2FB3-4F3E-9516-C4E2998D6A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-R3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7" i="1"/>
  <c r="T10" i="1" l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7" i="1"/>
  <c r="BF48" i="1" l="1"/>
  <c r="BA48" i="1"/>
  <c r="AV48" i="1"/>
  <c r="AQ48" i="1"/>
  <c r="AL48" i="1"/>
  <c r="AG48" i="1"/>
  <c r="AB48" i="1"/>
  <c r="W48" i="1"/>
  <c r="R48" i="1"/>
  <c r="M48" i="1"/>
  <c r="H48" i="1"/>
  <c r="K48" i="1" l="1"/>
  <c r="AT48" i="1"/>
  <c r="F48" i="1"/>
  <c r="D48" i="1"/>
  <c r="I48" i="1"/>
  <c r="P48" i="1"/>
  <c r="N48" i="1"/>
  <c r="U48" i="1"/>
  <c r="S48" i="1"/>
  <c r="Z48" i="1"/>
  <c r="X48" i="1"/>
  <c r="AE48" i="1"/>
  <c r="AC48" i="1"/>
  <c r="AJ48" i="1"/>
  <c r="AH48" i="1"/>
  <c r="AO48" i="1"/>
  <c r="AM48" i="1"/>
  <c r="AR48" i="1"/>
  <c r="AY48" i="1"/>
  <c r="AW48" i="1"/>
  <c r="BD48" i="1"/>
  <c r="BB48" i="1"/>
  <c r="BI48" i="1"/>
  <c r="BG48" i="1"/>
  <c r="AD48" i="1" l="1"/>
  <c r="J48" i="1"/>
  <c r="AN48" i="1"/>
  <c r="AS48" i="1"/>
  <c r="AI48" i="1"/>
  <c r="O48" i="1"/>
  <c r="G48" i="1"/>
  <c r="V48" i="1"/>
  <c r="AA48" i="1"/>
  <c r="AZ48" i="1"/>
  <c r="BE48" i="1"/>
  <c r="BJ48" i="1"/>
  <c r="L48" i="1"/>
  <c r="AP48" i="1"/>
  <c r="BC48" i="1"/>
  <c r="BH48" i="1"/>
  <c r="E48" i="1"/>
  <c r="Q48" i="1"/>
  <c r="T48" i="1"/>
  <c r="Y48" i="1"/>
  <c r="AF48" i="1"/>
  <c r="AK48" i="1"/>
  <c r="AU48" i="1"/>
  <c r="AX48" i="1"/>
  <c r="BJ11" i="1" l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7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7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7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7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7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7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7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7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7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7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7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7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7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7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7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7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7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7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7" i="1"/>
  <c r="J10" i="1"/>
  <c r="Y10" i="1"/>
  <c r="AD10" i="1"/>
  <c r="AI10" i="1"/>
  <c r="AN10" i="1"/>
  <c r="AS10" i="1"/>
  <c r="AX10" i="1"/>
  <c r="BC10" i="1"/>
  <c r="G10" i="1"/>
  <c r="L10" i="1"/>
  <c r="Q10" i="1"/>
  <c r="V10" i="1"/>
  <c r="AA10" i="1"/>
  <c r="AF10" i="1"/>
  <c r="AK10" i="1"/>
  <c r="AP10" i="1"/>
  <c r="AU10" i="1"/>
  <c r="AZ10" i="1"/>
  <c r="BE10" i="1"/>
  <c r="BH10" i="1"/>
  <c r="BJ10" i="1"/>
</calcChain>
</file>

<file path=xl/sharedStrings.xml><?xml version="1.0" encoding="utf-8"?>
<sst xmlns="http://schemas.openxmlformats.org/spreadsheetml/2006/main" count="115" uniqueCount="51">
  <si>
    <t>FINANCIAL YEAR 2019-2020</t>
  </si>
  <si>
    <t>STATE CD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</si>
  <si>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</si>
  <si>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</si>
  <si>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</si>
  <si>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</si>
  <si>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</si>
  <si>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</si>
  <si>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</si>
  <si>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</si>
  <si>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</si>
  <si>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</si>
  <si>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</si>
  <si>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</si>
  <si>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</si>
  <si>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</si>
  <si>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</si>
  <si>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</si>
  <si>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</si>
  <si>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</si>
  <si>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</si>
  <si>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</si>
  <si>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</si>
  <si>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</si>
  <si>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</si>
  <si>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</si>
  <si>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</si>
  <si>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</si>
  <si>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</si>
  <si>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</si>
  <si>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</si>
  <si>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</si>
  <si>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</si>
  <si>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</si>
  <si>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</si>
  <si>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</si>
  <si>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</si>
  <si>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</si>
  <si>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</si>
  <si>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</si>
  <si>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 Islands</t>
  </si>
  <si>
    <t>Telangana</t>
  </si>
  <si>
    <t>Andhra Pradesh</t>
  </si>
  <si>
    <t>Other Territory</t>
  </si>
  <si>
    <t>Total</t>
  </si>
  <si>
    <t>Ladakh</t>
  </si>
  <si>
    <t>*  State Code 97 represents  territories other than States/UTs</t>
  </si>
  <si>
    <t>-</t>
  </si>
  <si>
    <t>STATE WISE RETURN PERIOD WISE GSTR-3B FILING SUMMARY</t>
  </si>
  <si>
    <t>Data Considered upto 31st Aug 2026</t>
  </si>
  <si>
    <t>Filing %age as on 31st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</si>
</sst>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_ * #,##0_ ;_ * \-#,##0_ ;_ * &quot;-&quot;??_ ;_ @_ "/>
    <numFmt numFmtId="167" formatCode="[&gt;=10000000]##\,##\,##\,##0;[&gt;=100000]\ ##\,##\,##0;#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165" fontId="0" fillId="0" borderId="1" xfId="0" applyNumberFormat="1" applyBorder="1" applyAlignment="1">
      <alignment vertical="center" wrapText="1"/>
    </xf>
    <xf numFmtId="165" fontId="3" fillId="2" borderId="1" xfId="2" applyNumberFormat="1" applyFont="1" applyFill="1" applyBorder="1" applyAlignment="1">
      <alignment horizontal="center" vertical="center" wrapText="1"/>
    </xf>
    <xf numFmtId="10" fontId="5" fillId="3" borderId="1" xfId="1" applyNumberFormat="1" applyFont="1" applyFill="1" applyBorder="1"/>
    <xf numFmtId="165" fontId="6" fillId="3" borderId="1" xfId="0" applyNumberFormat="1" applyFont="1" applyFill="1" applyBorder="1" applyAlignment="1">
      <alignment horizontal="right" vertical="center" wrapText="1"/>
    </xf>
    <xf numFmtId="165" fontId="5" fillId="3" borderId="1" xfId="0" applyNumberFormat="1" applyFont="1" applyFill="1" applyBorder="1"/>
    <xf numFmtId="165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6" fontId="0" fillId="0" borderId="1" xfId="3" applyNumberFormat="1" applyFont="1" applyFill="1" applyBorder="1"/>
    <xf numFmtId="165" fontId="4" fillId="0" borderId="1" xfId="0" applyNumberFormat="1" applyFont="1" applyBorder="1"/>
    <xf numFmtId="10" fontId="4" fillId="0" borderId="1" xfId="1" applyNumberFormat="1" applyFont="1" applyFill="1" applyBorder="1"/>
    <xf numFmtId="43" fontId="0" fillId="0" borderId="1" xfId="3" applyFont="1" applyFill="1" applyBorder="1" applyAlignment="1">
      <alignment horizontal="right"/>
    </xf>
    <xf numFmtId="166" fontId="0" fillId="0" borderId="1" xfId="3" applyNumberFormat="1" applyFont="1" applyFill="1" applyBorder="1" applyAlignment="1">
      <alignment horizontal="right"/>
    </xf>
    <xf numFmtId="167" fontId="0" fillId="0" borderId="1" xfId="0" applyNumberFormat="1" applyBorder="1" applyAlignment="1">
      <alignment horizontal="right" vertical="top"/>
    </xf>
    <xf numFmtId="43" fontId="0" fillId="0" borderId="1" xfId="3" applyFont="1" applyFill="1" applyBorder="1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17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</cellXfs>
  <cellStyles count="4">
    <cellStyle name="Comma" xfId="3" builtinId="3"/>
    <cellStyle name="Comma 2" xfId="2" xr:uid="{00000000-0005-0000-0000-000001000000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7"/>
  <sheetViews>
    <sheetView tabSelected="1" zoomScale="59" zoomScaleNormal="59" workbookViewId="0">
      <selection activeCell="A8" sqref="A8:A9"/>
    </sheetView>
  </sheetViews>
  <sheetFormatPr defaultColWidth="8.77734375" defaultRowHeight="14.4" x14ac:dyDescent="0.3"/>
  <cols>
    <col min="2" max="2" width="27.44140625" bestFit="1" customWidth="1"/>
    <col min="3" max="62" width="18.44140625" customWidth="1"/>
  </cols>
  <sheetData>
    <row r="1" spans="1:62" ht="15.6" x14ac:dyDescent="0.3">
      <c r="A1" s="25" t="s">
        <v>48</v>
      </c>
      <c r="B1" s="25"/>
      <c r="C1" s="25"/>
      <c r="D1" s="25"/>
    </row>
    <row r="2" spans="1:62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62" ht="15.6" x14ac:dyDescent="0.3">
      <c r="A3" s="26" t="s">
        <v>0</v>
      </c>
      <c r="B3" s="26"/>
      <c r="C3" s="1"/>
      <c r="D3" s="1"/>
      <c r="E3" s="1"/>
      <c r="F3" s="1"/>
      <c r="G3" s="1"/>
      <c r="H3" s="1"/>
      <c r="I3" s="1"/>
      <c r="J3" s="1"/>
      <c r="K3" s="1"/>
      <c r="L3" s="1"/>
    </row>
    <row r="4" spans="1:62" ht="15.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62" ht="15.6" x14ac:dyDescent="0.3">
      <c r="A5" s="26" t="s">
        <v>49</v>
      </c>
      <c r="B5" s="26"/>
      <c r="C5" s="26"/>
    </row>
    <row r="8" spans="1:62" s="17" customFormat="1" ht="15.6" x14ac:dyDescent="0.3">
      <c r="A8" s="27" t="s">
        <v>1</v>
      </c>
      <c r="B8" s="23" t="s">
        <v>2</v>
      </c>
      <c r="C8" s="22">
        <v>43556</v>
      </c>
      <c r="D8" s="23"/>
      <c r="E8" s="23"/>
      <c r="F8" s="23"/>
      <c r="G8" s="23"/>
      <c r="H8" s="22">
        <v>43586</v>
      </c>
      <c r="I8" s="23"/>
      <c r="J8" s="23"/>
      <c r="K8" s="23"/>
      <c r="L8" s="23"/>
      <c r="M8" s="22">
        <v>43617</v>
      </c>
      <c r="N8" s="23"/>
      <c r="O8" s="23"/>
      <c r="P8" s="23"/>
      <c r="Q8" s="23"/>
      <c r="R8" s="22">
        <v>43647</v>
      </c>
      <c r="S8" s="23"/>
      <c r="T8" s="23"/>
      <c r="U8" s="23"/>
      <c r="V8" s="23"/>
      <c r="W8" s="22">
        <v>43678</v>
      </c>
      <c r="X8" s="23"/>
      <c r="Y8" s="23"/>
      <c r="Z8" s="23"/>
      <c r="AA8" s="23"/>
      <c r="AB8" s="22">
        <v>43709</v>
      </c>
      <c r="AC8" s="23"/>
      <c r="AD8" s="23"/>
      <c r="AE8" s="23"/>
      <c r="AF8" s="23"/>
      <c r="AG8" s="22">
        <v>43739</v>
      </c>
      <c r="AH8" s="23"/>
      <c r="AI8" s="23"/>
      <c r="AJ8" s="23"/>
      <c r="AK8" s="23"/>
      <c r="AL8" s="22">
        <v>43770</v>
      </c>
      <c r="AM8" s="23"/>
      <c r="AN8" s="23"/>
      <c r="AO8" s="23"/>
      <c r="AP8" s="23"/>
      <c r="AQ8" s="22">
        <v>43800</v>
      </c>
      <c r="AR8" s="23"/>
      <c r="AS8" s="23"/>
      <c r="AT8" s="23"/>
      <c r="AU8" s="23"/>
      <c r="AV8" s="22">
        <v>43831</v>
      </c>
      <c r="AW8" s="23"/>
      <c r="AX8" s="23"/>
      <c r="AY8" s="23"/>
      <c r="AZ8" s="23"/>
      <c r="BA8" s="22">
        <v>43862</v>
      </c>
      <c r="BB8" s="23"/>
      <c r="BC8" s="23"/>
      <c r="BD8" s="23"/>
      <c r="BE8" s="23"/>
      <c r="BF8" s="22">
        <v>43891</v>
      </c>
      <c r="BG8" s="23"/>
      <c r="BH8" s="23"/>
      <c r="BI8" s="23"/>
      <c r="BJ8" s="23"/>
    </row>
    <row r="9" spans="1:62" s="17" customFormat="1" ht="46.8" x14ac:dyDescent="0.3">
      <c r="A9" s="27"/>
      <c r="B9" s="23"/>
      <c r="C9" s="18" t="s">
        <v>3</v>
      </c>
      <c r="D9" s="18" t="s">
        <v>4</v>
      </c>
      <c r="E9" s="18" t="s">
        <v>5</v>
      </c>
      <c r="F9" s="4" t="s">
        <v>6</v>
      </c>
      <c r="G9" s="18" t="s">
        <v>50</v>
      </c>
      <c r="H9" s="18" t="s">
        <v>3</v>
      </c>
      <c r="I9" s="18" t="s">
        <v>4</v>
      </c>
      <c r="J9" s="18" t="s">
        <v>5</v>
      </c>
      <c r="K9" s="4" t="s">
        <v>6</v>
      </c>
      <c r="L9" s="18" t="s">
        <v>50</v>
      </c>
      <c r="M9" s="18" t="s">
        <v>3</v>
      </c>
      <c r="N9" s="18" t="s">
        <v>4</v>
      </c>
      <c r="O9" s="18" t="s">
        <v>5</v>
      </c>
      <c r="P9" s="4" t="s">
        <v>6</v>
      </c>
      <c r="Q9" s="18" t="s">
        <v>50</v>
      </c>
      <c r="R9" s="18" t="s">
        <v>3</v>
      </c>
      <c r="S9" s="18" t="s">
        <v>4</v>
      </c>
      <c r="T9" s="18" t="s">
        <v>5</v>
      </c>
      <c r="U9" s="4" t="s">
        <v>6</v>
      </c>
      <c r="V9" s="18" t="s">
        <v>50</v>
      </c>
      <c r="W9" s="18" t="s">
        <v>3</v>
      </c>
      <c r="X9" s="18" t="s">
        <v>4</v>
      </c>
      <c r="Y9" s="18" t="s">
        <v>5</v>
      </c>
      <c r="Z9" s="4" t="s">
        <v>6</v>
      </c>
      <c r="AA9" s="18" t="s">
        <v>50</v>
      </c>
      <c r="AB9" s="18" t="s">
        <v>3</v>
      </c>
      <c r="AC9" s="18" t="s">
        <v>4</v>
      </c>
      <c r="AD9" s="18" t="s">
        <v>5</v>
      </c>
      <c r="AE9" s="4" t="s">
        <v>6</v>
      </c>
      <c r="AF9" s="18" t="s">
        <v>50</v>
      </c>
      <c r="AG9" s="18" t="s">
        <v>3</v>
      </c>
      <c r="AH9" s="18" t="s">
        <v>4</v>
      </c>
      <c r="AI9" s="18" t="s">
        <v>5</v>
      </c>
      <c r="AJ9" s="4" t="s">
        <v>6</v>
      </c>
      <c r="AK9" s="18" t="s">
        <v>50</v>
      </c>
      <c r="AL9" s="18" t="s">
        <v>3</v>
      </c>
      <c r="AM9" s="18" t="s">
        <v>4</v>
      </c>
      <c r="AN9" s="18" t="s">
        <v>5</v>
      </c>
      <c r="AO9" s="4" t="s">
        <v>6</v>
      </c>
      <c r="AP9" s="18" t="s">
        <v>50</v>
      </c>
      <c r="AQ9" s="18" t="s">
        <v>3</v>
      </c>
      <c r="AR9" s="18" t="s">
        <v>4</v>
      </c>
      <c r="AS9" s="18" t="s">
        <v>5</v>
      </c>
      <c r="AT9" s="4" t="s">
        <v>6</v>
      </c>
      <c r="AU9" s="18" t="s">
        <v>50</v>
      </c>
      <c r="AV9" s="18" t="s">
        <v>3</v>
      </c>
      <c r="AW9" s="18" t="s">
        <v>4</v>
      </c>
      <c r="AX9" s="18" t="s">
        <v>5</v>
      </c>
      <c r="AY9" s="4" t="s">
        <v>6</v>
      </c>
      <c r="AZ9" s="18" t="s">
        <v>50</v>
      </c>
      <c r="BA9" s="18" t="s">
        <v>3</v>
      </c>
      <c r="BB9" s="18" t="s">
        <v>4</v>
      </c>
      <c r="BC9" s="18" t="s">
        <v>5</v>
      </c>
      <c r="BD9" s="4" t="s">
        <v>6</v>
      </c>
      <c r="BE9" s="18" t="s">
        <v>50</v>
      </c>
      <c r="BF9" s="18" t="s">
        <v>3</v>
      </c>
      <c r="BG9" s="18" t="s">
        <v>4</v>
      </c>
      <c r="BH9" s="18" t="s">
        <v>5</v>
      </c>
      <c r="BI9" s="4" t="s">
        <v>6</v>
      </c>
      <c r="BJ9" s="18" t="s">
        <v>50</v>
      </c>
    </row>
    <row r="10" spans="1:62" x14ac:dyDescent="0.3">
      <c r="A10" s="19">
        <v>1</v>
      </c>
      <c r="B10" s="9" t="s">
        <v>7</v>
      </c>
      <c r="C10" s="10">
        <v>89187</v>
      </c>
      <c r="D10" s="10">
        <v>53407</v>
      </c>
      <c r="E10" s="3">
        <v>78332</v>
      </c>
      <c r="F10" s="3">
        <v>78388</v>
      </c>
      <c r="G10" s="12">
        <f>F10/C10</f>
        <v>0.87891733100115488</v>
      </c>
      <c r="H10" s="10">
        <v>90152</v>
      </c>
      <c r="I10" s="10">
        <v>55801</v>
      </c>
      <c r="J10" s="11">
        <f>K10-I10</f>
        <v>23346</v>
      </c>
      <c r="K10" s="3">
        <v>79147</v>
      </c>
      <c r="L10" s="12">
        <f>K10/H10</f>
        <v>0.87792838761203296</v>
      </c>
      <c r="M10" s="10">
        <v>90874</v>
      </c>
      <c r="N10" s="10">
        <v>58011</v>
      </c>
      <c r="O10" s="11">
        <f>P10-N10</f>
        <v>21638</v>
      </c>
      <c r="P10" s="3">
        <v>79649</v>
      </c>
      <c r="Q10" s="12">
        <f>P10/M10</f>
        <v>0.87647732024561475</v>
      </c>
      <c r="R10" s="10">
        <v>91798</v>
      </c>
      <c r="S10" s="10">
        <v>24045</v>
      </c>
      <c r="T10" s="11">
        <f>U10-S10</f>
        <v>55437</v>
      </c>
      <c r="U10" s="3">
        <v>79482</v>
      </c>
      <c r="V10" s="12">
        <f>U10/R10</f>
        <v>0.86583585699034837</v>
      </c>
      <c r="W10" s="10">
        <v>92245</v>
      </c>
      <c r="X10" s="10">
        <v>22247</v>
      </c>
      <c r="Y10" s="11">
        <f>Z10-X10</f>
        <v>57247</v>
      </c>
      <c r="Z10" s="3">
        <v>79494</v>
      </c>
      <c r="AA10" s="12">
        <f>Z10/W10</f>
        <v>0.86177028565233893</v>
      </c>
      <c r="AB10" s="10">
        <v>92462</v>
      </c>
      <c r="AC10" s="10">
        <v>20236</v>
      </c>
      <c r="AD10" s="11">
        <f>AE10-AC10</f>
        <v>59420</v>
      </c>
      <c r="AE10" s="3">
        <v>79656</v>
      </c>
      <c r="AF10" s="12">
        <f>AE10/AB10</f>
        <v>0.86149985940170015</v>
      </c>
      <c r="AG10" s="3">
        <v>92639</v>
      </c>
      <c r="AH10" s="10">
        <v>22509</v>
      </c>
      <c r="AI10" s="11">
        <f>AJ10-AH10</f>
        <v>57492</v>
      </c>
      <c r="AJ10" s="3">
        <v>80001</v>
      </c>
      <c r="AK10" s="12">
        <f>AJ10/AG10</f>
        <v>0.86357797471907083</v>
      </c>
      <c r="AL10" s="10">
        <v>92563</v>
      </c>
      <c r="AM10" s="10">
        <v>48036</v>
      </c>
      <c r="AN10" s="11">
        <f>AO10-AM10</f>
        <v>32311</v>
      </c>
      <c r="AO10" s="3">
        <v>80347</v>
      </c>
      <c r="AP10" s="12">
        <f>AO10/AL10</f>
        <v>0.86802502079664656</v>
      </c>
      <c r="AQ10" s="16">
        <v>92194</v>
      </c>
      <c r="AR10" s="10">
        <v>41704</v>
      </c>
      <c r="AS10" s="11">
        <f>AT10-AR10</f>
        <v>39187</v>
      </c>
      <c r="AT10" s="3">
        <v>80891</v>
      </c>
      <c r="AU10" s="12">
        <f>AT10/AQ10</f>
        <v>0.87739983079159167</v>
      </c>
      <c r="AV10" s="10">
        <v>91657</v>
      </c>
      <c r="AW10" s="10">
        <v>58255</v>
      </c>
      <c r="AX10" s="11">
        <f>AY10-AW10</f>
        <v>21534</v>
      </c>
      <c r="AY10" s="3">
        <v>79789</v>
      </c>
      <c r="AZ10" s="12">
        <f>AY10/AV10</f>
        <v>0.87051725454684314</v>
      </c>
      <c r="BA10" s="10">
        <v>91600</v>
      </c>
      <c r="BB10" s="10">
        <v>50491</v>
      </c>
      <c r="BC10" s="11">
        <f>BD10-BB10</f>
        <v>29201</v>
      </c>
      <c r="BD10" s="3">
        <v>79692</v>
      </c>
      <c r="BE10" s="12">
        <f>BD10/BA10</f>
        <v>0.87</v>
      </c>
      <c r="BF10" s="10">
        <v>85741</v>
      </c>
      <c r="BG10" s="10">
        <v>6664</v>
      </c>
      <c r="BH10" s="11">
        <f>BI10-BG10</f>
        <v>73454</v>
      </c>
      <c r="BI10" s="3">
        <v>80118</v>
      </c>
      <c r="BJ10" s="12">
        <f>BI10/BF10</f>
        <v>0.93441877281580576</v>
      </c>
    </row>
    <row r="11" spans="1:62" x14ac:dyDescent="0.3">
      <c r="A11" s="19">
        <v>2</v>
      </c>
      <c r="B11" s="9" t="s">
        <v>8</v>
      </c>
      <c r="C11" s="10">
        <v>87028</v>
      </c>
      <c r="D11" s="10">
        <v>54886</v>
      </c>
      <c r="E11" s="3">
        <v>76735</v>
      </c>
      <c r="F11" s="3">
        <v>76777</v>
      </c>
      <c r="G11" s="12">
        <f t="shared" ref="G11:G47" si="0">F11/C11</f>
        <v>0.88221032311439995</v>
      </c>
      <c r="H11" s="10">
        <v>87431</v>
      </c>
      <c r="I11" s="10">
        <v>58269</v>
      </c>
      <c r="J11" s="11">
        <f t="shared" ref="J11:J47" si="1">K11-I11</f>
        <v>19015</v>
      </c>
      <c r="K11" s="3">
        <v>77284</v>
      </c>
      <c r="L11" s="12">
        <f t="shared" ref="L11:L47" si="2">K11/H11</f>
        <v>0.88394276629570745</v>
      </c>
      <c r="M11" s="10">
        <v>88064</v>
      </c>
      <c r="N11" s="10">
        <v>59218</v>
      </c>
      <c r="O11" s="11">
        <f t="shared" ref="O11:O47" si="3">P11-N11</f>
        <v>18576</v>
      </c>
      <c r="P11" s="3">
        <v>77794</v>
      </c>
      <c r="Q11" s="12">
        <f t="shared" ref="Q11:Q47" si="4">P11/M11</f>
        <v>0.88338026889534882</v>
      </c>
      <c r="R11" s="10">
        <v>89185</v>
      </c>
      <c r="S11" s="10">
        <v>63275</v>
      </c>
      <c r="T11" s="11">
        <f t="shared" ref="T11:T47" si="5">U11-S11</f>
        <v>15460</v>
      </c>
      <c r="U11" s="3">
        <v>78735</v>
      </c>
      <c r="V11" s="12">
        <f t="shared" ref="V11:V47" si="6">U11/R11</f>
        <v>0.88282782979200536</v>
      </c>
      <c r="W11" s="10">
        <v>89648</v>
      </c>
      <c r="X11" s="10">
        <v>59229</v>
      </c>
      <c r="Y11" s="11">
        <f t="shared" ref="Y11:Y47" si="7">Z11-X11</f>
        <v>20011</v>
      </c>
      <c r="Z11" s="3">
        <v>79240</v>
      </c>
      <c r="AA11" s="12">
        <f t="shared" ref="AA11:AA47" si="8">Z11/W11</f>
        <v>0.88390148134927715</v>
      </c>
      <c r="AB11" s="10">
        <v>89912</v>
      </c>
      <c r="AC11" s="10">
        <v>53664</v>
      </c>
      <c r="AD11" s="11">
        <f t="shared" ref="AD11:AD47" si="9">AE11-AC11</f>
        <v>26238</v>
      </c>
      <c r="AE11" s="3">
        <v>79902</v>
      </c>
      <c r="AF11" s="12">
        <f t="shared" ref="AF11:AF47" si="10">AE11/AB11</f>
        <v>0.88866892072248416</v>
      </c>
      <c r="AG11" s="10">
        <v>90006</v>
      </c>
      <c r="AH11" s="10">
        <v>58497</v>
      </c>
      <c r="AI11" s="11">
        <f t="shared" ref="AI11:AI47" si="11">AJ11-AH11</f>
        <v>21823</v>
      </c>
      <c r="AJ11" s="3">
        <v>80320</v>
      </c>
      <c r="AK11" s="12">
        <f t="shared" ref="AK11:AK47" si="12">AJ11/AG11</f>
        <v>0.89238495211430346</v>
      </c>
      <c r="AL11" s="10">
        <v>89632</v>
      </c>
      <c r="AM11" s="10">
        <v>68341</v>
      </c>
      <c r="AN11" s="11">
        <f t="shared" ref="AN11:AN47" si="13">AO11-AM11</f>
        <v>12259</v>
      </c>
      <c r="AO11" s="3">
        <v>80600</v>
      </c>
      <c r="AP11" s="12">
        <f t="shared" ref="AP11:AP47" si="14">AO11/AL11</f>
        <v>0.89923241699393075</v>
      </c>
      <c r="AQ11" s="10">
        <v>88745</v>
      </c>
      <c r="AR11" s="10">
        <v>58036</v>
      </c>
      <c r="AS11" s="11">
        <f t="shared" ref="AS11:AS47" si="15">AT11-AR11</f>
        <v>22944</v>
      </c>
      <c r="AT11" s="3">
        <v>80980</v>
      </c>
      <c r="AU11" s="12">
        <f t="shared" ref="AU11:AU47" si="16">AT11/AQ11</f>
        <v>0.91250211279508708</v>
      </c>
      <c r="AV11" s="10">
        <v>86096</v>
      </c>
      <c r="AW11" s="10">
        <v>68670</v>
      </c>
      <c r="AX11" s="11">
        <f t="shared" ref="AX11:AX47" si="17">AY11-AW11</f>
        <v>12622</v>
      </c>
      <c r="AY11" s="3">
        <v>81292</v>
      </c>
      <c r="AZ11" s="12">
        <f t="shared" ref="AZ11:AZ47" si="18">AY11/AV11</f>
        <v>0.94420182122282104</v>
      </c>
      <c r="BA11" s="10">
        <v>85952</v>
      </c>
      <c r="BB11" s="10">
        <v>64425</v>
      </c>
      <c r="BC11" s="11">
        <f t="shared" ref="BC11:BC47" si="19">BD11-BB11</f>
        <v>17386</v>
      </c>
      <c r="BD11" s="3">
        <v>81811</v>
      </c>
      <c r="BE11" s="12">
        <f t="shared" ref="BE11:BE47" si="20">BD11/BA11</f>
        <v>0.95182194713328372</v>
      </c>
      <c r="BF11" s="10">
        <v>86286</v>
      </c>
      <c r="BG11" s="10">
        <v>5181</v>
      </c>
      <c r="BH11" s="11">
        <f t="shared" ref="BH11:BH47" si="21">BI11-BG11</f>
        <v>77085</v>
      </c>
      <c r="BI11" s="3">
        <v>82266</v>
      </c>
      <c r="BJ11" s="12">
        <f t="shared" ref="BJ11:BJ47" si="22">BI11/BF11</f>
        <v>0.9534107502955288</v>
      </c>
    </row>
    <row r="12" spans="1:62" x14ac:dyDescent="0.3">
      <c r="A12" s="19">
        <v>3</v>
      </c>
      <c r="B12" s="9" t="s">
        <v>9</v>
      </c>
      <c r="C12" s="10">
        <v>305087</v>
      </c>
      <c r="D12" s="10">
        <v>221602</v>
      </c>
      <c r="E12" s="3">
        <v>279876</v>
      </c>
      <c r="F12" s="3">
        <v>279919</v>
      </c>
      <c r="G12" s="12">
        <f t="shared" si="0"/>
        <v>0.9175054984315949</v>
      </c>
      <c r="H12" s="10">
        <v>307464</v>
      </c>
      <c r="I12" s="10">
        <v>233708</v>
      </c>
      <c r="J12" s="11">
        <f t="shared" si="1"/>
        <v>47830</v>
      </c>
      <c r="K12" s="3">
        <v>281538</v>
      </c>
      <c r="L12" s="12">
        <f t="shared" si="2"/>
        <v>0.91567793302630551</v>
      </c>
      <c r="M12" s="10">
        <v>308875</v>
      </c>
      <c r="N12" s="10">
        <v>236113</v>
      </c>
      <c r="O12" s="11">
        <f t="shared" si="3"/>
        <v>46307</v>
      </c>
      <c r="P12" s="3">
        <v>282420</v>
      </c>
      <c r="Q12" s="12">
        <f t="shared" si="4"/>
        <v>0.91435046539862408</v>
      </c>
      <c r="R12" s="10">
        <v>310093</v>
      </c>
      <c r="S12" s="10">
        <v>247086</v>
      </c>
      <c r="T12" s="11">
        <f t="shared" si="5"/>
        <v>36698</v>
      </c>
      <c r="U12" s="3">
        <v>283784</v>
      </c>
      <c r="V12" s="12">
        <f t="shared" si="6"/>
        <v>0.91515771075129071</v>
      </c>
      <c r="W12" s="10">
        <v>310860</v>
      </c>
      <c r="X12" s="10">
        <v>232651</v>
      </c>
      <c r="Y12" s="11">
        <f t="shared" si="7"/>
        <v>52169</v>
      </c>
      <c r="Z12" s="3">
        <v>284820</v>
      </c>
      <c r="AA12" s="12">
        <f t="shared" si="8"/>
        <v>0.91623238756996717</v>
      </c>
      <c r="AB12" s="10">
        <v>311089</v>
      </c>
      <c r="AC12" s="10">
        <v>207659</v>
      </c>
      <c r="AD12" s="11">
        <f t="shared" si="9"/>
        <v>78535</v>
      </c>
      <c r="AE12" s="3">
        <v>286194</v>
      </c>
      <c r="AF12" s="12">
        <f t="shared" si="10"/>
        <v>0.91997466962830576</v>
      </c>
      <c r="AG12" s="10">
        <v>309832</v>
      </c>
      <c r="AH12" s="10">
        <v>222827</v>
      </c>
      <c r="AI12" s="11">
        <f t="shared" si="11"/>
        <v>64630</v>
      </c>
      <c r="AJ12" s="3">
        <v>287457</v>
      </c>
      <c r="AK12" s="12">
        <f t="shared" si="12"/>
        <v>0.92778344393090451</v>
      </c>
      <c r="AL12" s="10">
        <v>309106</v>
      </c>
      <c r="AM12" s="10">
        <v>257371</v>
      </c>
      <c r="AN12" s="11">
        <f t="shared" si="13"/>
        <v>31057</v>
      </c>
      <c r="AO12" s="3">
        <v>288428</v>
      </c>
      <c r="AP12" s="12">
        <f t="shared" si="14"/>
        <v>0.93310385434122922</v>
      </c>
      <c r="AQ12" s="10">
        <v>308579</v>
      </c>
      <c r="AR12" s="10">
        <v>222772</v>
      </c>
      <c r="AS12" s="11">
        <f t="shared" si="15"/>
        <v>67339</v>
      </c>
      <c r="AT12" s="3">
        <v>290111</v>
      </c>
      <c r="AU12" s="12">
        <f t="shared" si="16"/>
        <v>0.94015146850563391</v>
      </c>
      <c r="AV12" s="10">
        <v>309304</v>
      </c>
      <c r="AW12" s="10">
        <v>259004</v>
      </c>
      <c r="AX12" s="11">
        <f t="shared" si="17"/>
        <v>32678</v>
      </c>
      <c r="AY12" s="3">
        <v>291682</v>
      </c>
      <c r="AZ12" s="12">
        <f t="shared" si="18"/>
        <v>0.94302692496702278</v>
      </c>
      <c r="BA12" s="10">
        <v>310694</v>
      </c>
      <c r="BB12" s="10">
        <v>233143</v>
      </c>
      <c r="BC12" s="11">
        <f t="shared" si="19"/>
        <v>59880</v>
      </c>
      <c r="BD12" s="3">
        <v>293023</v>
      </c>
      <c r="BE12" s="12">
        <f t="shared" si="20"/>
        <v>0.94312410281498837</v>
      </c>
      <c r="BF12" s="10">
        <v>312194</v>
      </c>
      <c r="BG12" s="10">
        <v>13308</v>
      </c>
      <c r="BH12" s="11">
        <f t="shared" si="21"/>
        <v>281201</v>
      </c>
      <c r="BI12" s="3">
        <v>294509</v>
      </c>
      <c r="BJ12" s="12">
        <f t="shared" si="22"/>
        <v>0.94335253079815751</v>
      </c>
    </row>
    <row r="13" spans="1:62" x14ac:dyDescent="0.3">
      <c r="A13" s="19">
        <v>4</v>
      </c>
      <c r="B13" s="9" t="s">
        <v>10</v>
      </c>
      <c r="C13" s="10">
        <v>27554</v>
      </c>
      <c r="D13" s="10">
        <v>19710</v>
      </c>
      <c r="E13" s="3">
        <v>25814</v>
      </c>
      <c r="F13" s="3">
        <v>25820</v>
      </c>
      <c r="G13" s="12">
        <f t="shared" si="0"/>
        <v>0.93706902809029546</v>
      </c>
      <c r="H13" s="10">
        <v>27558</v>
      </c>
      <c r="I13" s="10">
        <v>20499</v>
      </c>
      <c r="J13" s="11">
        <f t="shared" si="1"/>
        <v>5367</v>
      </c>
      <c r="K13" s="3">
        <v>25866</v>
      </c>
      <c r="L13" s="12">
        <f t="shared" si="2"/>
        <v>0.93860222077073807</v>
      </c>
      <c r="M13" s="10">
        <v>27619</v>
      </c>
      <c r="N13" s="10">
        <v>20687</v>
      </c>
      <c r="O13" s="11">
        <f t="shared" si="3"/>
        <v>5233</v>
      </c>
      <c r="P13" s="3">
        <v>25920</v>
      </c>
      <c r="Q13" s="12">
        <f t="shared" si="4"/>
        <v>0.93848437669720119</v>
      </c>
      <c r="R13" s="10">
        <v>27665</v>
      </c>
      <c r="S13" s="10">
        <v>21850</v>
      </c>
      <c r="T13" s="11">
        <f t="shared" si="5"/>
        <v>4082</v>
      </c>
      <c r="U13" s="3">
        <v>25932</v>
      </c>
      <c r="V13" s="12">
        <f t="shared" si="6"/>
        <v>0.93735767214892463</v>
      </c>
      <c r="W13" s="10">
        <v>27609</v>
      </c>
      <c r="X13" s="10">
        <v>20501</v>
      </c>
      <c r="Y13" s="11">
        <f t="shared" si="7"/>
        <v>5440</v>
      </c>
      <c r="Z13" s="3">
        <v>25941</v>
      </c>
      <c r="AA13" s="12">
        <f t="shared" si="8"/>
        <v>0.93958491796153432</v>
      </c>
      <c r="AB13" s="10">
        <v>27465</v>
      </c>
      <c r="AC13" s="10">
        <v>18921</v>
      </c>
      <c r="AD13" s="11">
        <f t="shared" si="9"/>
        <v>7073</v>
      </c>
      <c r="AE13" s="3">
        <v>25994</v>
      </c>
      <c r="AF13" s="12">
        <f t="shared" si="10"/>
        <v>0.94644092481339892</v>
      </c>
      <c r="AG13" s="10">
        <v>27272</v>
      </c>
      <c r="AH13" s="10">
        <v>20109</v>
      </c>
      <c r="AI13" s="11">
        <f t="shared" si="11"/>
        <v>6041</v>
      </c>
      <c r="AJ13" s="3">
        <v>26150</v>
      </c>
      <c r="AK13" s="12">
        <f t="shared" si="12"/>
        <v>0.95885890290407749</v>
      </c>
      <c r="AL13" s="10">
        <v>27089</v>
      </c>
      <c r="AM13" s="10">
        <v>22746</v>
      </c>
      <c r="AN13" s="11">
        <f t="shared" si="13"/>
        <v>3369</v>
      </c>
      <c r="AO13" s="3">
        <v>26115</v>
      </c>
      <c r="AP13" s="12">
        <f t="shared" si="14"/>
        <v>0.96404444608512685</v>
      </c>
      <c r="AQ13" s="10">
        <v>27106</v>
      </c>
      <c r="AR13" s="10">
        <v>20143</v>
      </c>
      <c r="AS13" s="11">
        <f t="shared" si="15"/>
        <v>6079</v>
      </c>
      <c r="AT13" s="3">
        <v>26222</v>
      </c>
      <c r="AU13" s="12">
        <f t="shared" si="16"/>
        <v>0.96738729432597947</v>
      </c>
      <c r="AV13" s="10">
        <v>27154</v>
      </c>
      <c r="AW13" s="10">
        <v>22918</v>
      </c>
      <c r="AX13" s="11">
        <f t="shared" si="17"/>
        <v>3327</v>
      </c>
      <c r="AY13" s="3">
        <v>26245</v>
      </c>
      <c r="AZ13" s="12">
        <f t="shared" si="18"/>
        <v>0.96652426898431165</v>
      </c>
      <c r="BA13" s="10">
        <v>27165</v>
      </c>
      <c r="BB13" s="10">
        <v>20625</v>
      </c>
      <c r="BC13" s="11">
        <f t="shared" si="19"/>
        <v>5650</v>
      </c>
      <c r="BD13" s="3">
        <v>26275</v>
      </c>
      <c r="BE13" s="12">
        <f t="shared" si="20"/>
        <v>0.96723725381925274</v>
      </c>
      <c r="BF13" s="10">
        <v>27176</v>
      </c>
      <c r="BG13" s="10">
        <v>1616</v>
      </c>
      <c r="BH13" s="11">
        <f t="shared" si="21"/>
        <v>24683</v>
      </c>
      <c r="BI13" s="3">
        <v>26299</v>
      </c>
      <c r="BJ13" s="12">
        <f t="shared" si="22"/>
        <v>0.96772887842213717</v>
      </c>
    </row>
    <row r="14" spans="1:62" x14ac:dyDescent="0.3">
      <c r="A14" s="19">
        <v>5</v>
      </c>
      <c r="B14" s="9" t="s">
        <v>11</v>
      </c>
      <c r="C14" s="10">
        <v>128920</v>
      </c>
      <c r="D14" s="10">
        <v>75376</v>
      </c>
      <c r="E14" s="3">
        <v>111410</v>
      </c>
      <c r="F14" s="3">
        <v>111523</v>
      </c>
      <c r="G14" s="12">
        <f t="shared" si="0"/>
        <v>0.86505584858827178</v>
      </c>
      <c r="H14" s="10">
        <v>128392</v>
      </c>
      <c r="I14" s="10">
        <v>79157</v>
      </c>
      <c r="J14" s="11">
        <f t="shared" si="1"/>
        <v>33401</v>
      </c>
      <c r="K14" s="3">
        <v>112558</v>
      </c>
      <c r="L14" s="12">
        <f t="shared" si="2"/>
        <v>0.87667455916256465</v>
      </c>
      <c r="M14" s="10">
        <v>129422</v>
      </c>
      <c r="N14" s="10">
        <v>81379</v>
      </c>
      <c r="O14" s="11">
        <f t="shared" si="3"/>
        <v>31903</v>
      </c>
      <c r="P14" s="3">
        <v>113282</v>
      </c>
      <c r="Q14" s="12">
        <f t="shared" si="4"/>
        <v>0.87529168147610148</v>
      </c>
      <c r="R14" s="10">
        <v>131061</v>
      </c>
      <c r="S14" s="10">
        <v>86489</v>
      </c>
      <c r="T14" s="11">
        <f t="shared" si="5"/>
        <v>28042</v>
      </c>
      <c r="U14" s="3">
        <v>114531</v>
      </c>
      <c r="V14" s="12">
        <f t="shared" si="6"/>
        <v>0.87387552361114296</v>
      </c>
      <c r="W14" s="10">
        <v>131538</v>
      </c>
      <c r="X14" s="10">
        <v>80958</v>
      </c>
      <c r="Y14" s="11">
        <f t="shared" si="7"/>
        <v>34537</v>
      </c>
      <c r="Z14" s="3">
        <v>115495</v>
      </c>
      <c r="AA14" s="12">
        <f t="shared" si="8"/>
        <v>0.87803524456810955</v>
      </c>
      <c r="AB14" s="10">
        <v>131532</v>
      </c>
      <c r="AC14" s="10">
        <v>74512</v>
      </c>
      <c r="AD14" s="11">
        <f t="shared" si="9"/>
        <v>41989</v>
      </c>
      <c r="AE14" s="3">
        <v>116501</v>
      </c>
      <c r="AF14" s="12">
        <f t="shared" si="10"/>
        <v>0.88572362618982448</v>
      </c>
      <c r="AG14" s="10">
        <v>131053</v>
      </c>
      <c r="AH14" s="10">
        <v>80628</v>
      </c>
      <c r="AI14" s="11">
        <f t="shared" si="11"/>
        <v>36699</v>
      </c>
      <c r="AJ14" s="3">
        <v>117327</v>
      </c>
      <c r="AK14" s="12">
        <f t="shared" si="12"/>
        <v>0.89526374825452293</v>
      </c>
      <c r="AL14" s="10">
        <v>129677</v>
      </c>
      <c r="AM14" s="10">
        <v>95738</v>
      </c>
      <c r="AN14" s="11">
        <f t="shared" si="13"/>
        <v>22537</v>
      </c>
      <c r="AO14" s="3">
        <v>118275</v>
      </c>
      <c r="AP14" s="12">
        <f t="shared" si="14"/>
        <v>0.91207384501492172</v>
      </c>
      <c r="AQ14" s="10">
        <v>128458</v>
      </c>
      <c r="AR14" s="10">
        <v>81731</v>
      </c>
      <c r="AS14" s="11">
        <f t="shared" si="15"/>
        <v>37778</v>
      </c>
      <c r="AT14" s="3">
        <v>119509</v>
      </c>
      <c r="AU14" s="12">
        <f t="shared" si="16"/>
        <v>0.93033520683803261</v>
      </c>
      <c r="AV14" s="10">
        <v>129146</v>
      </c>
      <c r="AW14" s="10">
        <v>97984</v>
      </c>
      <c r="AX14" s="11">
        <f t="shared" si="17"/>
        <v>22592</v>
      </c>
      <c r="AY14" s="3">
        <v>120576</v>
      </c>
      <c r="AZ14" s="12">
        <f t="shared" si="18"/>
        <v>0.93364099546249979</v>
      </c>
      <c r="BA14" s="10">
        <v>130276</v>
      </c>
      <c r="BB14" s="10">
        <v>90875</v>
      </c>
      <c r="BC14" s="11">
        <f t="shared" si="19"/>
        <v>30829</v>
      </c>
      <c r="BD14" s="3">
        <v>121704</v>
      </c>
      <c r="BE14" s="12">
        <f t="shared" si="20"/>
        <v>0.93420123430255764</v>
      </c>
      <c r="BF14" s="10">
        <v>131773</v>
      </c>
      <c r="BG14" s="10">
        <v>10376</v>
      </c>
      <c r="BH14" s="11">
        <f t="shared" si="21"/>
        <v>111834</v>
      </c>
      <c r="BI14" s="3">
        <v>122210</v>
      </c>
      <c r="BJ14" s="12">
        <f t="shared" si="22"/>
        <v>0.92742822884809484</v>
      </c>
    </row>
    <row r="15" spans="1:62" x14ac:dyDescent="0.3">
      <c r="A15" s="19">
        <v>6</v>
      </c>
      <c r="B15" s="9" t="s">
        <v>12</v>
      </c>
      <c r="C15" s="10">
        <v>422912</v>
      </c>
      <c r="D15" s="10">
        <v>269729</v>
      </c>
      <c r="E15" s="3">
        <v>373644</v>
      </c>
      <c r="F15" s="3">
        <v>373727</v>
      </c>
      <c r="G15" s="12">
        <f t="shared" si="0"/>
        <v>0.8836992092917676</v>
      </c>
      <c r="H15" s="10">
        <v>423730</v>
      </c>
      <c r="I15" s="10">
        <v>286627</v>
      </c>
      <c r="J15" s="11">
        <f t="shared" si="1"/>
        <v>89253</v>
      </c>
      <c r="K15" s="3">
        <v>375880</v>
      </c>
      <c r="L15" s="12">
        <f t="shared" si="2"/>
        <v>0.88707431619191468</v>
      </c>
      <c r="M15" s="10">
        <v>423764</v>
      </c>
      <c r="N15" s="10">
        <v>289880</v>
      </c>
      <c r="O15" s="11">
        <f t="shared" si="3"/>
        <v>86700</v>
      </c>
      <c r="P15" s="3">
        <v>376580</v>
      </c>
      <c r="Q15" s="12">
        <f t="shared" si="4"/>
        <v>0.8886550060882944</v>
      </c>
      <c r="R15" s="10">
        <v>424544</v>
      </c>
      <c r="S15" s="10">
        <v>307634</v>
      </c>
      <c r="T15" s="11">
        <f t="shared" si="5"/>
        <v>70756</v>
      </c>
      <c r="U15" s="3">
        <v>378390</v>
      </c>
      <c r="V15" s="12">
        <f t="shared" si="6"/>
        <v>0.89128570890178638</v>
      </c>
      <c r="W15" s="10">
        <v>425499</v>
      </c>
      <c r="X15" s="10">
        <v>287072</v>
      </c>
      <c r="Y15" s="11">
        <f t="shared" si="7"/>
        <v>93077</v>
      </c>
      <c r="Z15" s="3">
        <v>380149</v>
      </c>
      <c r="AA15" s="12">
        <f t="shared" si="8"/>
        <v>0.89341925597945004</v>
      </c>
      <c r="AB15" s="10">
        <v>423483</v>
      </c>
      <c r="AC15" s="10">
        <v>257257</v>
      </c>
      <c r="AD15" s="11">
        <f t="shared" si="9"/>
        <v>125546</v>
      </c>
      <c r="AE15" s="3">
        <v>382803</v>
      </c>
      <c r="AF15" s="12">
        <f t="shared" si="10"/>
        <v>0.90393947336728986</v>
      </c>
      <c r="AG15" s="10">
        <v>424856</v>
      </c>
      <c r="AH15" s="10">
        <v>277993</v>
      </c>
      <c r="AI15" s="11">
        <f t="shared" si="11"/>
        <v>106883</v>
      </c>
      <c r="AJ15" s="3">
        <v>384876</v>
      </c>
      <c r="AK15" s="12">
        <f t="shared" si="12"/>
        <v>0.90589752763289211</v>
      </c>
      <c r="AL15" s="10">
        <v>424839</v>
      </c>
      <c r="AM15" s="10">
        <v>326676</v>
      </c>
      <c r="AN15" s="11">
        <f t="shared" si="13"/>
        <v>60995</v>
      </c>
      <c r="AO15" s="3">
        <v>387671</v>
      </c>
      <c r="AP15" s="12">
        <f t="shared" si="14"/>
        <v>0.91251274012037498</v>
      </c>
      <c r="AQ15" s="10">
        <v>424443</v>
      </c>
      <c r="AR15" s="10">
        <v>277565</v>
      </c>
      <c r="AS15" s="11">
        <f t="shared" si="15"/>
        <v>112478</v>
      </c>
      <c r="AT15" s="3">
        <v>390043</v>
      </c>
      <c r="AU15" s="12">
        <f t="shared" si="16"/>
        <v>0.91895260376540544</v>
      </c>
      <c r="AV15" s="10">
        <v>424329</v>
      </c>
      <c r="AW15" s="10">
        <v>328225</v>
      </c>
      <c r="AX15" s="11">
        <f t="shared" si="17"/>
        <v>63095</v>
      </c>
      <c r="AY15" s="3">
        <v>391320</v>
      </c>
      <c r="AZ15" s="12">
        <f t="shared" si="18"/>
        <v>0.92220894636001782</v>
      </c>
      <c r="BA15" s="10">
        <v>421659</v>
      </c>
      <c r="BB15" s="10">
        <v>300609</v>
      </c>
      <c r="BC15" s="11">
        <f t="shared" si="19"/>
        <v>93167</v>
      </c>
      <c r="BD15" s="3">
        <v>393776</v>
      </c>
      <c r="BE15" s="12">
        <f t="shared" si="20"/>
        <v>0.93387310599323148</v>
      </c>
      <c r="BF15" s="10">
        <v>423351</v>
      </c>
      <c r="BG15" s="10">
        <v>26737</v>
      </c>
      <c r="BH15" s="11">
        <f t="shared" si="21"/>
        <v>367414</v>
      </c>
      <c r="BI15" s="3">
        <v>394151</v>
      </c>
      <c r="BJ15" s="12">
        <f t="shared" si="22"/>
        <v>0.93102650046887803</v>
      </c>
    </row>
    <row r="16" spans="1:62" x14ac:dyDescent="0.3">
      <c r="A16" s="19">
        <v>7</v>
      </c>
      <c r="B16" s="9" t="s">
        <v>13</v>
      </c>
      <c r="C16" s="10">
        <v>740341</v>
      </c>
      <c r="D16" s="10">
        <v>422298</v>
      </c>
      <c r="E16" s="3">
        <v>615933</v>
      </c>
      <c r="F16" s="3">
        <v>616116</v>
      </c>
      <c r="G16" s="12">
        <f t="shared" si="0"/>
        <v>0.8322056998059002</v>
      </c>
      <c r="H16" s="10">
        <v>752005</v>
      </c>
      <c r="I16" s="10">
        <v>450318</v>
      </c>
      <c r="J16" s="11">
        <f t="shared" si="1"/>
        <v>171521</v>
      </c>
      <c r="K16" s="3">
        <v>621839</v>
      </c>
      <c r="L16" s="12">
        <f t="shared" si="2"/>
        <v>0.82690806577083931</v>
      </c>
      <c r="M16" s="10">
        <v>759157</v>
      </c>
      <c r="N16" s="10">
        <v>461103</v>
      </c>
      <c r="O16" s="11">
        <f t="shared" si="3"/>
        <v>164542</v>
      </c>
      <c r="P16" s="3">
        <v>625645</v>
      </c>
      <c r="Q16" s="12">
        <f t="shared" si="4"/>
        <v>0.82413124030997542</v>
      </c>
      <c r="R16" s="10">
        <v>765931</v>
      </c>
      <c r="S16" s="10">
        <v>490239</v>
      </c>
      <c r="T16" s="11">
        <f t="shared" si="5"/>
        <v>140259</v>
      </c>
      <c r="U16" s="3">
        <v>630498</v>
      </c>
      <c r="V16" s="12">
        <f t="shared" si="6"/>
        <v>0.82317858919406584</v>
      </c>
      <c r="W16" s="10">
        <v>767326</v>
      </c>
      <c r="X16" s="10">
        <v>458504</v>
      </c>
      <c r="Y16" s="11">
        <f t="shared" si="7"/>
        <v>175747</v>
      </c>
      <c r="Z16" s="3">
        <v>634251</v>
      </c>
      <c r="AA16" s="12">
        <f t="shared" si="8"/>
        <v>0.82657306021169619</v>
      </c>
      <c r="AB16" s="10">
        <v>766277</v>
      </c>
      <c r="AC16" s="10">
        <v>406663</v>
      </c>
      <c r="AD16" s="11">
        <f t="shared" si="9"/>
        <v>231751</v>
      </c>
      <c r="AE16" s="3">
        <v>638414</v>
      </c>
      <c r="AF16" s="12">
        <f t="shared" si="10"/>
        <v>0.83313736416465589</v>
      </c>
      <c r="AG16" s="10">
        <v>757603</v>
      </c>
      <c r="AH16" s="10">
        <v>437967</v>
      </c>
      <c r="AI16" s="11">
        <f t="shared" si="11"/>
        <v>204327</v>
      </c>
      <c r="AJ16" s="3">
        <v>642294</v>
      </c>
      <c r="AK16" s="12">
        <f t="shared" si="12"/>
        <v>0.84779759319854853</v>
      </c>
      <c r="AL16" s="10">
        <v>756133</v>
      </c>
      <c r="AM16" s="10">
        <v>522257</v>
      </c>
      <c r="AN16" s="11">
        <f t="shared" si="13"/>
        <v>124190</v>
      </c>
      <c r="AO16" s="3">
        <v>646447</v>
      </c>
      <c r="AP16" s="12">
        <f t="shared" si="14"/>
        <v>0.85493821854091812</v>
      </c>
      <c r="AQ16" s="10">
        <v>746559</v>
      </c>
      <c r="AR16" s="10">
        <v>455755</v>
      </c>
      <c r="AS16" s="11">
        <f t="shared" si="15"/>
        <v>195660</v>
      </c>
      <c r="AT16" s="3">
        <v>651415</v>
      </c>
      <c r="AU16" s="12">
        <f t="shared" si="16"/>
        <v>0.87255662312020887</v>
      </c>
      <c r="AV16" s="10">
        <v>745423</v>
      </c>
      <c r="AW16" s="10">
        <v>535714</v>
      </c>
      <c r="AX16" s="11">
        <f t="shared" si="17"/>
        <v>119188</v>
      </c>
      <c r="AY16" s="3">
        <v>654902</v>
      </c>
      <c r="AZ16" s="12">
        <f t="shared" si="18"/>
        <v>0.87856425143844497</v>
      </c>
      <c r="BA16" s="10">
        <v>750648</v>
      </c>
      <c r="BB16" s="10">
        <v>474600</v>
      </c>
      <c r="BC16" s="11">
        <f t="shared" si="19"/>
        <v>183058</v>
      </c>
      <c r="BD16" s="3">
        <v>657658</v>
      </c>
      <c r="BE16" s="12">
        <f t="shared" si="20"/>
        <v>0.87612036533768156</v>
      </c>
      <c r="BF16" s="10">
        <v>752110</v>
      </c>
      <c r="BG16" s="10">
        <v>43809</v>
      </c>
      <c r="BH16" s="11">
        <f t="shared" si="21"/>
        <v>610444</v>
      </c>
      <c r="BI16" s="3">
        <v>654253</v>
      </c>
      <c r="BJ16" s="12">
        <f t="shared" si="22"/>
        <v>0.86989004267992709</v>
      </c>
    </row>
    <row r="17" spans="1:62" x14ac:dyDescent="0.3">
      <c r="A17" s="19">
        <v>8</v>
      </c>
      <c r="B17" s="9" t="s">
        <v>14</v>
      </c>
      <c r="C17" s="10">
        <v>553708</v>
      </c>
      <c r="D17" s="10">
        <v>348235</v>
      </c>
      <c r="E17" s="3">
        <v>487170</v>
      </c>
      <c r="F17" s="3">
        <v>487421</v>
      </c>
      <c r="G17" s="12">
        <f t="shared" si="0"/>
        <v>0.88028527671624757</v>
      </c>
      <c r="H17" s="10">
        <v>557836</v>
      </c>
      <c r="I17" s="10">
        <v>372067</v>
      </c>
      <c r="J17" s="11">
        <f t="shared" si="1"/>
        <v>119063</v>
      </c>
      <c r="K17" s="3">
        <v>491130</v>
      </c>
      <c r="L17" s="12">
        <f t="shared" si="2"/>
        <v>0.88042005177148841</v>
      </c>
      <c r="M17" s="10">
        <v>560439</v>
      </c>
      <c r="N17" s="10">
        <v>380086</v>
      </c>
      <c r="O17" s="11">
        <f t="shared" si="3"/>
        <v>114186</v>
      </c>
      <c r="P17" s="3">
        <v>494272</v>
      </c>
      <c r="Q17" s="12">
        <f t="shared" si="4"/>
        <v>0.88193719566268591</v>
      </c>
      <c r="R17" s="10">
        <v>561513</v>
      </c>
      <c r="S17" s="10">
        <v>402141</v>
      </c>
      <c r="T17" s="11">
        <f t="shared" si="5"/>
        <v>96207</v>
      </c>
      <c r="U17" s="3">
        <v>498348</v>
      </c>
      <c r="V17" s="12">
        <f t="shared" si="6"/>
        <v>0.88750928295515863</v>
      </c>
      <c r="W17" s="10">
        <v>560642</v>
      </c>
      <c r="X17" s="10">
        <v>374398</v>
      </c>
      <c r="Y17" s="11">
        <f t="shared" si="7"/>
        <v>126341</v>
      </c>
      <c r="Z17" s="3">
        <v>500739</v>
      </c>
      <c r="AA17" s="12">
        <f t="shared" si="8"/>
        <v>0.89315284976865805</v>
      </c>
      <c r="AB17" s="10">
        <v>559918</v>
      </c>
      <c r="AC17" s="10">
        <v>337154</v>
      </c>
      <c r="AD17" s="11">
        <f t="shared" si="9"/>
        <v>167232</v>
      </c>
      <c r="AE17" s="3">
        <v>504386</v>
      </c>
      <c r="AF17" s="12">
        <f t="shared" si="10"/>
        <v>0.90082119167449515</v>
      </c>
      <c r="AG17" s="10">
        <v>561583</v>
      </c>
      <c r="AH17" s="10">
        <v>364694</v>
      </c>
      <c r="AI17" s="11">
        <f t="shared" si="11"/>
        <v>143634</v>
      </c>
      <c r="AJ17" s="3">
        <v>508328</v>
      </c>
      <c r="AK17" s="12">
        <f t="shared" si="12"/>
        <v>0.90516985022694774</v>
      </c>
      <c r="AL17" s="10">
        <v>559753</v>
      </c>
      <c r="AM17" s="10">
        <v>430679</v>
      </c>
      <c r="AN17" s="11">
        <f t="shared" si="13"/>
        <v>81143</v>
      </c>
      <c r="AO17" s="3">
        <v>511822</v>
      </c>
      <c r="AP17" s="12">
        <f t="shared" si="14"/>
        <v>0.91437116013670316</v>
      </c>
      <c r="AQ17" s="10">
        <v>541872</v>
      </c>
      <c r="AR17" s="10">
        <v>363953</v>
      </c>
      <c r="AS17" s="11">
        <f t="shared" si="15"/>
        <v>151533</v>
      </c>
      <c r="AT17" s="3">
        <v>515486</v>
      </c>
      <c r="AU17" s="12">
        <f t="shared" si="16"/>
        <v>0.95130584344642277</v>
      </c>
      <c r="AV17" s="10">
        <v>543495</v>
      </c>
      <c r="AW17" s="10">
        <v>437636</v>
      </c>
      <c r="AX17" s="11">
        <f t="shared" si="17"/>
        <v>80658</v>
      </c>
      <c r="AY17" s="3">
        <v>518294</v>
      </c>
      <c r="AZ17" s="12">
        <f t="shared" si="18"/>
        <v>0.95363158814708504</v>
      </c>
      <c r="BA17" s="10">
        <v>547860</v>
      </c>
      <c r="BB17" s="10">
        <v>390373</v>
      </c>
      <c r="BC17" s="11">
        <f t="shared" si="19"/>
        <v>132523</v>
      </c>
      <c r="BD17" s="3">
        <v>522896</v>
      </c>
      <c r="BE17" s="12">
        <f t="shared" si="20"/>
        <v>0.95443361442704344</v>
      </c>
      <c r="BF17" s="10">
        <v>552190</v>
      </c>
      <c r="BG17" s="10">
        <v>22784</v>
      </c>
      <c r="BH17" s="11">
        <f t="shared" si="21"/>
        <v>503406</v>
      </c>
      <c r="BI17" s="3">
        <v>526190</v>
      </c>
      <c r="BJ17" s="12">
        <f t="shared" si="22"/>
        <v>0.9529147576015502</v>
      </c>
    </row>
    <row r="18" spans="1:62" x14ac:dyDescent="0.3">
      <c r="A18" s="19">
        <v>9</v>
      </c>
      <c r="B18" s="9" t="s">
        <v>15</v>
      </c>
      <c r="C18" s="10">
        <v>1113803</v>
      </c>
      <c r="D18" s="10">
        <v>712174</v>
      </c>
      <c r="E18" s="3">
        <v>977646</v>
      </c>
      <c r="F18" s="3">
        <v>978119</v>
      </c>
      <c r="G18" s="12">
        <f t="shared" si="0"/>
        <v>0.87817953444190755</v>
      </c>
      <c r="H18" s="10">
        <v>1112907</v>
      </c>
      <c r="I18" s="10">
        <v>757325</v>
      </c>
      <c r="J18" s="11">
        <f t="shared" si="1"/>
        <v>228452</v>
      </c>
      <c r="K18" s="3">
        <v>985777</v>
      </c>
      <c r="L18" s="12">
        <f t="shared" si="2"/>
        <v>0.88576763377353185</v>
      </c>
      <c r="M18" s="10">
        <v>1118687</v>
      </c>
      <c r="N18" s="10">
        <v>769580</v>
      </c>
      <c r="O18" s="11">
        <f t="shared" si="3"/>
        <v>221702</v>
      </c>
      <c r="P18" s="3">
        <v>991282</v>
      </c>
      <c r="Q18" s="12">
        <f t="shared" si="4"/>
        <v>0.88611202239768583</v>
      </c>
      <c r="R18" s="10">
        <v>1127309</v>
      </c>
      <c r="S18" s="10">
        <v>821714</v>
      </c>
      <c r="T18" s="11">
        <f t="shared" si="5"/>
        <v>178385</v>
      </c>
      <c r="U18" s="3">
        <v>1000099</v>
      </c>
      <c r="V18" s="12">
        <f t="shared" si="6"/>
        <v>0.88715605038192724</v>
      </c>
      <c r="W18" s="10">
        <v>1128388</v>
      </c>
      <c r="X18" s="10">
        <v>762734</v>
      </c>
      <c r="Y18" s="11">
        <f t="shared" si="7"/>
        <v>244989</v>
      </c>
      <c r="Z18" s="3">
        <v>1007723</v>
      </c>
      <c r="AA18" s="12">
        <f t="shared" si="8"/>
        <v>0.89306426512866144</v>
      </c>
      <c r="AB18" s="10">
        <v>1126122</v>
      </c>
      <c r="AC18" s="10">
        <v>708901</v>
      </c>
      <c r="AD18" s="11">
        <f t="shared" si="9"/>
        <v>308059</v>
      </c>
      <c r="AE18" s="3">
        <v>1016960</v>
      </c>
      <c r="AF18" s="12">
        <f t="shared" si="10"/>
        <v>0.90306378882572225</v>
      </c>
      <c r="AG18" s="10">
        <v>1126652</v>
      </c>
      <c r="AH18" s="10">
        <v>754708</v>
      </c>
      <c r="AI18" s="11">
        <f t="shared" si="11"/>
        <v>271503</v>
      </c>
      <c r="AJ18" s="3">
        <v>1026211</v>
      </c>
      <c r="AK18" s="12">
        <f t="shared" si="12"/>
        <v>0.9108500228997064</v>
      </c>
      <c r="AL18" s="10">
        <v>1124411</v>
      </c>
      <c r="AM18" s="10">
        <v>841108</v>
      </c>
      <c r="AN18" s="11">
        <f t="shared" si="13"/>
        <v>195024</v>
      </c>
      <c r="AO18" s="3">
        <v>1036132</v>
      </c>
      <c r="AP18" s="12">
        <f t="shared" si="14"/>
        <v>0.92148867273621482</v>
      </c>
      <c r="AQ18" s="10">
        <v>1127354</v>
      </c>
      <c r="AR18" s="10">
        <v>735013</v>
      </c>
      <c r="AS18" s="11">
        <f t="shared" si="15"/>
        <v>311786</v>
      </c>
      <c r="AT18" s="3">
        <v>1046799</v>
      </c>
      <c r="AU18" s="12">
        <f t="shared" si="16"/>
        <v>0.92854507102471806</v>
      </c>
      <c r="AV18" s="10">
        <v>1133999</v>
      </c>
      <c r="AW18" s="10">
        <v>893078</v>
      </c>
      <c r="AX18" s="11">
        <f t="shared" si="17"/>
        <v>165993</v>
      </c>
      <c r="AY18" s="3">
        <v>1059071</v>
      </c>
      <c r="AZ18" s="12">
        <f t="shared" si="18"/>
        <v>0.93392586765949526</v>
      </c>
      <c r="BA18" s="10">
        <v>1144874</v>
      </c>
      <c r="BB18" s="10">
        <v>831119</v>
      </c>
      <c r="BC18" s="11">
        <f t="shared" si="19"/>
        <v>239381</v>
      </c>
      <c r="BD18" s="3">
        <v>1070500</v>
      </c>
      <c r="BE18" s="12">
        <f t="shared" si="20"/>
        <v>0.93503739276112485</v>
      </c>
      <c r="BF18" s="10">
        <v>1155076</v>
      </c>
      <c r="BG18" s="10">
        <v>81270</v>
      </c>
      <c r="BH18" s="11">
        <f t="shared" si="21"/>
        <v>991965</v>
      </c>
      <c r="BI18" s="3">
        <v>1073235</v>
      </c>
      <c r="BJ18" s="12">
        <f t="shared" si="22"/>
        <v>0.92914665355353243</v>
      </c>
    </row>
    <row r="19" spans="1:62" x14ac:dyDescent="0.3">
      <c r="A19" s="20">
        <v>10</v>
      </c>
      <c r="B19" s="9" t="s">
        <v>16</v>
      </c>
      <c r="C19" s="10">
        <v>305442</v>
      </c>
      <c r="D19" s="10">
        <v>156163</v>
      </c>
      <c r="E19" s="3">
        <v>256179</v>
      </c>
      <c r="F19" s="3">
        <v>256469</v>
      </c>
      <c r="G19" s="12">
        <f t="shared" si="0"/>
        <v>0.83966514100876766</v>
      </c>
      <c r="H19" s="10">
        <v>307632</v>
      </c>
      <c r="I19" s="10">
        <v>167178</v>
      </c>
      <c r="J19" s="11">
        <f t="shared" si="1"/>
        <v>91610</v>
      </c>
      <c r="K19" s="3">
        <v>258788</v>
      </c>
      <c r="L19" s="12">
        <f t="shared" si="2"/>
        <v>0.84122588027253342</v>
      </c>
      <c r="M19" s="10">
        <v>313451</v>
      </c>
      <c r="N19" s="10">
        <v>174259</v>
      </c>
      <c r="O19" s="11">
        <f t="shared" si="3"/>
        <v>86410</v>
      </c>
      <c r="P19" s="3">
        <v>260669</v>
      </c>
      <c r="Q19" s="12">
        <f t="shared" si="4"/>
        <v>0.83161004431314622</v>
      </c>
      <c r="R19" s="10">
        <v>317629</v>
      </c>
      <c r="S19" s="10">
        <v>190532</v>
      </c>
      <c r="T19" s="11">
        <f t="shared" si="5"/>
        <v>74088</v>
      </c>
      <c r="U19" s="3">
        <v>264620</v>
      </c>
      <c r="V19" s="12">
        <f t="shared" si="6"/>
        <v>0.83311032682784003</v>
      </c>
      <c r="W19" s="10">
        <v>320572</v>
      </c>
      <c r="X19" s="10">
        <v>173788</v>
      </c>
      <c r="Y19" s="11">
        <f t="shared" si="7"/>
        <v>94194</v>
      </c>
      <c r="Z19" s="3">
        <v>267982</v>
      </c>
      <c r="AA19" s="12">
        <f t="shared" si="8"/>
        <v>0.83594949028611354</v>
      </c>
      <c r="AB19" s="10">
        <v>325576</v>
      </c>
      <c r="AC19" s="10">
        <v>162772</v>
      </c>
      <c r="AD19" s="11">
        <f t="shared" si="9"/>
        <v>109233</v>
      </c>
      <c r="AE19" s="3">
        <v>272005</v>
      </c>
      <c r="AF19" s="12">
        <f t="shared" si="10"/>
        <v>0.83545777330024329</v>
      </c>
      <c r="AG19" s="10">
        <v>330399</v>
      </c>
      <c r="AH19" s="10">
        <v>177035</v>
      </c>
      <c r="AI19" s="11">
        <f t="shared" si="11"/>
        <v>99186</v>
      </c>
      <c r="AJ19" s="3">
        <v>276221</v>
      </c>
      <c r="AK19" s="12">
        <f t="shared" si="12"/>
        <v>0.83602250612138651</v>
      </c>
      <c r="AL19" s="10">
        <v>333051</v>
      </c>
      <c r="AM19" s="10">
        <v>215164</v>
      </c>
      <c r="AN19" s="11">
        <f t="shared" si="13"/>
        <v>64620</v>
      </c>
      <c r="AO19" s="3">
        <v>279784</v>
      </c>
      <c r="AP19" s="12">
        <f t="shared" si="14"/>
        <v>0.8400635338131397</v>
      </c>
      <c r="AQ19" s="10">
        <v>332886</v>
      </c>
      <c r="AR19" s="10">
        <v>188787</v>
      </c>
      <c r="AS19" s="11">
        <f t="shared" si="15"/>
        <v>96093</v>
      </c>
      <c r="AT19" s="3">
        <v>284880</v>
      </c>
      <c r="AU19" s="12">
        <f t="shared" si="16"/>
        <v>0.85578846812422271</v>
      </c>
      <c r="AV19" s="10">
        <v>332957</v>
      </c>
      <c r="AW19" s="10">
        <v>226390</v>
      </c>
      <c r="AX19" s="11">
        <f t="shared" si="17"/>
        <v>63424</v>
      </c>
      <c r="AY19" s="3">
        <v>289814</v>
      </c>
      <c r="AZ19" s="12">
        <f t="shared" si="18"/>
        <v>0.87042470949702211</v>
      </c>
      <c r="BA19" s="10">
        <v>314833</v>
      </c>
      <c r="BB19" s="10">
        <v>205516</v>
      </c>
      <c r="BC19" s="11">
        <f t="shared" si="19"/>
        <v>87862</v>
      </c>
      <c r="BD19" s="3">
        <v>293378</v>
      </c>
      <c r="BE19" s="12">
        <f t="shared" si="20"/>
        <v>0.93185276003468509</v>
      </c>
      <c r="BF19" s="10">
        <v>320339</v>
      </c>
      <c r="BG19" s="10">
        <v>22748</v>
      </c>
      <c r="BH19" s="11">
        <f t="shared" si="21"/>
        <v>273793</v>
      </c>
      <c r="BI19" s="3">
        <v>296541</v>
      </c>
      <c r="BJ19" s="12">
        <f t="shared" si="22"/>
        <v>0.92570995102063747</v>
      </c>
    </row>
    <row r="20" spans="1:62" x14ac:dyDescent="0.3">
      <c r="A20" s="20">
        <v>11</v>
      </c>
      <c r="B20" s="9" t="s">
        <v>17</v>
      </c>
      <c r="C20" s="10">
        <v>6884</v>
      </c>
      <c r="D20" s="10">
        <v>3469</v>
      </c>
      <c r="E20" s="3">
        <v>5948</v>
      </c>
      <c r="F20" s="3">
        <v>5980</v>
      </c>
      <c r="G20" s="12">
        <f t="shared" si="0"/>
        <v>0.8686809994189425</v>
      </c>
      <c r="H20" s="10">
        <v>6969</v>
      </c>
      <c r="I20" s="10">
        <v>3620</v>
      </c>
      <c r="J20" s="11">
        <f t="shared" si="1"/>
        <v>2374</v>
      </c>
      <c r="K20" s="3">
        <v>5994</v>
      </c>
      <c r="L20" s="12">
        <f t="shared" si="2"/>
        <v>0.86009470512268615</v>
      </c>
      <c r="M20" s="10">
        <v>7029</v>
      </c>
      <c r="N20" s="10">
        <v>3767</v>
      </c>
      <c r="O20" s="11">
        <f t="shared" si="3"/>
        <v>2260</v>
      </c>
      <c r="P20" s="3">
        <v>6027</v>
      </c>
      <c r="Q20" s="12">
        <f t="shared" si="4"/>
        <v>0.85744771660264618</v>
      </c>
      <c r="R20" s="10">
        <v>7130</v>
      </c>
      <c r="S20" s="10">
        <v>4169</v>
      </c>
      <c r="T20" s="11">
        <f t="shared" si="5"/>
        <v>1970</v>
      </c>
      <c r="U20" s="3">
        <v>6139</v>
      </c>
      <c r="V20" s="12">
        <f t="shared" si="6"/>
        <v>0.86100981767180929</v>
      </c>
      <c r="W20" s="10">
        <v>7135</v>
      </c>
      <c r="X20" s="10">
        <v>3808</v>
      </c>
      <c r="Y20" s="11">
        <f t="shared" si="7"/>
        <v>2417</v>
      </c>
      <c r="Z20" s="3">
        <v>6225</v>
      </c>
      <c r="AA20" s="12">
        <f t="shared" si="8"/>
        <v>0.87245970567624387</v>
      </c>
      <c r="AB20" s="10">
        <v>7195</v>
      </c>
      <c r="AC20" s="10">
        <v>3362</v>
      </c>
      <c r="AD20" s="11">
        <f t="shared" si="9"/>
        <v>2940</v>
      </c>
      <c r="AE20" s="3">
        <v>6302</v>
      </c>
      <c r="AF20" s="12">
        <f t="shared" si="10"/>
        <v>0.8758860319666435</v>
      </c>
      <c r="AG20" s="10">
        <v>7314</v>
      </c>
      <c r="AH20" s="10">
        <v>3756</v>
      </c>
      <c r="AI20" s="11">
        <f t="shared" si="11"/>
        <v>2627</v>
      </c>
      <c r="AJ20" s="3">
        <v>6383</v>
      </c>
      <c r="AK20" s="12">
        <f t="shared" si="12"/>
        <v>0.87270987147935464</v>
      </c>
      <c r="AL20" s="10">
        <v>7403</v>
      </c>
      <c r="AM20" s="10">
        <v>4529</v>
      </c>
      <c r="AN20" s="11">
        <f t="shared" si="13"/>
        <v>1919</v>
      </c>
      <c r="AO20" s="3">
        <v>6448</v>
      </c>
      <c r="AP20" s="12">
        <f t="shared" si="14"/>
        <v>0.87099824395515335</v>
      </c>
      <c r="AQ20" s="10">
        <v>7450</v>
      </c>
      <c r="AR20" s="10">
        <v>3717</v>
      </c>
      <c r="AS20" s="11">
        <f t="shared" si="15"/>
        <v>2817</v>
      </c>
      <c r="AT20" s="3">
        <v>6534</v>
      </c>
      <c r="AU20" s="12">
        <f t="shared" si="16"/>
        <v>0.87704697986577185</v>
      </c>
      <c r="AV20" s="10">
        <v>7448</v>
      </c>
      <c r="AW20" s="10">
        <v>4463</v>
      </c>
      <c r="AX20" s="11">
        <f t="shared" si="17"/>
        <v>2115</v>
      </c>
      <c r="AY20" s="3">
        <v>6578</v>
      </c>
      <c r="AZ20" s="12">
        <f t="shared" si="18"/>
        <v>0.88319011815252413</v>
      </c>
      <c r="BA20" s="10">
        <v>7399</v>
      </c>
      <c r="BB20" s="10">
        <v>4302</v>
      </c>
      <c r="BC20" s="11">
        <f t="shared" si="19"/>
        <v>2321</v>
      </c>
      <c r="BD20" s="3">
        <v>6623</v>
      </c>
      <c r="BE20" s="12">
        <f t="shared" si="20"/>
        <v>0.89512096229220162</v>
      </c>
      <c r="BF20" s="10">
        <v>7508</v>
      </c>
      <c r="BG20" s="10">
        <v>710</v>
      </c>
      <c r="BH20" s="11">
        <f t="shared" si="21"/>
        <v>6002</v>
      </c>
      <c r="BI20" s="3">
        <v>6712</v>
      </c>
      <c r="BJ20" s="12">
        <f t="shared" si="22"/>
        <v>0.89397975492807669</v>
      </c>
    </row>
    <row r="21" spans="1:62" x14ac:dyDescent="0.3">
      <c r="A21" s="20">
        <v>12</v>
      </c>
      <c r="B21" s="9" t="s">
        <v>18</v>
      </c>
      <c r="C21" s="10">
        <v>10828</v>
      </c>
      <c r="D21" s="10">
        <v>2947</v>
      </c>
      <c r="E21" s="3">
        <v>8222</v>
      </c>
      <c r="F21" s="3">
        <v>8291</v>
      </c>
      <c r="G21" s="12">
        <f t="shared" si="0"/>
        <v>0.76570003694126343</v>
      </c>
      <c r="H21" s="10">
        <v>10989</v>
      </c>
      <c r="I21" s="10">
        <v>3345</v>
      </c>
      <c r="J21" s="11">
        <f t="shared" si="1"/>
        <v>4996</v>
      </c>
      <c r="K21" s="3">
        <v>8341</v>
      </c>
      <c r="L21" s="12">
        <f t="shared" si="2"/>
        <v>0.75903175903175901</v>
      </c>
      <c r="M21" s="10">
        <v>11143</v>
      </c>
      <c r="N21" s="10">
        <v>3632</v>
      </c>
      <c r="O21" s="11">
        <f t="shared" si="3"/>
        <v>4766</v>
      </c>
      <c r="P21" s="3">
        <v>8398</v>
      </c>
      <c r="Q21" s="12">
        <f t="shared" si="4"/>
        <v>0.75365700439737948</v>
      </c>
      <c r="R21" s="10">
        <v>11396</v>
      </c>
      <c r="S21" s="10">
        <v>4233</v>
      </c>
      <c r="T21" s="11">
        <f t="shared" si="5"/>
        <v>4333</v>
      </c>
      <c r="U21" s="3">
        <v>8566</v>
      </c>
      <c r="V21" s="12">
        <f t="shared" si="6"/>
        <v>0.75166725166725168</v>
      </c>
      <c r="W21" s="10">
        <v>11658</v>
      </c>
      <c r="X21" s="10">
        <v>4030</v>
      </c>
      <c r="Y21" s="11">
        <f t="shared" si="7"/>
        <v>4719</v>
      </c>
      <c r="Z21" s="3">
        <v>8749</v>
      </c>
      <c r="AA21" s="12">
        <f t="shared" si="8"/>
        <v>0.75047177903585516</v>
      </c>
      <c r="AB21" s="10">
        <v>11960</v>
      </c>
      <c r="AC21" s="10">
        <v>3821</v>
      </c>
      <c r="AD21" s="11">
        <f t="shared" si="9"/>
        <v>5134</v>
      </c>
      <c r="AE21" s="3">
        <v>8955</v>
      </c>
      <c r="AF21" s="12">
        <f t="shared" si="10"/>
        <v>0.74874581939799334</v>
      </c>
      <c r="AG21" s="10">
        <v>12126</v>
      </c>
      <c r="AH21" s="10">
        <v>4343</v>
      </c>
      <c r="AI21" s="11">
        <f t="shared" si="11"/>
        <v>4720</v>
      </c>
      <c r="AJ21" s="3">
        <v>9063</v>
      </c>
      <c r="AK21" s="12">
        <f t="shared" si="12"/>
        <v>0.74740227610094012</v>
      </c>
      <c r="AL21" s="10">
        <v>12318</v>
      </c>
      <c r="AM21" s="10">
        <v>4920</v>
      </c>
      <c r="AN21" s="11">
        <f t="shared" si="13"/>
        <v>4267</v>
      </c>
      <c r="AO21" s="3">
        <v>9187</v>
      </c>
      <c r="AP21" s="12">
        <f t="shared" si="14"/>
        <v>0.74581912648157167</v>
      </c>
      <c r="AQ21" s="10">
        <v>12515</v>
      </c>
      <c r="AR21" s="10">
        <v>4434</v>
      </c>
      <c r="AS21" s="11">
        <f t="shared" si="15"/>
        <v>4858</v>
      </c>
      <c r="AT21" s="3">
        <v>9292</v>
      </c>
      <c r="AU21" s="12">
        <f t="shared" si="16"/>
        <v>0.74246903715541346</v>
      </c>
      <c r="AV21" s="10">
        <v>12661</v>
      </c>
      <c r="AW21" s="10">
        <v>5613</v>
      </c>
      <c r="AX21" s="11">
        <f t="shared" si="17"/>
        <v>3814</v>
      </c>
      <c r="AY21" s="3">
        <v>9427</v>
      </c>
      <c r="AZ21" s="12">
        <f t="shared" si="18"/>
        <v>0.74456993918331882</v>
      </c>
      <c r="BA21" s="10">
        <v>12621</v>
      </c>
      <c r="BB21" s="10">
        <v>5380</v>
      </c>
      <c r="BC21" s="11">
        <f t="shared" si="19"/>
        <v>4214</v>
      </c>
      <c r="BD21" s="3">
        <v>9594</v>
      </c>
      <c r="BE21" s="12">
        <f t="shared" si="20"/>
        <v>0.76016163536962211</v>
      </c>
      <c r="BF21" s="10">
        <v>12538</v>
      </c>
      <c r="BG21" s="10">
        <v>704</v>
      </c>
      <c r="BH21" s="11">
        <f t="shared" si="21"/>
        <v>8966</v>
      </c>
      <c r="BI21" s="3">
        <v>9670</v>
      </c>
      <c r="BJ21" s="12">
        <f t="shared" si="22"/>
        <v>0.77125538363375334</v>
      </c>
    </row>
    <row r="22" spans="1:62" x14ac:dyDescent="0.3">
      <c r="A22" s="20">
        <v>13</v>
      </c>
      <c r="B22" s="9" t="s">
        <v>19</v>
      </c>
      <c r="C22" s="10">
        <v>6395</v>
      </c>
      <c r="D22" s="10">
        <v>2281</v>
      </c>
      <c r="E22" s="3">
        <v>5019</v>
      </c>
      <c r="F22" s="3">
        <v>5035</v>
      </c>
      <c r="G22" s="12">
        <f t="shared" si="0"/>
        <v>0.78733385457388583</v>
      </c>
      <c r="H22" s="10">
        <v>6422</v>
      </c>
      <c r="I22" s="10">
        <v>2543</v>
      </c>
      <c r="J22" s="11">
        <f t="shared" si="1"/>
        <v>2551</v>
      </c>
      <c r="K22" s="3">
        <v>5094</v>
      </c>
      <c r="L22" s="12">
        <f t="shared" si="2"/>
        <v>0.7932108377452507</v>
      </c>
      <c r="M22" s="10">
        <v>6463</v>
      </c>
      <c r="N22" s="10">
        <v>2718</v>
      </c>
      <c r="O22" s="11">
        <f t="shared" si="3"/>
        <v>2426</v>
      </c>
      <c r="P22" s="3">
        <v>5144</v>
      </c>
      <c r="Q22" s="12">
        <f t="shared" si="4"/>
        <v>0.79591520965495899</v>
      </c>
      <c r="R22" s="10">
        <v>6516</v>
      </c>
      <c r="S22" s="10">
        <v>2991</v>
      </c>
      <c r="T22" s="11">
        <f t="shared" si="5"/>
        <v>2238</v>
      </c>
      <c r="U22" s="3">
        <v>5229</v>
      </c>
      <c r="V22" s="12">
        <f t="shared" si="6"/>
        <v>0.8024861878453039</v>
      </c>
      <c r="W22" s="10">
        <v>6646</v>
      </c>
      <c r="X22" s="10">
        <v>2789</v>
      </c>
      <c r="Y22" s="11">
        <f t="shared" si="7"/>
        <v>2523</v>
      </c>
      <c r="Z22" s="3">
        <v>5312</v>
      </c>
      <c r="AA22" s="12">
        <f t="shared" si="8"/>
        <v>0.79927776105928383</v>
      </c>
      <c r="AB22" s="10">
        <v>6718</v>
      </c>
      <c r="AC22" s="10">
        <v>2579</v>
      </c>
      <c r="AD22" s="11">
        <f t="shared" si="9"/>
        <v>2804</v>
      </c>
      <c r="AE22" s="3">
        <v>5383</v>
      </c>
      <c r="AF22" s="12">
        <f t="shared" si="10"/>
        <v>0.80128014289967253</v>
      </c>
      <c r="AG22" s="10">
        <v>6744</v>
      </c>
      <c r="AH22" s="10">
        <v>2853</v>
      </c>
      <c r="AI22" s="11">
        <f t="shared" si="11"/>
        <v>2601</v>
      </c>
      <c r="AJ22" s="3">
        <v>5454</v>
      </c>
      <c r="AK22" s="12">
        <f t="shared" si="12"/>
        <v>0.80871886120996439</v>
      </c>
      <c r="AL22" s="10">
        <v>6735</v>
      </c>
      <c r="AM22" s="10">
        <v>3372</v>
      </c>
      <c r="AN22" s="11">
        <f t="shared" si="13"/>
        <v>2135</v>
      </c>
      <c r="AO22" s="3">
        <v>5507</v>
      </c>
      <c r="AP22" s="12">
        <f t="shared" si="14"/>
        <v>0.81766889383815888</v>
      </c>
      <c r="AQ22" s="10">
        <v>6694</v>
      </c>
      <c r="AR22" s="10">
        <v>2830</v>
      </c>
      <c r="AS22" s="11">
        <f t="shared" si="15"/>
        <v>2717</v>
      </c>
      <c r="AT22" s="3">
        <v>5547</v>
      </c>
      <c r="AU22" s="12">
        <f t="shared" si="16"/>
        <v>0.82865252464893935</v>
      </c>
      <c r="AV22" s="10">
        <v>6757</v>
      </c>
      <c r="AW22" s="10">
        <v>3618</v>
      </c>
      <c r="AX22" s="11">
        <f t="shared" si="17"/>
        <v>1983</v>
      </c>
      <c r="AY22" s="3">
        <v>5601</v>
      </c>
      <c r="AZ22" s="12">
        <f t="shared" si="18"/>
        <v>0.82891815894627796</v>
      </c>
      <c r="BA22" s="10">
        <v>6695</v>
      </c>
      <c r="BB22" s="10">
        <v>3364</v>
      </c>
      <c r="BC22" s="11">
        <f t="shared" si="19"/>
        <v>2268</v>
      </c>
      <c r="BD22" s="3">
        <v>5632</v>
      </c>
      <c r="BE22" s="12">
        <f t="shared" si="20"/>
        <v>0.84122479462285282</v>
      </c>
      <c r="BF22" s="10">
        <v>6784</v>
      </c>
      <c r="BG22" s="10">
        <v>507</v>
      </c>
      <c r="BH22" s="11">
        <f t="shared" si="21"/>
        <v>5166</v>
      </c>
      <c r="BI22" s="3">
        <v>5673</v>
      </c>
      <c r="BJ22" s="12">
        <f t="shared" si="22"/>
        <v>0.83623231132075471</v>
      </c>
    </row>
    <row r="23" spans="1:62" x14ac:dyDescent="0.3">
      <c r="A23" s="20">
        <v>14</v>
      </c>
      <c r="B23" s="9" t="s">
        <v>20</v>
      </c>
      <c r="C23" s="10">
        <v>10976</v>
      </c>
      <c r="D23" s="10">
        <v>3637</v>
      </c>
      <c r="E23" s="3">
        <v>7600</v>
      </c>
      <c r="F23" s="3">
        <v>7622</v>
      </c>
      <c r="G23" s="12">
        <f t="shared" si="0"/>
        <v>0.69442419825072887</v>
      </c>
      <c r="H23" s="10">
        <v>10987</v>
      </c>
      <c r="I23" s="10">
        <v>3753</v>
      </c>
      <c r="J23" s="11">
        <f t="shared" si="1"/>
        <v>3893</v>
      </c>
      <c r="K23" s="3">
        <v>7646</v>
      </c>
      <c r="L23" s="12">
        <f t="shared" si="2"/>
        <v>0.6959133521434423</v>
      </c>
      <c r="M23" s="10">
        <v>10941</v>
      </c>
      <c r="N23" s="10">
        <v>4013</v>
      </c>
      <c r="O23" s="11">
        <f t="shared" si="3"/>
        <v>3683</v>
      </c>
      <c r="P23" s="3">
        <v>7696</v>
      </c>
      <c r="Q23" s="12">
        <f t="shared" si="4"/>
        <v>0.70340919477195873</v>
      </c>
      <c r="R23" s="10">
        <v>10837</v>
      </c>
      <c r="S23" s="10">
        <v>4656</v>
      </c>
      <c r="T23" s="11">
        <f t="shared" si="5"/>
        <v>3113</v>
      </c>
      <c r="U23" s="3">
        <v>7769</v>
      </c>
      <c r="V23" s="12">
        <f t="shared" si="6"/>
        <v>0.71689581987634954</v>
      </c>
      <c r="W23" s="10">
        <v>10702</v>
      </c>
      <c r="X23" s="10">
        <v>4120</v>
      </c>
      <c r="Y23" s="11">
        <f t="shared" si="7"/>
        <v>3685</v>
      </c>
      <c r="Z23" s="3">
        <v>7805</v>
      </c>
      <c r="AA23" s="12">
        <f t="shared" si="8"/>
        <v>0.7293029340310222</v>
      </c>
      <c r="AB23" s="10">
        <v>10659</v>
      </c>
      <c r="AC23" s="10">
        <v>3683</v>
      </c>
      <c r="AD23" s="11">
        <f t="shared" si="9"/>
        <v>4208</v>
      </c>
      <c r="AE23" s="3">
        <v>7891</v>
      </c>
      <c r="AF23" s="12">
        <f t="shared" si="10"/>
        <v>0.74031335022047096</v>
      </c>
      <c r="AG23" s="10">
        <v>10496</v>
      </c>
      <c r="AH23" s="10">
        <v>3947</v>
      </c>
      <c r="AI23" s="11">
        <f t="shared" si="11"/>
        <v>3992</v>
      </c>
      <c r="AJ23" s="3">
        <v>7939</v>
      </c>
      <c r="AK23" s="12">
        <f t="shared" si="12"/>
        <v>0.75638338414634143</v>
      </c>
      <c r="AL23" s="10">
        <v>10527</v>
      </c>
      <c r="AM23" s="10">
        <v>5057</v>
      </c>
      <c r="AN23" s="11">
        <f t="shared" si="13"/>
        <v>2917</v>
      </c>
      <c r="AO23" s="3">
        <v>7974</v>
      </c>
      <c r="AP23" s="12">
        <f t="shared" si="14"/>
        <v>0.75748076375035622</v>
      </c>
      <c r="AQ23" s="10">
        <v>10173</v>
      </c>
      <c r="AR23" s="10">
        <v>4113</v>
      </c>
      <c r="AS23" s="11">
        <f t="shared" si="15"/>
        <v>3908</v>
      </c>
      <c r="AT23" s="3">
        <v>8021</v>
      </c>
      <c r="AU23" s="12">
        <f t="shared" si="16"/>
        <v>0.78845964808807623</v>
      </c>
      <c r="AV23" s="10">
        <v>10240</v>
      </c>
      <c r="AW23" s="10">
        <v>5167</v>
      </c>
      <c r="AX23" s="11">
        <f t="shared" si="17"/>
        <v>2910</v>
      </c>
      <c r="AY23" s="3">
        <v>8077</v>
      </c>
      <c r="AZ23" s="12">
        <f t="shared" si="18"/>
        <v>0.78876953125000004</v>
      </c>
      <c r="BA23" s="10">
        <v>10379</v>
      </c>
      <c r="BB23" s="10">
        <v>4311</v>
      </c>
      <c r="BC23" s="11">
        <f t="shared" si="19"/>
        <v>3774</v>
      </c>
      <c r="BD23" s="3">
        <v>8085</v>
      </c>
      <c r="BE23" s="12">
        <f t="shared" si="20"/>
        <v>0.77897678003661242</v>
      </c>
      <c r="BF23" s="10">
        <v>10531</v>
      </c>
      <c r="BG23" s="10">
        <v>742</v>
      </c>
      <c r="BH23" s="11">
        <f t="shared" si="21"/>
        <v>7313</v>
      </c>
      <c r="BI23" s="3">
        <v>8055</v>
      </c>
      <c r="BJ23" s="12">
        <f t="shared" si="22"/>
        <v>0.76488462634127818</v>
      </c>
    </row>
    <row r="24" spans="1:62" x14ac:dyDescent="0.3">
      <c r="A24" s="20">
        <v>15</v>
      </c>
      <c r="B24" s="9" t="s">
        <v>21</v>
      </c>
      <c r="C24" s="10">
        <v>5303</v>
      </c>
      <c r="D24" s="10">
        <v>2373</v>
      </c>
      <c r="E24" s="3">
        <v>4208</v>
      </c>
      <c r="F24" s="3">
        <v>4217</v>
      </c>
      <c r="G24" s="12">
        <f t="shared" si="0"/>
        <v>0.79521025834433334</v>
      </c>
      <c r="H24" s="10">
        <v>5386</v>
      </c>
      <c r="I24" s="10">
        <v>2467</v>
      </c>
      <c r="J24" s="11">
        <f t="shared" si="1"/>
        <v>1814</v>
      </c>
      <c r="K24" s="3">
        <v>4281</v>
      </c>
      <c r="L24" s="12">
        <f t="shared" si="2"/>
        <v>0.7948384701076866</v>
      </c>
      <c r="M24" s="10">
        <v>5454</v>
      </c>
      <c r="N24" s="10">
        <v>2519</v>
      </c>
      <c r="O24" s="11">
        <f t="shared" si="3"/>
        <v>1817</v>
      </c>
      <c r="P24" s="3">
        <v>4336</v>
      </c>
      <c r="Q24" s="12">
        <f t="shared" si="4"/>
        <v>0.79501283461679506</v>
      </c>
      <c r="R24" s="10">
        <v>5617</v>
      </c>
      <c r="S24" s="10">
        <v>2890</v>
      </c>
      <c r="T24" s="11">
        <f t="shared" si="5"/>
        <v>1552</v>
      </c>
      <c r="U24" s="3">
        <v>4442</v>
      </c>
      <c r="V24" s="12">
        <f t="shared" si="6"/>
        <v>0.79081360156667257</v>
      </c>
      <c r="W24" s="10">
        <v>5716</v>
      </c>
      <c r="X24" s="10">
        <v>2673</v>
      </c>
      <c r="Y24" s="11">
        <f t="shared" si="7"/>
        <v>1819</v>
      </c>
      <c r="Z24" s="3">
        <v>4492</v>
      </c>
      <c r="AA24" s="12">
        <f t="shared" si="8"/>
        <v>0.78586424072778172</v>
      </c>
      <c r="AB24" s="10">
        <v>5800</v>
      </c>
      <c r="AC24" s="10">
        <v>2591</v>
      </c>
      <c r="AD24" s="11">
        <f t="shared" si="9"/>
        <v>1959</v>
      </c>
      <c r="AE24" s="3">
        <v>4550</v>
      </c>
      <c r="AF24" s="12">
        <f t="shared" si="10"/>
        <v>0.78448275862068961</v>
      </c>
      <c r="AG24" s="10">
        <v>5880</v>
      </c>
      <c r="AH24" s="10">
        <v>2693</v>
      </c>
      <c r="AI24" s="11">
        <f t="shared" si="11"/>
        <v>1919</v>
      </c>
      <c r="AJ24" s="3">
        <v>4612</v>
      </c>
      <c r="AK24" s="12">
        <f t="shared" si="12"/>
        <v>0.78435374149659864</v>
      </c>
      <c r="AL24" s="10">
        <v>5984</v>
      </c>
      <c r="AM24" s="10">
        <v>3305</v>
      </c>
      <c r="AN24" s="11">
        <f t="shared" si="13"/>
        <v>1362</v>
      </c>
      <c r="AO24" s="3">
        <v>4667</v>
      </c>
      <c r="AP24" s="12">
        <f t="shared" si="14"/>
        <v>0.77991310160427807</v>
      </c>
      <c r="AQ24" s="10">
        <v>6083</v>
      </c>
      <c r="AR24" s="10">
        <v>2691</v>
      </c>
      <c r="AS24" s="11">
        <f t="shared" si="15"/>
        <v>2045</v>
      </c>
      <c r="AT24" s="3">
        <v>4736</v>
      </c>
      <c r="AU24" s="12">
        <f t="shared" si="16"/>
        <v>0.77856320894295583</v>
      </c>
      <c r="AV24" s="10">
        <v>6170</v>
      </c>
      <c r="AW24" s="10">
        <v>3332</v>
      </c>
      <c r="AX24" s="11">
        <f t="shared" si="17"/>
        <v>1434</v>
      </c>
      <c r="AY24" s="3">
        <v>4766</v>
      </c>
      <c r="AZ24" s="12">
        <f t="shared" si="18"/>
        <v>0.77244732576985409</v>
      </c>
      <c r="BA24" s="10">
        <v>6245</v>
      </c>
      <c r="BB24" s="10">
        <v>3217</v>
      </c>
      <c r="BC24" s="11">
        <f t="shared" si="19"/>
        <v>1607</v>
      </c>
      <c r="BD24" s="3">
        <v>4824</v>
      </c>
      <c r="BE24" s="12">
        <f t="shared" si="20"/>
        <v>0.77245796637309849</v>
      </c>
      <c r="BF24" s="10">
        <v>6256</v>
      </c>
      <c r="BG24" s="10">
        <v>1365</v>
      </c>
      <c r="BH24" s="11">
        <f t="shared" si="21"/>
        <v>3501</v>
      </c>
      <c r="BI24" s="3">
        <v>4866</v>
      </c>
      <c r="BJ24" s="12">
        <f t="shared" si="22"/>
        <v>0.77781329923273657</v>
      </c>
    </row>
    <row r="25" spans="1:62" x14ac:dyDescent="0.3">
      <c r="A25" s="20">
        <v>16</v>
      </c>
      <c r="B25" s="9" t="s">
        <v>22</v>
      </c>
      <c r="C25" s="10">
        <v>23557</v>
      </c>
      <c r="D25" s="10">
        <v>12881</v>
      </c>
      <c r="E25" s="3">
        <v>19763</v>
      </c>
      <c r="F25" s="3">
        <v>19792</v>
      </c>
      <c r="G25" s="12">
        <f t="shared" si="0"/>
        <v>0.84017489493568787</v>
      </c>
      <c r="H25" s="10">
        <v>23734</v>
      </c>
      <c r="I25" s="10">
        <v>13919</v>
      </c>
      <c r="J25" s="11">
        <f t="shared" si="1"/>
        <v>6025</v>
      </c>
      <c r="K25" s="3">
        <v>19944</v>
      </c>
      <c r="L25" s="12">
        <f t="shared" si="2"/>
        <v>0.84031347434060844</v>
      </c>
      <c r="M25" s="10">
        <v>24026</v>
      </c>
      <c r="N25" s="10">
        <v>14633</v>
      </c>
      <c r="O25" s="11">
        <f t="shared" si="3"/>
        <v>5504</v>
      </c>
      <c r="P25" s="3">
        <v>20137</v>
      </c>
      <c r="Q25" s="12">
        <f t="shared" si="4"/>
        <v>0.83813368850412051</v>
      </c>
      <c r="R25" s="10">
        <v>24393</v>
      </c>
      <c r="S25" s="10">
        <v>15743</v>
      </c>
      <c r="T25" s="11">
        <f t="shared" si="5"/>
        <v>4657</v>
      </c>
      <c r="U25" s="3">
        <v>20400</v>
      </c>
      <c r="V25" s="12">
        <f t="shared" si="6"/>
        <v>0.83630549747878491</v>
      </c>
      <c r="W25" s="10">
        <v>24459</v>
      </c>
      <c r="X25" s="10">
        <v>14331</v>
      </c>
      <c r="Y25" s="11">
        <f t="shared" si="7"/>
        <v>6260</v>
      </c>
      <c r="Z25" s="3">
        <v>20591</v>
      </c>
      <c r="AA25" s="12">
        <f t="shared" si="8"/>
        <v>0.84185780285375522</v>
      </c>
      <c r="AB25" s="10">
        <v>24530</v>
      </c>
      <c r="AC25" s="10">
        <v>13564</v>
      </c>
      <c r="AD25" s="11">
        <f t="shared" si="9"/>
        <v>7215</v>
      </c>
      <c r="AE25" s="3">
        <v>20779</v>
      </c>
      <c r="AF25" s="12">
        <f t="shared" si="10"/>
        <v>0.84708520179372193</v>
      </c>
      <c r="AG25" s="10">
        <v>24644</v>
      </c>
      <c r="AH25" s="10">
        <v>15026</v>
      </c>
      <c r="AI25" s="11">
        <f t="shared" si="11"/>
        <v>5867</v>
      </c>
      <c r="AJ25" s="3">
        <v>20893</v>
      </c>
      <c r="AK25" s="12">
        <f t="shared" si="12"/>
        <v>0.84779256614186005</v>
      </c>
      <c r="AL25" s="10">
        <v>24638</v>
      </c>
      <c r="AM25" s="10">
        <v>16808</v>
      </c>
      <c r="AN25" s="11">
        <f t="shared" si="13"/>
        <v>4235</v>
      </c>
      <c r="AO25" s="3">
        <v>21043</v>
      </c>
      <c r="AP25" s="12">
        <f t="shared" si="14"/>
        <v>0.85408718240116888</v>
      </c>
      <c r="AQ25" s="10">
        <v>24481</v>
      </c>
      <c r="AR25" s="10">
        <v>13959</v>
      </c>
      <c r="AS25" s="11">
        <f t="shared" si="15"/>
        <v>7249</v>
      </c>
      <c r="AT25" s="3">
        <v>21208</v>
      </c>
      <c r="AU25" s="12">
        <f t="shared" si="16"/>
        <v>0.86630448102610191</v>
      </c>
      <c r="AV25" s="10">
        <v>24312</v>
      </c>
      <c r="AW25" s="10">
        <v>17155</v>
      </c>
      <c r="AX25" s="11">
        <f t="shared" si="17"/>
        <v>4254</v>
      </c>
      <c r="AY25" s="3">
        <v>21409</v>
      </c>
      <c r="AZ25" s="12">
        <f t="shared" si="18"/>
        <v>0.88059394537676872</v>
      </c>
      <c r="BA25" s="10">
        <v>23986</v>
      </c>
      <c r="BB25" s="10">
        <v>16403</v>
      </c>
      <c r="BC25" s="11">
        <f t="shared" si="19"/>
        <v>5116</v>
      </c>
      <c r="BD25" s="3">
        <v>21519</v>
      </c>
      <c r="BE25" s="12">
        <f t="shared" si="20"/>
        <v>0.89714833652964232</v>
      </c>
      <c r="BF25" s="10">
        <v>24205</v>
      </c>
      <c r="BG25" s="10">
        <v>2139</v>
      </c>
      <c r="BH25" s="11">
        <f t="shared" si="21"/>
        <v>19446</v>
      </c>
      <c r="BI25" s="3">
        <v>21585</v>
      </c>
      <c r="BJ25" s="12">
        <f t="shared" si="22"/>
        <v>0.89175790126007026</v>
      </c>
    </row>
    <row r="26" spans="1:62" x14ac:dyDescent="0.3">
      <c r="A26" s="20">
        <v>17</v>
      </c>
      <c r="B26" s="9" t="s">
        <v>23</v>
      </c>
      <c r="C26" s="10">
        <v>23763</v>
      </c>
      <c r="D26" s="10">
        <v>12230</v>
      </c>
      <c r="E26" s="3">
        <v>19070</v>
      </c>
      <c r="F26" s="3">
        <v>19119</v>
      </c>
      <c r="G26" s="12">
        <f t="shared" si="0"/>
        <v>0.80457013003408662</v>
      </c>
      <c r="H26" s="10">
        <v>24195</v>
      </c>
      <c r="I26" s="10">
        <v>13350</v>
      </c>
      <c r="J26" s="11">
        <f t="shared" si="1"/>
        <v>6131</v>
      </c>
      <c r="K26" s="3">
        <v>19481</v>
      </c>
      <c r="L26" s="12">
        <f t="shared" si="2"/>
        <v>0.80516635668526559</v>
      </c>
      <c r="M26" s="10">
        <v>24878</v>
      </c>
      <c r="N26" s="10">
        <v>13738</v>
      </c>
      <c r="O26" s="11">
        <f t="shared" si="3"/>
        <v>6348</v>
      </c>
      <c r="P26" s="3">
        <v>20086</v>
      </c>
      <c r="Q26" s="12">
        <f t="shared" si="4"/>
        <v>0.80738001447061658</v>
      </c>
      <c r="R26" s="10">
        <v>25640</v>
      </c>
      <c r="S26" s="10">
        <v>15002</v>
      </c>
      <c r="T26" s="11">
        <f t="shared" si="5"/>
        <v>5652</v>
      </c>
      <c r="U26" s="3">
        <v>20654</v>
      </c>
      <c r="V26" s="12">
        <f t="shared" si="6"/>
        <v>0.80553822152886112</v>
      </c>
      <c r="W26" s="10">
        <v>25884</v>
      </c>
      <c r="X26" s="10">
        <v>14398</v>
      </c>
      <c r="Y26" s="11">
        <f t="shared" si="7"/>
        <v>6421</v>
      </c>
      <c r="Z26" s="3">
        <v>20819</v>
      </c>
      <c r="AA26" s="12">
        <f t="shared" si="8"/>
        <v>0.80431927059187147</v>
      </c>
      <c r="AB26" s="10">
        <v>26140</v>
      </c>
      <c r="AC26" s="10">
        <v>13499</v>
      </c>
      <c r="AD26" s="11">
        <f t="shared" si="9"/>
        <v>7480</v>
      </c>
      <c r="AE26" s="3">
        <v>20979</v>
      </c>
      <c r="AF26" s="12">
        <f t="shared" si="10"/>
        <v>0.80256312165263965</v>
      </c>
      <c r="AG26" s="10">
        <v>26255</v>
      </c>
      <c r="AH26" s="10">
        <v>14402</v>
      </c>
      <c r="AI26" s="11">
        <f t="shared" si="11"/>
        <v>6657</v>
      </c>
      <c r="AJ26" s="3">
        <v>21059</v>
      </c>
      <c r="AK26" s="12">
        <f t="shared" si="12"/>
        <v>0.80209483907827084</v>
      </c>
      <c r="AL26" s="10">
        <v>26357</v>
      </c>
      <c r="AM26" s="10">
        <v>14392</v>
      </c>
      <c r="AN26" s="11">
        <f t="shared" si="13"/>
        <v>6664</v>
      </c>
      <c r="AO26" s="3">
        <v>21056</v>
      </c>
      <c r="AP26" s="12">
        <f t="shared" si="14"/>
        <v>0.79887695868270292</v>
      </c>
      <c r="AQ26" s="10">
        <v>26428</v>
      </c>
      <c r="AR26" s="10">
        <v>12913</v>
      </c>
      <c r="AS26" s="11">
        <f t="shared" si="15"/>
        <v>8149</v>
      </c>
      <c r="AT26" s="3">
        <v>21062</v>
      </c>
      <c r="AU26" s="12">
        <f t="shared" si="16"/>
        <v>0.79695777205993645</v>
      </c>
      <c r="AV26" s="10">
        <v>26536</v>
      </c>
      <c r="AW26" s="10">
        <v>15788</v>
      </c>
      <c r="AX26" s="11">
        <f t="shared" si="17"/>
        <v>5324</v>
      </c>
      <c r="AY26" s="3">
        <v>21112</v>
      </c>
      <c r="AZ26" s="12">
        <f t="shared" si="18"/>
        <v>0.79559843231835992</v>
      </c>
      <c r="BA26" s="10">
        <v>26675</v>
      </c>
      <c r="BB26" s="10">
        <v>14957</v>
      </c>
      <c r="BC26" s="11">
        <f t="shared" si="19"/>
        <v>6158</v>
      </c>
      <c r="BD26" s="3">
        <v>21115</v>
      </c>
      <c r="BE26" s="12">
        <f t="shared" si="20"/>
        <v>0.79156513589503286</v>
      </c>
      <c r="BF26" s="10">
        <v>26706</v>
      </c>
      <c r="BG26" s="10">
        <v>3196</v>
      </c>
      <c r="BH26" s="11">
        <f t="shared" si="21"/>
        <v>17831</v>
      </c>
      <c r="BI26" s="3">
        <v>21027</v>
      </c>
      <c r="BJ26" s="12">
        <f t="shared" si="22"/>
        <v>0.78735115704336101</v>
      </c>
    </row>
    <row r="27" spans="1:62" x14ac:dyDescent="0.3">
      <c r="A27" s="20">
        <v>18</v>
      </c>
      <c r="B27" s="9" t="s">
        <v>24</v>
      </c>
      <c r="C27" s="10">
        <v>157863</v>
      </c>
      <c r="D27" s="10">
        <v>60268</v>
      </c>
      <c r="E27" s="3">
        <v>119095</v>
      </c>
      <c r="F27" s="3">
        <v>119356</v>
      </c>
      <c r="G27" s="12">
        <f t="shared" si="0"/>
        <v>0.75607330406745088</v>
      </c>
      <c r="H27" s="10">
        <v>159240</v>
      </c>
      <c r="I27" s="10">
        <v>67851</v>
      </c>
      <c r="J27" s="11">
        <f t="shared" si="1"/>
        <v>52403</v>
      </c>
      <c r="K27" s="3">
        <v>120254</v>
      </c>
      <c r="L27" s="12">
        <f t="shared" si="2"/>
        <v>0.75517457925144438</v>
      </c>
      <c r="M27" s="10">
        <v>161175</v>
      </c>
      <c r="N27" s="10">
        <v>70248</v>
      </c>
      <c r="O27" s="11">
        <f t="shared" si="3"/>
        <v>51227</v>
      </c>
      <c r="P27" s="3">
        <v>121475</v>
      </c>
      <c r="Q27" s="12">
        <f t="shared" si="4"/>
        <v>0.75368388397704356</v>
      </c>
      <c r="R27" s="10">
        <v>163738</v>
      </c>
      <c r="S27" s="10">
        <v>77507</v>
      </c>
      <c r="T27" s="11">
        <f t="shared" si="5"/>
        <v>45707</v>
      </c>
      <c r="U27" s="3">
        <v>123214</v>
      </c>
      <c r="V27" s="12">
        <f t="shared" si="6"/>
        <v>0.75250705395204531</v>
      </c>
      <c r="W27" s="10">
        <v>165285</v>
      </c>
      <c r="X27" s="10">
        <v>70171</v>
      </c>
      <c r="Y27" s="11">
        <f t="shared" si="7"/>
        <v>54513</v>
      </c>
      <c r="Z27" s="3">
        <v>124684</v>
      </c>
      <c r="AA27" s="12">
        <f t="shared" si="8"/>
        <v>0.75435762470883627</v>
      </c>
      <c r="AB27" s="10">
        <v>167059</v>
      </c>
      <c r="AC27" s="10">
        <v>62683</v>
      </c>
      <c r="AD27" s="11">
        <f t="shared" si="9"/>
        <v>63483</v>
      </c>
      <c r="AE27" s="3">
        <v>126166</v>
      </c>
      <c r="AF27" s="12">
        <f t="shared" si="10"/>
        <v>0.75521821631878561</v>
      </c>
      <c r="AG27" s="10">
        <v>167755</v>
      </c>
      <c r="AH27" s="10">
        <v>72309</v>
      </c>
      <c r="AI27" s="11">
        <f t="shared" si="11"/>
        <v>54799</v>
      </c>
      <c r="AJ27" s="3">
        <v>127108</v>
      </c>
      <c r="AK27" s="12">
        <f t="shared" si="12"/>
        <v>0.7577002175792078</v>
      </c>
      <c r="AL27" s="10">
        <v>166641</v>
      </c>
      <c r="AM27" s="10">
        <v>77663</v>
      </c>
      <c r="AN27" s="11">
        <f t="shared" si="13"/>
        <v>50765</v>
      </c>
      <c r="AO27" s="3">
        <v>128428</v>
      </c>
      <c r="AP27" s="12">
        <f t="shared" si="14"/>
        <v>0.77068668574960542</v>
      </c>
      <c r="AQ27" s="10">
        <v>146205</v>
      </c>
      <c r="AR27" s="10">
        <v>72387</v>
      </c>
      <c r="AS27" s="11">
        <f t="shared" si="15"/>
        <v>56463</v>
      </c>
      <c r="AT27" s="3">
        <v>128850</v>
      </c>
      <c r="AU27" s="12">
        <f t="shared" si="16"/>
        <v>0.8812968092746486</v>
      </c>
      <c r="AV27" s="10">
        <v>144136</v>
      </c>
      <c r="AW27" s="10">
        <v>90640</v>
      </c>
      <c r="AX27" s="11">
        <f t="shared" si="17"/>
        <v>38977</v>
      </c>
      <c r="AY27" s="3">
        <v>129617</v>
      </c>
      <c r="AZ27" s="12">
        <f t="shared" si="18"/>
        <v>0.89926874618415942</v>
      </c>
      <c r="BA27" s="10">
        <v>144942</v>
      </c>
      <c r="BB27" s="10">
        <v>82103</v>
      </c>
      <c r="BC27" s="11">
        <f t="shared" si="19"/>
        <v>48741</v>
      </c>
      <c r="BD27" s="3">
        <v>130844</v>
      </c>
      <c r="BE27" s="12">
        <f t="shared" si="20"/>
        <v>0.90273350719598189</v>
      </c>
      <c r="BF27" s="10">
        <v>145908</v>
      </c>
      <c r="BG27" s="10">
        <v>7476</v>
      </c>
      <c r="BH27" s="11">
        <f t="shared" si="21"/>
        <v>123831</v>
      </c>
      <c r="BI27" s="3">
        <v>131307</v>
      </c>
      <c r="BJ27" s="12">
        <f t="shared" si="22"/>
        <v>0.89993009293527426</v>
      </c>
    </row>
    <row r="28" spans="1:62" x14ac:dyDescent="0.3">
      <c r="A28" s="20">
        <v>19</v>
      </c>
      <c r="B28" s="9" t="s">
        <v>25</v>
      </c>
      <c r="C28" s="10">
        <v>584818</v>
      </c>
      <c r="D28" s="10">
        <v>357699</v>
      </c>
      <c r="E28" s="3">
        <v>516434</v>
      </c>
      <c r="F28" s="3">
        <v>516704</v>
      </c>
      <c r="G28" s="12">
        <f t="shared" si="0"/>
        <v>0.88352957672301469</v>
      </c>
      <c r="H28" s="10">
        <v>588402</v>
      </c>
      <c r="I28" s="10">
        <v>379797</v>
      </c>
      <c r="J28" s="11">
        <f t="shared" si="1"/>
        <v>139566</v>
      </c>
      <c r="K28" s="3">
        <v>519363</v>
      </c>
      <c r="L28" s="12">
        <f t="shared" si="2"/>
        <v>0.88266695218575053</v>
      </c>
      <c r="M28" s="10">
        <v>593424</v>
      </c>
      <c r="N28" s="10">
        <v>390452</v>
      </c>
      <c r="O28" s="11">
        <f t="shared" si="3"/>
        <v>131525</v>
      </c>
      <c r="P28" s="3">
        <v>521977</v>
      </c>
      <c r="Q28" s="12">
        <f t="shared" si="4"/>
        <v>0.87960210574563891</v>
      </c>
      <c r="R28" s="10">
        <v>598953</v>
      </c>
      <c r="S28" s="10">
        <v>411303</v>
      </c>
      <c r="T28" s="11">
        <f t="shared" si="5"/>
        <v>115170</v>
      </c>
      <c r="U28" s="3">
        <v>526473</v>
      </c>
      <c r="V28" s="12">
        <f t="shared" si="6"/>
        <v>0.87898883551797891</v>
      </c>
      <c r="W28" s="10">
        <v>603444</v>
      </c>
      <c r="X28" s="10">
        <v>379621</v>
      </c>
      <c r="Y28" s="11">
        <f t="shared" si="7"/>
        <v>150612</v>
      </c>
      <c r="Z28" s="3">
        <v>530233</v>
      </c>
      <c r="AA28" s="12">
        <f t="shared" si="8"/>
        <v>0.8786780546330728</v>
      </c>
      <c r="AB28" s="10">
        <v>607620</v>
      </c>
      <c r="AC28" s="10">
        <v>354207</v>
      </c>
      <c r="AD28" s="11">
        <f t="shared" si="9"/>
        <v>179459</v>
      </c>
      <c r="AE28" s="3">
        <v>533666</v>
      </c>
      <c r="AF28" s="12">
        <f t="shared" si="10"/>
        <v>0.87828906224284919</v>
      </c>
      <c r="AG28" s="10">
        <v>610678</v>
      </c>
      <c r="AH28" s="10">
        <v>389631</v>
      </c>
      <c r="AI28" s="11">
        <f t="shared" si="11"/>
        <v>145990</v>
      </c>
      <c r="AJ28" s="3">
        <v>535621</v>
      </c>
      <c r="AK28" s="12">
        <f t="shared" si="12"/>
        <v>0.87709234653942014</v>
      </c>
      <c r="AL28" s="10">
        <v>612549</v>
      </c>
      <c r="AM28" s="10">
        <v>439168</v>
      </c>
      <c r="AN28" s="11">
        <f t="shared" si="13"/>
        <v>100039</v>
      </c>
      <c r="AO28" s="3">
        <v>539207</v>
      </c>
      <c r="AP28" s="12">
        <f t="shared" si="14"/>
        <v>0.88026753778065103</v>
      </c>
      <c r="AQ28" s="10">
        <v>611342</v>
      </c>
      <c r="AR28" s="10">
        <v>387577</v>
      </c>
      <c r="AS28" s="11">
        <f t="shared" si="15"/>
        <v>156271</v>
      </c>
      <c r="AT28" s="3">
        <v>543848</v>
      </c>
      <c r="AU28" s="12">
        <f t="shared" si="16"/>
        <v>0.88959698499366968</v>
      </c>
      <c r="AV28" s="10">
        <v>612426</v>
      </c>
      <c r="AW28" s="10">
        <v>452590</v>
      </c>
      <c r="AX28" s="11">
        <f t="shared" si="17"/>
        <v>93831</v>
      </c>
      <c r="AY28" s="3">
        <v>546421</v>
      </c>
      <c r="AZ28" s="12">
        <f t="shared" si="18"/>
        <v>0.89222371355886265</v>
      </c>
      <c r="BA28" s="10">
        <v>611319</v>
      </c>
      <c r="BB28" s="10">
        <v>415090</v>
      </c>
      <c r="BC28" s="11">
        <f t="shared" si="19"/>
        <v>134679</v>
      </c>
      <c r="BD28" s="3">
        <v>549769</v>
      </c>
      <c r="BE28" s="12">
        <f t="shared" si="20"/>
        <v>0.8993160690245191</v>
      </c>
      <c r="BF28" s="10">
        <v>611625</v>
      </c>
      <c r="BG28" s="10">
        <v>43625</v>
      </c>
      <c r="BH28" s="11">
        <f t="shared" si="21"/>
        <v>507350</v>
      </c>
      <c r="BI28" s="3">
        <v>550975</v>
      </c>
      <c r="BJ28" s="12">
        <f t="shared" si="22"/>
        <v>0.90083793173921933</v>
      </c>
    </row>
    <row r="29" spans="1:62" x14ac:dyDescent="0.3">
      <c r="A29" s="20">
        <v>20</v>
      </c>
      <c r="B29" s="9" t="s">
        <v>26</v>
      </c>
      <c r="C29" s="10">
        <v>147229</v>
      </c>
      <c r="D29" s="10">
        <v>77652</v>
      </c>
      <c r="E29" s="3">
        <v>127210</v>
      </c>
      <c r="F29" s="3">
        <v>127297</v>
      </c>
      <c r="G29" s="12">
        <f t="shared" si="0"/>
        <v>0.86461906282050416</v>
      </c>
      <c r="H29" s="10">
        <v>148553</v>
      </c>
      <c r="I29" s="10">
        <v>83688</v>
      </c>
      <c r="J29" s="11">
        <f t="shared" si="1"/>
        <v>44430</v>
      </c>
      <c r="K29" s="3">
        <v>128118</v>
      </c>
      <c r="L29" s="12">
        <f t="shared" si="2"/>
        <v>0.86243966799728045</v>
      </c>
      <c r="M29" s="10">
        <v>149800</v>
      </c>
      <c r="N29" s="10">
        <v>87020</v>
      </c>
      <c r="O29" s="11">
        <f t="shared" si="3"/>
        <v>41912</v>
      </c>
      <c r="P29" s="3">
        <v>128932</v>
      </c>
      <c r="Q29" s="12">
        <f t="shared" si="4"/>
        <v>0.86069425901201602</v>
      </c>
      <c r="R29" s="10">
        <v>151023</v>
      </c>
      <c r="S29" s="10">
        <v>94494</v>
      </c>
      <c r="T29" s="11">
        <f t="shared" si="5"/>
        <v>35746</v>
      </c>
      <c r="U29" s="3">
        <v>130240</v>
      </c>
      <c r="V29" s="12">
        <f t="shared" si="6"/>
        <v>0.86238519960535809</v>
      </c>
      <c r="W29" s="10">
        <v>151285</v>
      </c>
      <c r="X29" s="10">
        <v>84855</v>
      </c>
      <c r="Y29" s="11">
        <f t="shared" si="7"/>
        <v>46515</v>
      </c>
      <c r="Z29" s="3">
        <v>131370</v>
      </c>
      <c r="AA29" s="12">
        <f t="shared" si="8"/>
        <v>0.86836104042039863</v>
      </c>
      <c r="AB29" s="10">
        <v>151326</v>
      </c>
      <c r="AC29" s="10">
        <v>79658</v>
      </c>
      <c r="AD29" s="11">
        <f t="shared" si="9"/>
        <v>52815</v>
      </c>
      <c r="AE29" s="3">
        <v>132473</v>
      </c>
      <c r="AF29" s="12">
        <f t="shared" si="10"/>
        <v>0.87541466767112064</v>
      </c>
      <c r="AG29" s="10">
        <v>151778</v>
      </c>
      <c r="AH29" s="10">
        <v>87738</v>
      </c>
      <c r="AI29" s="11">
        <f t="shared" si="11"/>
        <v>46135</v>
      </c>
      <c r="AJ29" s="3">
        <v>133873</v>
      </c>
      <c r="AK29" s="12">
        <f t="shared" si="12"/>
        <v>0.88203165149099338</v>
      </c>
      <c r="AL29" s="10">
        <v>148226</v>
      </c>
      <c r="AM29" s="10">
        <v>105238</v>
      </c>
      <c r="AN29" s="11">
        <f t="shared" si="13"/>
        <v>29514</v>
      </c>
      <c r="AO29" s="3">
        <v>134752</v>
      </c>
      <c r="AP29" s="12">
        <f t="shared" si="14"/>
        <v>0.90909826885971423</v>
      </c>
      <c r="AQ29" s="10">
        <v>147404</v>
      </c>
      <c r="AR29" s="10">
        <v>91192</v>
      </c>
      <c r="AS29" s="11">
        <f t="shared" si="15"/>
        <v>44243</v>
      </c>
      <c r="AT29" s="3">
        <v>135435</v>
      </c>
      <c r="AU29" s="12">
        <f t="shared" si="16"/>
        <v>0.91880138937884992</v>
      </c>
      <c r="AV29" s="10">
        <v>144908</v>
      </c>
      <c r="AW29" s="10">
        <v>109238</v>
      </c>
      <c r="AX29" s="11">
        <f t="shared" si="17"/>
        <v>27054</v>
      </c>
      <c r="AY29" s="3">
        <v>136292</v>
      </c>
      <c r="AZ29" s="12">
        <f t="shared" si="18"/>
        <v>0.94054158500565876</v>
      </c>
      <c r="BA29" s="10">
        <v>142935</v>
      </c>
      <c r="BB29" s="10">
        <v>99175</v>
      </c>
      <c r="BC29" s="11">
        <f t="shared" si="19"/>
        <v>37909</v>
      </c>
      <c r="BD29" s="3">
        <v>137084</v>
      </c>
      <c r="BE29" s="12">
        <f t="shared" si="20"/>
        <v>0.95906530940637358</v>
      </c>
      <c r="BF29" s="10">
        <v>143561</v>
      </c>
      <c r="BG29" s="10">
        <v>12309</v>
      </c>
      <c r="BH29" s="11">
        <f t="shared" si="21"/>
        <v>125297</v>
      </c>
      <c r="BI29" s="3">
        <v>137606</v>
      </c>
      <c r="BJ29" s="12">
        <f t="shared" si="22"/>
        <v>0.95851937503918194</v>
      </c>
    </row>
    <row r="30" spans="1:62" x14ac:dyDescent="0.3">
      <c r="A30" s="20">
        <v>21</v>
      </c>
      <c r="B30" s="9" t="s">
        <v>27</v>
      </c>
      <c r="C30" s="10">
        <v>219024</v>
      </c>
      <c r="D30" s="10">
        <v>64540</v>
      </c>
      <c r="E30" s="3">
        <v>192952</v>
      </c>
      <c r="F30" s="3">
        <v>193171</v>
      </c>
      <c r="G30" s="12">
        <f t="shared" si="0"/>
        <v>0.88196270728322013</v>
      </c>
      <c r="H30" s="10">
        <v>219645</v>
      </c>
      <c r="I30" s="10">
        <v>127511</v>
      </c>
      <c r="J30" s="11">
        <f t="shared" si="1"/>
        <v>67237</v>
      </c>
      <c r="K30" s="3">
        <v>194748</v>
      </c>
      <c r="L30" s="12">
        <f t="shared" si="2"/>
        <v>0.88664891074233421</v>
      </c>
      <c r="M30" s="10">
        <v>219769</v>
      </c>
      <c r="N30" s="10">
        <v>133474</v>
      </c>
      <c r="O30" s="11">
        <f t="shared" si="3"/>
        <v>62228</v>
      </c>
      <c r="P30" s="3">
        <v>195702</v>
      </c>
      <c r="Q30" s="12">
        <f t="shared" si="4"/>
        <v>0.89048955949201203</v>
      </c>
      <c r="R30" s="10">
        <v>219972</v>
      </c>
      <c r="S30" s="10">
        <v>147275</v>
      </c>
      <c r="T30" s="11">
        <f t="shared" si="5"/>
        <v>50587</v>
      </c>
      <c r="U30" s="3">
        <v>197862</v>
      </c>
      <c r="V30" s="12">
        <f t="shared" si="6"/>
        <v>0.899487207462768</v>
      </c>
      <c r="W30" s="10">
        <v>220124</v>
      </c>
      <c r="X30" s="10">
        <v>132242</v>
      </c>
      <c r="Y30" s="11">
        <f t="shared" si="7"/>
        <v>67687</v>
      </c>
      <c r="Z30" s="3">
        <v>199929</v>
      </c>
      <c r="AA30" s="12">
        <f t="shared" si="8"/>
        <v>0.90825625556504519</v>
      </c>
      <c r="AB30" s="10">
        <v>220841</v>
      </c>
      <c r="AC30" s="10">
        <v>128709</v>
      </c>
      <c r="AD30" s="11">
        <f t="shared" si="9"/>
        <v>73361</v>
      </c>
      <c r="AE30" s="3">
        <v>202070</v>
      </c>
      <c r="AF30" s="12">
        <f t="shared" si="10"/>
        <v>0.91500219615017142</v>
      </c>
      <c r="AG30" s="10">
        <v>221583</v>
      </c>
      <c r="AH30" s="10">
        <v>139187</v>
      </c>
      <c r="AI30" s="11">
        <f t="shared" si="11"/>
        <v>65147</v>
      </c>
      <c r="AJ30" s="3">
        <v>204334</v>
      </c>
      <c r="AK30" s="12">
        <f t="shared" si="12"/>
        <v>0.922155580527387</v>
      </c>
      <c r="AL30" s="10">
        <v>221270</v>
      </c>
      <c r="AM30" s="10">
        <v>165288</v>
      </c>
      <c r="AN30" s="11">
        <f t="shared" si="13"/>
        <v>41879</v>
      </c>
      <c r="AO30" s="3">
        <v>207167</v>
      </c>
      <c r="AP30" s="12">
        <f t="shared" si="14"/>
        <v>0.93626338862023772</v>
      </c>
      <c r="AQ30" s="10">
        <v>222288</v>
      </c>
      <c r="AR30" s="10">
        <v>138828</v>
      </c>
      <c r="AS30" s="11">
        <f t="shared" si="15"/>
        <v>71380</v>
      </c>
      <c r="AT30" s="3">
        <v>210208</v>
      </c>
      <c r="AU30" s="12">
        <f t="shared" si="16"/>
        <v>0.94565608579860361</v>
      </c>
      <c r="AV30" s="10">
        <v>223595</v>
      </c>
      <c r="AW30" s="10">
        <v>167298</v>
      </c>
      <c r="AX30" s="11">
        <f t="shared" si="17"/>
        <v>44971</v>
      </c>
      <c r="AY30" s="3">
        <v>212269</v>
      </c>
      <c r="AZ30" s="12">
        <f t="shared" si="18"/>
        <v>0.94934591560634185</v>
      </c>
      <c r="BA30" s="10">
        <v>223670</v>
      </c>
      <c r="BB30" s="10">
        <v>158639</v>
      </c>
      <c r="BC30" s="11">
        <f t="shared" si="19"/>
        <v>55529</v>
      </c>
      <c r="BD30" s="3">
        <v>214168</v>
      </c>
      <c r="BE30" s="12">
        <f t="shared" si="20"/>
        <v>0.95751777171726205</v>
      </c>
      <c r="BF30" s="10">
        <v>223069</v>
      </c>
      <c r="BG30" s="10">
        <v>20647</v>
      </c>
      <c r="BH30" s="11">
        <f t="shared" si="21"/>
        <v>194013</v>
      </c>
      <c r="BI30" s="3">
        <v>214660</v>
      </c>
      <c r="BJ30" s="12">
        <f t="shared" si="22"/>
        <v>0.96230314387028226</v>
      </c>
    </row>
    <row r="31" spans="1:62" x14ac:dyDescent="0.3">
      <c r="A31" s="20">
        <v>22</v>
      </c>
      <c r="B31" s="9" t="s">
        <v>28</v>
      </c>
      <c r="C31" s="10">
        <v>102946</v>
      </c>
      <c r="D31" s="10">
        <v>49906</v>
      </c>
      <c r="E31" s="3">
        <v>95037</v>
      </c>
      <c r="F31" s="3">
        <v>95122</v>
      </c>
      <c r="G31" s="12">
        <f t="shared" si="0"/>
        <v>0.92399898976162265</v>
      </c>
      <c r="H31" s="10">
        <v>103880</v>
      </c>
      <c r="I31" s="10">
        <v>57001</v>
      </c>
      <c r="J31" s="11">
        <f t="shared" si="1"/>
        <v>38779</v>
      </c>
      <c r="K31" s="3">
        <v>95780</v>
      </c>
      <c r="L31" s="12">
        <f t="shared" si="2"/>
        <v>0.9220254139391606</v>
      </c>
      <c r="M31" s="10">
        <v>104773</v>
      </c>
      <c r="N31" s="10">
        <v>59363</v>
      </c>
      <c r="O31" s="11">
        <f t="shared" si="3"/>
        <v>37059</v>
      </c>
      <c r="P31" s="3">
        <v>96422</v>
      </c>
      <c r="Q31" s="12">
        <f t="shared" si="4"/>
        <v>0.92029435064377274</v>
      </c>
      <c r="R31" s="10">
        <v>106003</v>
      </c>
      <c r="S31" s="10">
        <v>65499</v>
      </c>
      <c r="T31" s="11">
        <f t="shared" si="5"/>
        <v>31797</v>
      </c>
      <c r="U31" s="3">
        <v>97296</v>
      </c>
      <c r="V31" s="12">
        <f t="shared" si="6"/>
        <v>0.91786081525994545</v>
      </c>
      <c r="W31" s="10">
        <v>106926</v>
      </c>
      <c r="X31" s="10">
        <v>59015</v>
      </c>
      <c r="Y31" s="11">
        <f t="shared" si="7"/>
        <v>38978</v>
      </c>
      <c r="Z31" s="3">
        <v>97993</v>
      </c>
      <c r="AA31" s="12">
        <f t="shared" si="8"/>
        <v>0.91645624076464094</v>
      </c>
      <c r="AB31" s="10">
        <v>107458</v>
      </c>
      <c r="AC31" s="10">
        <v>52920</v>
      </c>
      <c r="AD31" s="11">
        <f t="shared" si="9"/>
        <v>45799</v>
      </c>
      <c r="AE31" s="3">
        <v>98719</v>
      </c>
      <c r="AF31" s="12">
        <f t="shared" si="10"/>
        <v>0.91867520333525654</v>
      </c>
      <c r="AG31" s="10">
        <v>107867</v>
      </c>
      <c r="AH31" s="10">
        <v>58652</v>
      </c>
      <c r="AI31" s="11">
        <f t="shared" si="11"/>
        <v>40923</v>
      </c>
      <c r="AJ31" s="3">
        <v>99575</v>
      </c>
      <c r="AK31" s="12">
        <f t="shared" si="12"/>
        <v>0.92312755523005185</v>
      </c>
      <c r="AL31" s="10">
        <v>106953</v>
      </c>
      <c r="AM31" s="10">
        <v>74020</v>
      </c>
      <c r="AN31" s="11">
        <f t="shared" si="13"/>
        <v>26282</v>
      </c>
      <c r="AO31" s="3">
        <v>100302</v>
      </c>
      <c r="AP31" s="12">
        <f t="shared" si="14"/>
        <v>0.93781380606434606</v>
      </c>
      <c r="AQ31" s="10">
        <v>105112</v>
      </c>
      <c r="AR31" s="10">
        <v>62580</v>
      </c>
      <c r="AS31" s="11">
        <f t="shared" si="15"/>
        <v>38480</v>
      </c>
      <c r="AT31" s="3">
        <v>101060</v>
      </c>
      <c r="AU31" s="12">
        <f t="shared" si="16"/>
        <v>0.96145064312352535</v>
      </c>
      <c r="AV31" s="10">
        <v>104718</v>
      </c>
      <c r="AW31" s="10">
        <v>74888</v>
      </c>
      <c r="AX31" s="11">
        <f t="shared" si="17"/>
        <v>26652</v>
      </c>
      <c r="AY31" s="3">
        <v>101540</v>
      </c>
      <c r="AZ31" s="12">
        <f t="shared" si="18"/>
        <v>0.96965182681105444</v>
      </c>
      <c r="BA31" s="10">
        <v>105608</v>
      </c>
      <c r="BB31" s="10">
        <v>67198</v>
      </c>
      <c r="BC31" s="11">
        <f t="shared" si="19"/>
        <v>34949</v>
      </c>
      <c r="BD31" s="3">
        <v>102147</v>
      </c>
      <c r="BE31" s="12">
        <f t="shared" si="20"/>
        <v>0.967227861525642</v>
      </c>
      <c r="BF31" s="10">
        <v>107069</v>
      </c>
      <c r="BG31" s="10">
        <v>5624</v>
      </c>
      <c r="BH31" s="11">
        <f t="shared" si="21"/>
        <v>97172</v>
      </c>
      <c r="BI31" s="3">
        <v>102796</v>
      </c>
      <c r="BJ31" s="12">
        <f t="shared" si="22"/>
        <v>0.96009115617032004</v>
      </c>
    </row>
    <row r="32" spans="1:62" x14ac:dyDescent="0.3">
      <c r="A32" s="20">
        <v>23</v>
      </c>
      <c r="B32" s="9" t="s">
        <v>29</v>
      </c>
      <c r="C32" s="10">
        <v>348621</v>
      </c>
      <c r="D32" s="10">
        <v>201498</v>
      </c>
      <c r="E32" s="3">
        <v>322477</v>
      </c>
      <c r="F32" s="3">
        <v>322629</v>
      </c>
      <c r="G32" s="12">
        <f t="shared" si="0"/>
        <v>0.92544338981300611</v>
      </c>
      <c r="H32" s="10">
        <v>351108</v>
      </c>
      <c r="I32" s="10">
        <v>222954</v>
      </c>
      <c r="J32" s="11">
        <f t="shared" si="1"/>
        <v>101289</v>
      </c>
      <c r="K32" s="3">
        <v>324243</v>
      </c>
      <c r="L32" s="12">
        <f t="shared" si="2"/>
        <v>0.92348508151338049</v>
      </c>
      <c r="M32" s="10">
        <v>353290</v>
      </c>
      <c r="N32" s="10">
        <v>229174</v>
      </c>
      <c r="O32" s="11">
        <f t="shared" si="3"/>
        <v>96830</v>
      </c>
      <c r="P32" s="3">
        <v>326004</v>
      </c>
      <c r="Q32" s="12">
        <f t="shared" si="4"/>
        <v>0.92276599960372496</v>
      </c>
      <c r="R32" s="10">
        <v>356965</v>
      </c>
      <c r="S32" s="10">
        <v>245834</v>
      </c>
      <c r="T32" s="11">
        <f t="shared" si="5"/>
        <v>82600</v>
      </c>
      <c r="U32" s="3">
        <v>328434</v>
      </c>
      <c r="V32" s="12">
        <f t="shared" si="6"/>
        <v>0.92007339655148268</v>
      </c>
      <c r="W32" s="10">
        <v>358593</v>
      </c>
      <c r="X32" s="10">
        <v>225925</v>
      </c>
      <c r="Y32" s="11">
        <f t="shared" si="7"/>
        <v>104438</v>
      </c>
      <c r="Z32" s="3">
        <v>330363</v>
      </c>
      <c r="AA32" s="12">
        <f t="shared" si="8"/>
        <v>0.92127565234123365</v>
      </c>
      <c r="AB32" s="10">
        <v>359995</v>
      </c>
      <c r="AC32" s="10">
        <v>199446</v>
      </c>
      <c r="AD32" s="11">
        <f t="shared" si="9"/>
        <v>133118</v>
      </c>
      <c r="AE32" s="3">
        <v>332564</v>
      </c>
      <c r="AF32" s="12">
        <f t="shared" si="10"/>
        <v>0.9238017194683259</v>
      </c>
      <c r="AG32" s="10">
        <v>361943</v>
      </c>
      <c r="AH32" s="10">
        <v>219558</v>
      </c>
      <c r="AI32" s="11">
        <f t="shared" si="11"/>
        <v>115787</v>
      </c>
      <c r="AJ32" s="3">
        <v>335345</v>
      </c>
      <c r="AK32" s="12">
        <f t="shared" si="12"/>
        <v>0.92651329076677824</v>
      </c>
      <c r="AL32" s="10">
        <v>362211</v>
      </c>
      <c r="AM32" s="10">
        <v>274737</v>
      </c>
      <c r="AN32" s="11">
        <f t="shared" si="13"/>
        <v>63068</v>
      </c>
      <c r="AO32" s="3">
        <v>337805</v>
      </c>
      <c r="AP32" s="12">
        <f t="shared" si="14"/>
        <v>0.93261938483370188</v>
      </c>
      <c r="AQ32" s="10">
        <v>354752</v>
      </c>
      <c r="AR32" s="10">
        <v>232997</v>
      </c>
      <c r="AS32" s="11">
        <f t="shared" si="15"/>
        <v>107062</v>
      </c>
      <c r="AT32" s="3">
        <v>340059</v>
      </c>
      <c r="AU32" s="12">
        <f t="shared" si="16"/>
        <v>0.95858233357387701</v>
      </c>
      <c r="AV32" s="10">
        <v>347413</v>
      </c>
      <c r="AW32" s="10">
        <v>278879</v>
      </c>
      <c r="AX32" s="11">
        <f t="shared" si="17"/>
        <v>63215</v>
      </c>
      <c r="AY32" s="3">
        <v>342094</v>
      </c>
      <c r="AZ32" s="12">
        <f t="shared" si="18"/>
        <v>0.984689692095575</v>
      </c>
      <c r="BA32" s="10">
        <v>348074</v>
      </c>
      <c r="BB32" s="10">
        <v>267788</v>
      </c>
      <c r="BC32" s="11">
        <f t="shared" si="19"/>
        <v>76528</v>
      </c>
      <c r="BD32" s="3">
        <v>344316</v>
      </c>
      <c r="BE32" s="12">
        <f t="shared" si="20"/>
        <v>0.98920344524440207</v>
      </c>
      <c r="BF32" s="10">
        <v>351474</v>
      </c>
      <c r="BG32" s="10">
        <v>15342</v>
      </c>
      <c r="BH32" s="11">
        <f t="shared" si="21"/>
        <v>330990</v>
      </c>
      <c r="BI32" s="3">
        <v>346332</v>
      </c>
      <c r="BJ32" s="12">
        <f t="shared" si="22"/>
        <v>0.98537018385428221</v>
      </c>
    </row>
    <row r="33" spans="1:62" x14ac:dyDescent="0.3">
      <c r="A33" s="20">
        <v>24</v>
      </c>
      <c r="B33" s="9" t="s">
        <v>30</v>
      </c>
      <c r="C33" s="10">
        <v>869012</v>
      </c>
      <c r="D33" s="10">
        <v>596606</v>
      </c>
      <c r="E33" s="3">
        <v>798628</v>
      </c>
      <c r="F33" s="3">
        <v>798881</v>
      </c>
      <c r="G33" s="12">
        <f t="shared" si="0"/>
        <v>0.91929800739230294</v>
      </c>
      <c r="H33" s="10">
        <v>871303</v>
      </c>
      <c r="I33" s="10">
        <v>632635</v>
      </c>
      <c r="J33" s="11">
        <f t="shared" si="1"/>
        <v>172525</v>
      </c>
      <c r="K33" s="3">
        <v>805160</v>
      </c>
      <c r="L33" s="12">
        <f t="shared" si="2"/>
        <v>0.92408725781961043</v>
      </c>
      <c r="M33" s="10">
        <v>877062</v>
      </c>
      <c r="N33" s="10">
        <v>648228</v>
      </c>
      <c r="O33" s="11">
        <f t="shared" si="3"/>
        <v>162011</v>
      </c>
      <c r="P33" s="3">
        <v>810239</v>
      </c>
      <c r="Q33" s="12">
        <f t="shared" si="4"/>
        <v>0.9238104033694311</v>
      </c>
      <c r="R33" s="10">
        <v>881026</v>
      </c>
      <c r="S33" s="10">
        <v>679311</v>
      </c>
      <c r="T33" s="11">
        <f t="shared" si="5"/>
        <v>137076</v>
      </c>
      <c r="U33" s="3">
        <v>816387</v>
      </c>
      <c r="V33" s="12">
        <f t="shared" si="6"/>
        <v>0.9266321311743354</v>
      </c>
      <c r="W33" s="10">
        <v>884173</v>
      </c>
      <c r="X33" s="10">
        <v>643818</v>
      </c>
      <c r="Y33" s="11">
        <f t="shared" si="7"/>
        <v>177142</v>
      </c>
      <c r="Z33" s="3">
        <v>820960</v>
      </c>
      <c r="AA33" s="12">
        <f t="shared" si="8"/>
        <v>0.92850607290654652</v>
      </c>
      <c r="AB33" s="10">
        <v>884817</v>
      </c>
      <c r="AC33" s="10">
        <v>603355</v>
      </c>
      <c r="AD33" s="11">
        <f t="shared" si="9"/>
        <v>222681</v>
      </c>
      <c r="AE33" s="3">
        <v>826036</v>
      </c>
      <c r="AF33" s="12">
        <f t="shared" si="10"/>
        <v>0.93356705397839324</v>
      </c>
      <c r="AG33" s="10">
        <v>888089</v>
      </c>
      <c r="AH33" s="10">
        <v>620614</v>
      </c>
      <c r="AI33" s="11">
        <f t="shared" si="11"/>
        <v>209164</v>
      </c>
      <c r="AJ33" s="3">
        <v>829778</v>
      </c>
      <c r="AK33" s="12">
        <f t="shared" si="12"/>
        <v>0.93434104014349917</v>
      </c>
      <c r="AL33" s="10">
        <v>887648</v>
      </c>
      <c r="AM33" s="10">
        <v>722699</v>
      </c>
      <c r="AN33" s="11">
        <f t="shared" si="13"/>
        <v>110962</v>
      </c>
      <c r="AO33" s="3">
        <v>833661</v>
      </c>
      <c r="AP33" s="12">
        <f t="shared" si="14"/>
        <v>0.93917971988896498</v>
      </c>
      <c r="AQ33" s="10">
        <v>877839</v>
      </c>
      <c r="AR33" s="10">
        <v>631577</v>
      </c>
      <c r="AS33" s="11">
        <f t="shared" si="15"/>
        <v>210342</v>
      </c>
      <c r="AT33" s="3">
        <v>841919</v>
      </c>
      <c r="AU33" s="12">
        <f t="shared" si="16"/>
        <v>0.95908133496005532</v>
      </c>
      <c r="AV33" s="10">
        <v>881788</v>
      </c>
      <c r="AW33" s="10">
        <v>726176</v>
      </c>
      <c r="AX33" s="11">
        <f t="shared" si="17"/>
        <v>121435</v>
      </c>
      <c r="AY33" s="3">
        <v>847611</v>
      </c>
      <c r="AZ33" s="12">
        <f t="shared" si="18"/>
        <v>0.96124125073146838</v>
      </c>
      <c r="BA33" s="10">
        <v>886741</v>
      </c>
      <c r="BB33" s="10">
        <v>714326</v>
      </c>
      <c r="BC33" s="11">
        <f t="shared" si="19"/>
        <v>139178</v>
      </c>
      <c r="BD33" s="3">
        <v>853504</v>
      </c>
      <c r="BE33" s="12">
        <f t="shared" si="20"/>
        <v>0.96251780395854036</v>
      </c>
      <c r="BF33" s="10">
        <v>893063</v>
      </c>
      <c r="BG33" s="10">
        <v>23123</v>
      </c>
      <c r="BH33" s="11">
        <f t="shared" si="21"/>
        <v>834014</v>
      </c>
      <c r="BI33" s="3">
        <v>857137</v>
      </c>
      <c r="BJ33" s="12">
        <f t="shared" si="22"/>
        <v>0.95977215493195889</v>
      </c>
    </row>
    <row r="34" spans="1:62" x14ac:dyDescent="0.3">
      <c r="A34" s="20">
        <v>25</v>
      </c>
      <c r="B34" s="9" t="s">
        <v>31</v>
      </c>
      <c r="C34" s="10">
        <v>6022</v>
      </c>
      <c r="D34" s="10">
        <v>3542</v>
      </c>
      <c r="E34" s="3">
        <v>5463</v>
      </c>
      <c r="F34" s="3">
        <v>5467</v>
      </c>
      <c r="G34" s="12">
        <f t="shared" si="0"/>
        <v>0.90783792759880444</v>
      </c>
      <c r="H34" s="10">
        <v>5992</v>
      </c>
      <c r="I34" s="10">
        <v>3757</v>
      </c>
      <c r="J34" s="11">
        <f t="shared" si="1"/>
        <v>1721</v>
      </c>
      <c r="K34" s="3">
        <v>5478</v>
      </c>
      <c r="L34" s="12">
        <f t="shared" si="2"/>
        <v>0.91421895861148195</v>
      </c>
      <c r="M34" s="10">
        <v>5816</v>
      </c>
      <c r="N34" s="10">
        <v>3782</v>
      </c>
      <c r="O34" s="11">
        <f t="shared" si="3"/>
        <v>1695</v>
      </c>
      <c r="P34" s="3">
        <v>5477</v>
      </c>
      <c r="Q34" s="12">
        <f t="shared" si="4"/>
        <v>0.94171251719394777</v>
      </c>
      <c r="R34" s="10">
        <v>5813</v>
      </c>
      <c r="S34" s="10">
        <v>4026</v>
      </c>
      <c r="T34" s="11">
        <f t="shared" si="5"/>
        <v>1452</v>
      </c>
      <c r="U34" s="3">
        <v>5478</v>
      </c>
      <c r="V34" s="12">
        <f t="shared" si="6"/>
        <v>0.94237054876999826</v>
      </c>
      <c r="W34" s="10">
        <v>5830</v>
      </c>
      <c r="X34" s="10">
        <v>3745</v>
      </c>
      <c r="Y34" s="11">
        <f t="shared" si="7"/>
        <v>1727</v>
      </c>
      <c r="Z34" s="3">
        <v>5472</v>
      </c>
      <c r="AA34" s="12">
        <f t="shared" si="8"/>
        <v>0.93859348198970838</v>
      </c>
      <c r="AB34" s="10">
        <v>5835</v>
      </c>
      <c r="AC34" s="10">
        <v>3396</v>
      </c>
      <c r="AD34" s="11">
        <f t="shared" si="9"/>
        <v>2074</v>
      </c>
      <c r="AE34" s="3">
        <v>5470</v>
      </c>
      <c r="AF34" s="12">
        <f t="shared" si="10"/>
        <v>0.9374464438731791</v>
      </c>
      <c r="AG34" s="10">
        <v>5838</v>
      </c>
      <c r="AH34" s="10">
        <v>3592</v>
      </c>
      <c r="AI34" s="11">
        <f t="shared" si="11"/>
        <v>1892</v>
      </c>
      <c r="AJ34" s="3">
        <v>5484</v>
      </c>
      <c r="AK34" s="12">
        <f t="shared" si="12"/>
        <v>0.93936279547790336</v>
      </c>
      <c r="AL34" s="10">
        <v>5842</v>
      </c>
      <c r="AM34" s="10">
        <v>4248</v>
      </c>
      <c r="AN34" s="11">
        <f t="shared" si="13"/>
        <v>1265</v>
      </c>
      <c r="AO34" s="3">
        <v>5513</v>
      </c>
      <c r="AP34" s="12">
        <f t="shared" si="14"/>
        <v>0.94368366997603559</v>
      </c>
      <c r="AQ34" s="10">
        <v>5767</v>
      </c>
      <c r="AR34" s="10">
        <v>3611</v>
      </c>
      <c r="AS34" s="11">
        <f t="shared" si="15"/>
        <v>1908</v>
      </c>
      <c r="AT34" s="3">
        <v>5519</v>
      </c>
      <c r="AU34" s="12">
        <f t="shared" si="16"/>
        <v>0.95699670539275183</v>
      </c>
      <c r="AV34" s="10">
        <v>5807</v>
      </c>
      <c r="AW34" s="10">
        <v>4195</v>
      </c>
      <c r="AX34" s="11">
        <f t="shared" si="17"/>
        <v>1330</v>
      </c>
      <c r="AY34" s="3">
        <v>5525</v>
      </c>
      <c r="AZ34" s="12">
        <f t="shared" si="18"/>
        <v>0.95143791975202341</v>
      </c>
      <c r="BA34" s="10">
        <v>5809</v>
      </c>
      <c r="BB34" s="10">
        <v>4169</v>
      </c>
      <c r="BC34" s="11">
        <f t="shared" si="19"/>
        <v>1347</v>
      </c>
      <c r="BD34" s="3">
        <v>5516</v>
      </c>
      <c r="BE34" s="12">
        <f t="shared" si="20"/>
        <v>0.94956102599414705</v>
      </c>
      <c r="BF34" s="10">
        <v>5841</v>
      </c>
      <c r="BG34" s="10">
        <v>226</v>
      </c>
      <c r="BH34" s="11">
        <f t="shared" si="21"/>
        <v>5303</v>
      </c>
      <c r="BI34" s="3">
        <v>5529</v>
      </c>
      <c r="BJ34" s="12">
        <f t="shared" si="22"/>
        <v>0.94658448895737035</v>
      </c>
    </row>
    <row r="35" spans="1:62" x14ac:dyDescent="0.3">
      <c r="A35" s="20">
        <v>26</v>
      </c>
      <c r="B35" s="9" t="s">
        <v>32</v>
      </c>
      <c r="C35" s="10">
        <v>8237</v>
      </c>
      <c r="D35" s="10">
        <v>4745</v>
      </c>
      <c r="E35" s="3">
        <v>7383</v>
      </c>
      <c r="F35" s="3">
        <v>7386</v>
      </c>
      <c r="G35" s="12">
        <f t="shared" si="0"/>
        <v>0.89668568653636027</v>
      </c>
      <c r="H35" s="10">
        <v>8305</v>
      </c>
      <c r="I35" s="10">
        <v>5064</v>
      </c>
      <c r="J35" s="11">
        <f t="shared" si="1"/>
        <v>2375</v>
      </c>
      <c r="K35" s="3">
        <v>7439</v>
      </c>
      <c r="L35" s="12">
        <f t="shared" si="2"/>
        <v>0.89572546658639374</v>
      </c>
      <c r="M35" s="10">
        <v>8364</v>
      </c>
      <c r="N35" s="10">
        <v>5257</v>
      </c>
      <c r="O35" s="11">
        <f t="shared" si="3"/>
        <v>2212</v>
      </c>
      <c r="P35" s="3">
        <v>7469</v>
      </c>
      <c r="Q35" s="12">
        <f t="shared" si="4"/>
        <v>0.89299378287900522</v>
      </c>
      <c r="R35" s="10">
        <v>8417</v>
      </c>
      <c r="S35" s="10">
        <v>5558</v>
      </c>
      <c r="T35" s="11">
        <f t="shared" si="5"/>
        <v>1953</v>
      </c>
      <c r="U35" s="3">
        <v>7511</v>
      </c>
      <c r="V35" s="12">
        <f t="shared" si="6"/>
        <v>0.8923606985861946</v>
      </c>
      <c r="W35" s="10">
        <v>8451</v>
      </c>
      <c r="X35" s="10">
        <v>5151</v>
      </c>
      <c r="Y35" s="11">
        <f t="shared" si="7"/>
        <v>2419</v>
      </c>
      <c r="Z35" s="3">
        <v>7570</v>
      </c>
      <c r="AA35" s="12">
        <f t="shared" si="8"/>
        <v>0.89575198201396289</v>
      </c>
      <c r="AB35" s="10">
        <v>8395</v>
      </c>
      <c r="AC35" s="10">
        <v>4711</v>
      </c>
      <c r="AD35" s="11">
        <f t="shared" si="9"/>
        <v>2878</v>
      </c>
      <c r="AE35" s="3">
        <v>7589</v>
      </c>
      <c r="AF35" s="12">
        <f t="shared" si="10"/>
        <v>0.90399047051816561</v>
      </c>
      <c r="AG35" s="10">
        <v>8265</v>
      </c>
      <c r="AH35" s="10">
        <v>4853</v>
      </c>
      <c r="AI35" s="11">
        <f t="shared" si="11"/>
        <v>2736</v>
      </c>
      <c r="AJ35" s="3">
        <v>7589</v>
      </c>
      <c r="AK35" s="12">
        <f t="shared" si="12"/>
        <v>0.91820931639443437</v>
      </c>
      <c r="AL35" s="10">
        <v>8043</v>
      </c>
      <c r="AM35" s="10">
        <v>5864</v>
      </c>
      <c r="AN35" s="11">
        <f t="shared" si="13"/>
        <v>1713</v>
      </c>
      <c r="AO35" s="3">
        <v>7577</v>
      </c>
      <c r="AP35" s="12">
        <f t="shared" si="14"/>
        <v>0.94206141986820835</v>
      </c>
      <c r="AQ35" s="10">
        <v>7976</v>
      </c>
      <c r="AR35" s="10">
        <v>4945</v>
      </c>
      <c r="AS35" s="11">
        <f t="shared" si="15"/>
        <v>2664</v>
      </c>
      <c r="AT35" s="3">
        <v>7609</v>
      </c>
      <c r="AU35" s="12">
        <f t="shared" si="16"/>
        <v>0.95398696088264789</v>
      </c>
      <c r="AV35" s="10">
        <v>8080</v>
      </c>
      <c r="AW35" s="10">
        <v>5892</v>
      </c>
      <c r="AX35" s="11">
        <f t="shared" si="17"/>
        <v>1765</v>
      </c>
      <c r="AY35" s="3">
        <v>7657</v>
      </c>
      <c r="AZ35" s="12">
        <f t="shared" si="18"/>
        <v>0.94764851485148516</v>
      </c>
      <c r="BA35" s="10">
        <v>8172</v>
      </c>
      <c r="BB35" s="10">
        <v>5823</v>
      </c>
      <c r="BC35" s="11">
        <f t="shared" si="19"/>
        <v>1897</v>
      </c>
      <c r="BD35" s="3">
        <v>7720</v>
      </c>
      <c r="BE35" s="12">
        <f t="shared" si="20"/>
        <v>0.94468918257464518</v>
      </c>
      <c r="BF35" s="10">
        <v>8238</v>
      </c>
      <c r="BG35" s="10">
        <v>361</v>
      </c>
      <c r="BH35" s="11">
        <f t="shared" si="21"/>
        <v>7387</v>
      </c>
      <c r="BI35" s="3">
        <v>7748</v>
      </c>
      <c r="BJ35" s="12">
        <f t="shared" si="22"/>
        <v>0.94051954357853851</v>
      </c>
    </row>
    <row r="36" spans="1:62" x14ac:dyDescent="0.3">
      <c r="A36" s="20">
        <v>27</v>
      </c>
      <c r="B36" s="9" t="s">
        <v>33</v>
      </c>
      <c r="C36" s="10">
        <v>1389687</v>
      </c>
      <c r="D36" s="10">
        <v>800820</v>
      </c>
      <c r="E36" s="3">
        <v>1213488</v>
      </c>
      <c r="F36" s="3">
        <v>1214469</v>
      </c>
      <c r="G36" s="12">
        <f t="shared" si="0"/>
        <v>0.87391549320098694</v>
      </c>
      <c r="H36" s="10">
        <v>1398033</v>
      </c>
      <c r="I36" s="10">
        <v>845165</v>
      </c>
      <c r="J36" s="11">
        <f t="shared" si="1"/>
        <v>374683</v>
      </c>
      <c r="K36" s="3">
        <v>1219848</v>
      </c>
      <c r="L36" s="12">
        <f t="shared" si="2"/>
        <v>0.87254592702747358</v>
      </c>
      <c r="M36" s="10">
        <v>1405014</v>
      </c>
      <c r="N36" s="10">
        <v>868912</v>
      </c>
      <c r="O36" s="11">
        <f t="shared" si="3"/>
        <v>355862</v>
      </c>
      <c r="P36" s="3">
        <v>1224774</v>
      </c>
      <c r="Q36" s="12">
        <f t="shared" si="4"/>
        <v>0.87171658076004932</v>
      </c>
      <c r="R36" s="10">
        <v>1409335</v>
      </c>
      <c r="S36" s="10">
        <v>911723</v>
      </c>
      <c r="T36" s="11">
        <f t="shared" si="5"/>
        <v>320701</v>
      </c>
      <c r="U36" s="3">
        <v>1232424</v>
      </c>
      <c r="V36" s="12">
        <f t="shared" si="6"/>
        <v>0.87447200275307146</v>
      </c>
      <c r="W36" s="10">
        <v>1413902</v>
      </c>
      <c r="X36" s="10">
        <v>853535</v>
      </c>
      <c r="Y36" s="11">
        <f t="shared" si="7"/>
        <v>384051</v>
      </c>
      <c r="Z36" s="3">
        <v>1237586</v>
      </c>
      <c r="AA36" s="12">
        <f t="shared" si="8"/>
        <v>0.87529828800015841</v>
      </c>
      <c r="AB36" s="10">
        <v>1416919</v>
      </c>
      <c r="AC36" s="10">
        <v>768333</v>
      </c>
      <c r="AD36" s="11">
        <f t="shared" si="9"/>
        <v>476499</v>
      </c>
      <c r="AE36" s="3">
        <v>1244832</v>
      </c>
      <c r="AF36" s="12">
        <f t="shared" si="10"/>
        <v>0.87854845619262645</v>
      </c>
      <c r="AG36" s="10">
        <v>1419473</v>
      </c>
      <c r="AH36" s="10">
        <v>836609</v>
      </c>
      <c r="AI36" s="11">
        <f t="shared" si="11"/>
        <v>414512</v>
      </c>
      <c r="AJ36" s="3">
        <v>1251121</v>
      </c>
      <c r="AK36" s="12">
        <f t="shared" si="12"/>
        <v>0.88139823723311395</v>
      </c>
      <c r="AL36" s="10">
        <v>1415447</v>
      </c>
      <c r="AM36" s="10">
        <v>998265</v>
      </c>
      <c r="AN36" s="11">
        <f t="shared" si="13"/>
        <v>261124</v>
      </c>
      <c r="AO36" s="3">
        <v>1259389</v>
      </c>
      <c r="AP36" s="12">
        <f t="shared" si="14"/>
        <v>0.88974648997807759</v>
      </c>
      <c r="AQ36" s="10">
        <v>1379433</v>
      </c>
      <c r="AR36" s="10">
        <v>856173</v>
      </c>
      <c r="AS36" s="11">
        <f t="shared" si="15"/>
        <v>413109</v>
      </c>
      <c r="AT36" s="3">
        <v>1269282</v>
      </c>
      <c r="AU36" s="12">
        <f t="shared" si="16"/>
        <v>0.92014762587236931</v>
      </c>
      <c r="AV36" s="10">
        <v>1370415</v>
      </c>
      <c r="AW36" s="10">
        <v>1000210</v>
      </c>
      <c r="AX36" s="11">
        <f t="shared" si="17"/>
        <v>275217</v>
      </c>
      <c r="AY36" s="3">
        <v>1275427</v>
      </c>
      <c r="AZ36" s="12">
        <f t="shared" si="18"/>
        <v>0.93068668979834579</v>
      </c>
      <c r="BA36" s="10">
        <v>1375391</v>
      </c>
      <c r="BB36" s="10">
        <v>943366</v>
      </c>
      <c r="BC36" s="11">
        <f t="shared" si="19"/>
        <v>338583</v>
      </c>
      <c r="BD36" s="3">
        <v>1281949</v>
      </c>
      <c r="BE36" s="12">
        <f t="shared" si="20"/>
        <v>0.93206150105679042</v>
      </c>
      <c r="BF36" s="10">
        <v>1380633</v>
      </c>
      <c r="BG36" s="10">
        <v>64155</v>
      </c>
      <c r="BH36" s="11">
        <f t="shared" si="21"/>
        <v>1217313</v>
      </c>
      <c r="BI36" s="3">
        <v>1281468</v>
      </c>
      <c r="BJ36" s="12">
        <f t="shared" si="22"/>
        <v>0.92817425050683278</v>
      </c>
    </row>
    <row r="37" spans="1:62" x14ac:dyDescent="0.3">
      <c r="A37" s="20">
        <v>29</v>
      </c>
      <c r="B37" s="9" t="s">
        <v>34</v>
      </c>
      <c r="C37" s="10">
        <v>708544</v>
      </c>
      <c r="D37" s="10">
        <v>437287</v>
      </c>
      <c r="E37" s="3">
        <v>627302</v>
      </c>
      <c r="F37" s="3">
        <v>627974</v>
      </c>
      <c r="G37" s="12">
        <f t="shared" si="0"/>
        <v>0.88628793695239816</v>
      </c>
      <c r="H37" s="10">
        <v>707340</v>
      </c>
      <c r="I37" s="10">
        <v>464963</v>
      </c>
      <c r="J37" s="11">
        <f t="shared" si="1"/>
        <v>167238</v>
      </c>
      <c r="K37" s="3">
        <v>632201</v>
      </c>
      <c r="L37" s="12">
        <f t="shared" si="2"/>
        <v>0.89377244323804672</v>
      </c>
      <c r="M37" s="10">
        <v>710827</v>
      </c>
      <c r="N37" s="10">
        <v>476857</v>
      </c>
      <c r="O37" s="11">
        <f t="shared" si="3"/>
        <v>160118</v>
      </c>
      <c r="P37" s="3">
        <v>636975</v>
      </c>
      <c r="Q37" s="12">
        <f t="shared" si="4"/>
        <v>0.89610411534733492</v>
      </c>
      <c r="R37" s="10">
        <v>713357</v>
      </c>
      <c r="S37" s="10">
        <v>506954</v>
      </c>
      <c r="T37" s="11">
        <f t="shared" si="5"/>
        <v>137619</v>
      </c>
      <c r="U37" s="3">
        <v>644573</v>
      </c>
      <c r="V37" s="12">
        <f t="shared" si="6"/>
        <v>0.90357703085551833</v>
      </c>
      <c r="W37" s="10">
        <v>709504</v>
      </c>
      <c r="X37" s="10">
        <v>479455</v>
      </c>
      <c r="Y37" s="11">
        <f t="shared" si="7"/>
        <v>170683</v>
      </c>
      <c r="Z37" s="3">
        <v>650138</v>
      </c>
      <c r="AA37" s="12">
        <f t="shared" si="8"/>
        <v>0.91632746256539777</v>
      </c>
      <c r="AB37" s="10">
        <v>709880</v>
      </c>
      <c r="AC37" s="10">
        <v>434314</v>
      </c>
      <c r="AD37" s="11">
        <f t="shared" si="9"/>
        <v>220789</v>
      </c>
      <c r="AE37" s="3">
        <v>655103</v>
      </c>
      <c r="AF37" s="12">
        <f t="shared" si="10"/>
        <v>0.9228362540147631</v>
      </c>
      <c r="AG37" s="10">
        <v>716349</v>
      </c>
      <c r="AH37" s="10">
        <v>466546</v>
      </c>
      <c r="AI37" s="11">
        <f t="shared" si="11"/>
        <v>195316</v>
      </c>
      <c r="AJ37" s="3">
        <v>661862</v>
      </c>
      <c r="AK37" s="12">
        <f t="shared" si="12"/>
        <v>0.92393791294466798</v>
      </c>
      <c r="AL37" s="10">
        <v>718037</v>
      </c>
      <c r="AM37" s="10">
        <v>552970</v>
      </c>
      <c r="AN37" s="11">
        <f t="shared" si="13"/>
        <v>115182</v>
      </c>
      <c r="AO37" s="3">
        <v>668152</v>
      </c>
      <c r="AP37" s="12">
        <f t="shared" si="14"/>
        <v>0.93052586426604755</v>
      </c>
      <c r="AQ37" s="10">
        <v>723207</v>
      </c>
      <c r="AR37" s="10">
        <v>474443</v>
      </c>
      <c r="AS37" s="11">
        <f t="shared" si="15"/>
        <v>201329</v>
      </c>
      <c r="AT37" s="3">
        <v>675772</v>
      </c>
      <c r="AU37" s="12">
        <f t="shared" si="16"/>
        <v>0.93441020344106185</v>
      </c>
      <c r="AV37" s="10">
        <v>726054</v>
      </c>
      <c r="AW37" s="10">
        <v>556486</v>
      </c>
      <c r="AX37" s="11">
        <f t="shared" si="17"/>
        <v>124586</v>
      </c>
      <c r="AY37" s="3">
        <v>681072</v>
      </c>
      <c r="AZ37" s="12">
        <f t="shared" si="18"/>
        <v>0.93804593046798168</v>
      </c>
      <c r="BA37" s="10">
        <v>731853</v>
      </c>
      <c r="BB37" s="10">
        <v>549635</v>
      </c>
      <c r="BC37" s="11">
        <f t="shared" si="19"/>
        <v>136747</v>
      </c>
      <c r="BD37" s="3">
        <v>686382</v>
      </c>
      <c r="BE37" s="12">
        <f t="shared" si="20"/>
        <v>0.9378686703477338</v>
      </c>
      <c r="BF37" s="10">
        <v>734800</v>
      </c>
      <c r="BG37" s="10">
        <v>55406</v>
      </c>
      <c r="BH37" s="11">
        <f t="shared" si="21"/>
        <v>630838</v>
      </c>
      <c r="BI37" s="3">
        <v>686244</v>
      </c>
      <c r="BJ37" s="12">
        <f t="shared" si="22"/>
        <v>0.93391943385955367</v>
      </c>
    </row>
    <row r="38" spans="1:62" x14ac:dyDescent="0.3">
      <c r="A38" s="20">
        <v>30</v>
      </c>
      <c r="B38" s="9" t="s">
        <v>35</v>
      </c>
      <c r="C38" s="10">
        <v>33353</v>
      </c>
      <c r="D38" s="10">
        <v>17206</v>
      </c>
      <c r="E38" s="3">
        <v>28561</v>
      </c>
      <c r="F38" s="3">
        <v>28619</v>
      </c>
      <c r="G38" s="12">
        <f t="shared" si="0"/>
        <v>0.85806374239198868</v>
      </c>
      <c r="H38" s="10">
        <v>33480</v>
      </c>
      <c r="I38" s="10">
        <v>18371</v>
      </c>
      <c r="J38" s="11">
        <f t="shared" si="1"/>
        <v>10370</v>
      </c>
      <c r="K38" s="3">
        <v>28741</v>
      </c>
      <c r="L38" s="12">
        <f t="shared" si="2"/>
        <v>0.85845280764635601</v>
      </c>
      <c r="M38" s="10">
        <v>33757</v>
      </c>
      <c r="N38" s="10">
        <v>18735</v>
      </c>
      <c r="O38" s="11">
        <f t="shared" si="3"/>
        <v>10140</v>
      </c>
      <c r="P38" s="3">
        <v>28875</v>
      </c>
      <c r="Q38" s="12">
        <f t="shared" si="4"/>
        <v>0.85537814379239863</v>
      </c>
      <c r="R38" s="10">
        <v>34090</v>
      </c>
      <c r="S38" s="10">
        <v>19770</v>
      </c>
      <c r="T38" s="11">
        <f t="shared" si="5"/>
        <v>9321</v>
      </c>
      <c r="U38" s="3">
        <v>29091</v>
      </c>
      <c r="V38" s="12">
        <f t="shared" si="6"/>
        <v>0.85335875623349955</v>
      </c>
      <c r="W38" s="10">
        <v>34201</v>
      </c>
      <c r="X38" s="10">
        <v>18287</v>
      </c>
      <c r="Y38" s="11">
        <f t="shared" si="7"/>
        <v>10932</v>
      </c>
      <c r="Z38" s="3">
        <v>29219</v>
      </c>
      <c r="AA38" s="12">
        <f t="shared" si="8"/>
        <v>0.85433174468582795</v>
      </c>
      <c r="AB38" s="10">
        <v>34397</v>
      </c>
      <c r="AC38" s="10">
        <v>16764</v>
      </c>
      <c r="AD38" s="11">
        <f t="shared" si="9"/>
        <v>12621</v>
      </c>
      <c r="AE38" s="3">
        <v>29385</v>
      </c>
      <c r="AF38" s="12">
        <f t="shared" si="10"/>
        <v>0.85428961828066396</v>
      </c>
      <c r="AG38" s="10">
        <v>34642</v>
      </c>
      <c r="AH38" s="10">
        <v>18296</v>
      </c>
      <c r="AI38" s="11">
        <f t="shared" si="11"/>
        <v>11340</v>
      </c>
      <c r="AJ38" s="3">
        <v>29636</v>
      </c>
      <c r="AK38" s="12">
        <f t="shared" si="12"/>
        <v>0.85549333179377629</v>
      </c>
      <c r="AL38" s="10">
        <v>34765</v>
      </c>
      <c r="AM38" s="10">
        <v>21249</v>
      </c>
      <c r="AN38" s="11">
        <f t="shared" si="13"/>
        <v>8566</v>
      </c>
      <c r="AO38" s="3">
        <v>29815</v>
      </c>
      <c r="AP38" s="12">
        <f t="shared" si="14"/>
        <v>0.85761541780526396</v>
      </c>
      <c r="AQ38" s="10">
        <v>35044</v>
      </c>
      <c r="AR38" s="10">
        <v>18472</v>
      </c>
      <c r="AS38" s="11">
        <f t="shared" si="15"/>
        <v>11638</v>
      </c>
      <c r="AT38" s="3">
        <v>30110</v>
      </c>
      <c r="AU38" s="12">
        <f t="shared" si="16"/>
        <v>0.85920557014039489</v>
      </c>
      <c r="AV38" s="10">
        <v>35365</v>
      </c>
      <c r="AW38" s="10">
        <v>21905</v>
      </c>
      <c r="AX38" s="11">
        <f t="shared" si="17"/>
        <v>8444</v>
      </c>
      <c r="AY38" s="3">
        <v>30349</v>
      </c>
      <c r="AZ38" s="12">
        <f t="shared" si="18"/>
        <v>0.85816485225505446</v>
      </c>
      <c r="BA38" s="10">
        <v>35756</v>
      </c>
      <c r="BB38" s="10">
        <v>21313</v>
      </c>
      <c r="BC38" s="11">
        <f t="shared" si="19"/>
        <v>9278</v>
      </c>
      <c r="BD38" s="3">
        <v>30591</v>
      </c>
      <c r="BE38" s="12">
        <f t="shared" si="20"/>
        <v>0.85554871909609576</v>
      </c>
      <c r="BF38" s="10">
        <v>36052</v>
      </c>
      <c r="BG38" s="10">
        <v>2018</v>
      </c>
      <c r="BH38" s="11">
        <f t="shared" si="21"/>
        <v>28626</v>
      </c>
      <c r="BI38" s="3">
        <v>30644</v>
      </c>
      <c r="BJ38" s="12">
        <f t="shared" si="22"/>
        <v>0.84999445245756133</v>
      </c>
    </row>
    <row r="39" spans="1:62" x14ac:dyDescent="0.3">
      <c r="A39" s="20">
        <v>31</v>
      </c>
      <c r="B39" s="9" t="s">
        <v>36</v>
      </c>
      <c r="C39" s="10">
        <v>213</v>
      </c>
      <c r="D39" s="10">
        <v>78</v>
      </c>
      <c r="E39" s="3">
        <v>161</v>
      </c>
      <c r="F39" s="3">
        <v>164</v>
      </c>
      <c r="G39" s="12">
        <f t="shared" si="0"/>
        <v>0.7699530516431925</v>
      </c>
      <c r="H39" s="10">
        <v>216</v>
      </c>
      <c r="I39" s="10">
        <v>77</v>
      </c>
      <c r="J39" s="11">
        <f t="shared" si="1"/>
        <v>90</v>
      </c>
      <c r="K39" s="3">
        <v>167</v>
      </c>
      <c r="L39" s="12">
        <f t="shared" si="2"/>
        <v>0.77314814814814814</v>
      </c>
      <c r="M39" s="10">
        <v>219</v>
      </c>
      <c r="N39" s="10">
        <v>87</v>
      </c>
      <c r="O39" s="11">
        <f t="shared" si="3"/>
        <v>81</v>
      </c>
      <c r="P39" s="3">
        <v>168</v>
      </c>
      <c r="Q39" s="12">
        <f t="shared" si="4"/>
        <v>0.76712328767123283</v>
      </c>
      <c r="R39" s="10">
        <v>224</v>
      </c>
      <c r="S39" s="10">
        <v>91</v>
      </c>
      <c r="T39" s="11">
        <f t="shared" si="5"/>
        <v>80</v>
      </c>
      <c r="U39" s="3">
        <v>171</v>
      </c>
      <c r="V39" s="12">
        <f t="shared" si="6"/>
        <v>0.7633928571428571</v>
      </c>
      <c r="W39" s="10">
        <v>229</v>
      </c>
      <c r="X39" s="10">
        <v>89</v>
      </c>
      <c r="Y39" s="11">
        <f t="shared" si="7"/>
        <v>85</v>
      </c>
      <c r="Z39" s="3">
        <v>174</v>
      </c>
      <c r="AA39" s="12">
        <f t="shared" si="8"/>
        <v>0.75982532751091703</v>
      </c>
      <c r="AB39" s="10">
        <v>229</v>
      </c>
      <c r="AC39" s="10">
        <v>83</v>
      </c>
      <c r="AD39" s="11">
        <f t="shared" si="9"/>
        <v>91</v>
      </c>
      <c r="AE39" s="3">
        <v>174</v>
      </c>
      <c r="AF39" s="12">
        <f t="shared" si="10"/>
        <v>0.75982532751091703</v>
      </c>
      <c r="AG39" s="10">
        <v>235</v>
      </c>
      <c r="AH39" s="10">
        <v>82</v>
      </c>
      <c r="AI39" s="11">
        <f t="shared" si="11"/>
        <v>98</v>
      </c>
      <c r="AJ39" s="3">
        <v>180</v>
      </c>
      <c r="AK39" s="12">
        <f t="shared" si="12"/>
        <v>0.76595744680851063</v>
      </c>
      <c r="AL39" s="10">
        <v>241</v>
      </c>
      <c r="AM39" s="10">
        <v>108</v>
      </c>
      <c r="AN39" s="11">
        <f t="shared" si="13"/>
        <v>76</v>
      </c>
      <c r="AO39" s="3">
        <v>184</v>
      </c>
      <c r="AP39" s="12">
        <f t="shared" si="14"/>
        <v>0.76348547717842319</v>
      </c>
      <c r="AQ39" s="10">
        <v>247</v>
      </c>
      <c r="AR39" s="10">
        <v>88</v>
      </c>
      <c r="AS39" s="11">
        <f t="shared" si="15"/>
        <v>102</v>
      </c>
      <c r="AT39" s="3">
        <v>190</v>
      </c>
      <c r="AU39" s="12">
        <f t="shared" si="16"/>
        <v>0.76923076923076927</v>
      </c>
      <c r="AV39" s="10">
        <v>250</v>
      </c>
      <c r="AW39" s="10">
        <v>107</v>
      </c>
      <c r="AX39" s="11">
        <f t="shared" si="17"/>
        <v>86</v>
      </c>
      <c r="AY39" s="3">
        <v>193</v>
      </c>
      <c r="AZ39" s="12">
        <f t="shared" si="18"/>
        <v>0.77200000000000002</v>
      </c>
      <c r="BA39" s="10">
        <v>253</v>
      </c>
      <c r="BB39" s="10">
        <v>102</v>
      </c>
      <c r="BC39" s="11">
        <f t="shared" si="19"/>
        <v>93</v>
      </c>
      <c r="BD39" s="3">
        <v>195</v>
      </c>
      <c r="BE39" s="12">
        <f t="shared" si="20"/>
        <v>0.77075098814229248</v>
      </c>
      <c r="BF39" s="10">
        <v>261</v>
      </c>
      <c r="BG39" s="10">
        <v>21</v>
      </c>
      <c r="BH39" s="11">
        <f t="shared" si="21"/>
        <v>181</v>
      </c>
      <c r="BI39" s="3">
        <v>202</v>
      </c>
      <c r="BJ39" s="12">
        <f t="shared" si="22"/>
        <v>0.77394636015325668</v>
      </c>
    </row>
    <row r="40" spans="1:62" x14ac:dyDescent="0.3">
      <c r="A40" s="20">
        <v>32</v>
      </c>
      <c r="B40" s="9" t="s">
        <v>37</v>
      </c>
      <c r="C40" s="10">
        <v>292296</v>
      </c>
      <c r="D40" s="10">
        <v>157526</v>
      </c>
      <c r="E40" s="3">
        <v>263483</v>
      </c>
      <c r="F40" s="3">
        <v>263637</v>
      </c>
      <c r="G40" s="12">
        <f t="shared" si="0"/>
        <v>0.90195213071680758</v>
      </c>
      <c r="H40" s="10">
        <v>292465</v>
      </c>
      <c r="I40" s="10">
        <v>170827</v>
      </c>
      <c r="J40" s="11">
        <f t="shared" si="1"/>
        <v>94528</v>
      </c>
      <c r="K40" s="3">
        <v>265355</v>
      </c>
      <c r="L40" s="12">
        <f t="shared" si="2"/>
        <v>0.9073051476245021</v>
      </c>
      <c r="M40" s="10">
        <v>295913</v>
      </c>
      <c r="N40" s="10">
        <v>177080</v>
      </c>
      <c r="O40" s="11">
        <f t="shared" si="3"/>
        <v>89909</v>
      </c>
      <c r="P40" s="3">
        <v>266989</v>
      </c>
      <c r="Q40" s="12">
        <f t="shared" si="4"/>
        <v>0.90225505469513001</v>
      </c>
      <c r="R40" s="10">
        <v>298709</v>
      </c>
      <c r="S40" s="10">
        <v>188243</v>
      </c>
      <c r="T40" s="11">
        <f t="shared" si="5"/>
        <v>81295</v>
      </c>
      <c r="U40" s="3">
        <v>269538</v>
      </c>
      <c r="V40" s="12">
        <f t="shared" si="6"/>
        <v>0.90234308306746702</v>
      </c>
      <c r="W40" s="10">
        <v>300746</v>
      </c>
      <c r="X40" s="10">
        <v>159523</v>
      </c>
      <c r="Y40" s="11">
        <f t="shared" si="7"/>
        <v>112190</v>
      </c>
      <c r="Z40" s="3">
        <v>271713</v>
      </c>
      <c r="AA40" s="12">
        <f t="shared" si="8"/>
        <v>0.90346338770922974</v>
      </c>
      <c r="AB40" s="10">
        <v>301836</v>
      </c>
      <c r="AC40" s="10">
        <v>149988</v>
      </c>
      <c r="AD40" s="11">
        <f t="shared" si="9"/>
        <v>123082</v>
      </c>
      <c r="AE40" s="3">
        <v>273070</v>
      </c>
      <c r="AF40" s="12">
        <f t="shared" si="10"/>
        <v>0.90469659020130133</v>
      </c>
      <c r="AG40" s="10">
        <v>303421</v>
      </c>
      <c r="AH40" s="10">
        <v>170691</v>
      </c>
      <c r="AI40" s="11">
        <f t="shared" si="11"/>
        <v>104567</v>
      </c>
      <c r="AJ40" s="3">
        <v>275258</v>
      </c>
      <c r="AK40" s="12">
        <f t="shared" si="12"/>
        <v>0.90718177054323856</v>
      </c>
      <c r="AL40" s="10">
        <v>303850</v>
      </c>
      <c r="AM40" s="10">
        <v>214813</v>
      </c>
      <c r="AN40" s="11">
        <f t="shared" si="13"/>
        <v>62709</v>
      </c>
      <c r="AO40" s="3">
        <v>277522</v>
      </c>
      <c r="AP40" s="12">
        <f t="shared" si="14"/>
        <v>0.9133519828862926</v>
      </c>
      <c r="AQ40" s="10">
        <v>302709</v>
      </c>
      <c r="AR40" s="10">
        <v>172320</v>
      </c>
      <c r="AS40" s="11">
        <f t="shared" si="15"/>
        <v>107029</v>
      </c>
      <c r="AT40" s="3">
        <v>279349</v>
      </c>
      <c r="AU40" s="12">
        <f t="shared" si="16"/>
        <v>0.9228301768364997</v>
      </c>
      <c r="AV40" s="10">
        <v>301724</v>
      </c>
      <c r="AW40" s="10">
        <v>210240</v>
      </c>
      <c r="AX40" s="11">
        <f t="shared" si="17"/>
        <v>70560</v>
      </c>
      <c r="AY40" s="3">
        <v>280800</v>
      </c>
      <c r="AZ40" s="12">
        <f t="shared" si="18"/>
        <v>0.93065185401227613</v>
      </c>
      <c r="BA40" s="10">
        <v>302553</v>
      </c>
      <c r="BB40" s="10">
        <v>198695</v>
      </c>
      <c r="BC40" s="11">
        <f t="shared" si="19"/>
        <v>83699</v>
      </c>
      <c r="BD40" s="3">
        <v>282394</v>
      </c>
      <c r="BE40" s="12">
        <f t="shared" si="20"/>
        <v>0.93337035164086957</v>
      </c>
      <c r="BF40" s="10">
        <v>304085</v>
      </c>
      <c r="BG40" s="10">
        <v>11285</v>
      </c>
      <c r="BH40" s="11">
        <f t="shared" si="21"/>
        <v>272367</v>
      </c>
      <c r="BI40" s="3">
        <v>283652</v>
      </c>
      <c r="BJ40" s="12">
        <f t="shared" si="22"/>
        <v>0.932804972293931</v>
      </c>
    </row>
    <row r="41" spans="1:62" x14ac:dyDescent="0.3">
      <c r="A41" s="20">
        <v>33</v>
      </c>
      <c r="B41" s="9" t="s">
        <v>38</v>
      </c>
      <c r="C41" s="10">
        <v>876798</v>
      </c>
      <c r="D41" s="10">
        <v>520806</v>
      </c>
      <c r="E41" s="3">
        <v>762739</v>
      </c>
      <c r="F41" s="3">
        <v>763723</v>
      </c>
      <c r="G41" s="12">
        <f t="shared" si="0"/>
        <v>0.87103643028382816</v>
      </c>
      <c r="H41" s="10">
        <v>885438</v>
      </c>
      <c r="I41" s="10">
        <v>551534</v>
      </c>
      <c r="J41" s="11">
        <f t="shared" si="1"/>
        <v>217445</v>
      </c>
      <c r="K41" s="3">
        <v>768979</v>
      </c>
      <c r="L41" s="12">
        <f t="shared" si="2"/>
        <v>0.86847300432102525</v>
      </c>
      <c r="M41" s="10">
        <v>894344</v>
      </c>
      <c r="N41" s="10">
        <v>566944</v>
      </c>
      <c r="O41" s="11">
        <f t="shared" si="3"/>
        <v>206498</v>
      </c>
      <c r="P41" s="3">
        <v>773442</v>
      </c>
      <c r="Q41" s="12">
        <f t="shared" si="4"/>
        <v>0.86481488107484372</v>
      </c>
      <c r="R41" s="10">
        <v>899235</v>
      </c>
      <c r="S41" s="10">
        <v>609457</v>
      </c>
      <c r="T41" s="11">
        <f t="shared" si="5"/>
        <v>170829</v>
      </c>
      <c r="U41" s="3">
        <v>780286</v>
      </c>
      <c r="V41" s="12">
        <f t="shared" si="6"/>
        <v>0.86772200815137313</v>
      </c>
      <c r="W41" s="10">
        <v>900188</v>
      </c>
      <c r="X41" s="10">
        <v>558796</v>
      </c>
      <c r="Y41" s="11">
        <f t="shared" si="7"/>
        <v>227494</v>
      </c>
      <c r="Z41" s="3">
        <v>786290</v>
      </c>
      <c r="AA41" s="12">
        <f t="shared" si="8"/>
        <v>0.87347309673090512</v>
      </c>
      <c r="AB41" s="10">
        <v>900385</v>
      </c>
      <c r="AC41" s="10">
        <v>512518</v>
      </c>
      <c r="AD41" s="11">
        <f t="shared" si="9"/>
        <v>278338</v>
      </c>
      <c r="AE41" s="3">
        <v>790856</v>
      </c>
      <c r="AF41" s="12">
        <f t="shared" si="10"/>
        <v>0.87835314893073524</v>
      </c>
      <c r="AG41" s="10">
        <v>896586</v>
      </c>
      <c r="AH41" s="10">
        <v>563810</v>
      </c>
      <c r="AI41" s="11">
        <f t="shared" si="11"/>
        <v>232888</v>
      </c>
      <c r="AJ41" s="3">
        <v>796698</v>
      </c>
      <c r="AK41" s="12">
        <f t="shared" si="12"/>
        <v>0.88859072080090473</v>
      </c>
      <c r="AL41" s="10">
        <v>888836</v>
      </c>
      <c r="AM41" s="10">
        <v>665525</v>
      </c>
      <c r="AN41" s="11">
        <f t="shared" si="13"/>
        <v>137010</v>
      </c>
      <c r="AO41" s="3">
        <v>802535</v>
      </c>
      <c r="AP41" s="12">
        <f t="shared" si="14"/>
        <v>0.90290559788307401</v>
      </c>
      <c r="AQ41" s="10">
        <v>877850</v>
      </c>
      <c r="AR41" s="10">
        <v>553538</v>
      </c>
      <c r="AS41" s="11">
        <f t="shared" si="15"/>
        <v>256468</v>
      </c>
      <c r="AT41" s="3">
        <v>810006</v>
      </c>
      <c r="AU41" s="12">
        <f t="shared" si="16"/>
        <v>0.92271572592128492</v>
      </c>
      <c r="AV41" s="10">
        <v>870770</v>
      </c>
      <c r="AW41" s="10">
        <v>672358</v>
      </c>
      <c r="AX41" s="11">
        <f t="shared" si="17"/>
        <v>141910</v>
      </c>
      <c r="AY41" s="3">
        <v>814268</v>
      </c>
      <c r="AZ41" s="12">
        <f t="shared" si="18"/>
        <v>0.93511260149063469</v>
      </c>
      <c r="BA41" s="10">
        <v>867846</v>
      </c>
      <c r="BB41" s="10">
        <v>657056</v>
      </c>
      <c r="BC41" s="11">
        <f t="shared" si="19"/>
        <v>163719</v>
      </c>
      <c r="BD41" s="3">
        <v>820775</v>
      </c>
      <c r="BE41" s="12">
        <f t="shared" si="20"/>
        <v>0.94576111429908072</v>
      </c>
      <c r="BF41" s="10">
        <v>876639</v>
      </c>
      <c r="BG41" s="10">
        <v>50323</v>
      </c>
      <c r="BH41" s="11">
        <f t="shared" si="21"/>
        <v>773542</v>
      </c>
      <c r="BI41" s="3">
        <v>823865</v>
      </c>
      <c r="BJ41" s="12">
        <f t="shared" si="22"/>
        <v>0.93979962105267956</v>
      </c>
    </row>
    <row r="42" spans="1:62" x14ac:dyDescent="0.3">
      <c r="A42" s="20">
        <v>34</v>
      </c>
      <c r="B42" s="9" t="s">
        <v>39</v>
      </c>
      <c r="C42" s="10">
        <v>20906</v>
      </c>
      <c r="D42" s="10">
        <v>11355</v>
      </c>
      <c r="E42" s="3">
        <v>17282</v>
      </c>
      <c r="F42" s="3">
        <v>17297</v>
      </c>
      <c r="G42" s="12">
        <f t="shared" si="0"/>
        <v>0.82737013297617912</v>
      </c>
      <c r="H42" s="10">
        <v>20875</v>
      </c>
      <c r="I42" s="10">
        <v>12002</v>
      </c>
      <c r="J42" s="11">
        <f t="shared" si="1"/>
        <v>5359</v>
      </c>
      <c r="K42" s="3">
        <v>17361</v>
      </c>
      <c r="L42" s="12">
        <f t="shared" si="2"/>
        <v>0.83166467065868266</v>
      </c>
      <c r="M42" s="10">
        <v>20879</v>
      </c>
      <c r="N42" s="10">
        <v>12169</v>
      </c>
      <c r="O42" s="11">
        <f t="shared" si="3"/>
        <v>5239</v>
      </c>
      <c r="P42" s="3">
        <v>17408</v>
      </c>
      <c r="Q42" s="12">
        <f t="shared" si="4"/>
        <v>0.83375640595813971</v>
      </c>
      <c r="R42" s="10">
        <v>21076</v>
      </c>
      <c r="S42" s="10">
        <v>13013</v>
      </c>
      <c r="T42" s="11">
        <f t="shared" si="5"/>
        <v>4510</v>
      </c>
      <c r="U42" s="3">
        <v>17523</v>
      </c>
      <c r="V42" s="12">
        <f t="shared" si="6"/>
        <v>0.83141962421711901</v>
      </c>
      <c r="W42" s="10">
        <v>21069</v>
      </c>
      <c r="X42" s="10">
        <v>12021</v>
      </c>
      <c r="Y42" s="11">
        <f t="shared" si="7"/>
        <v>5569</v>
      </c>
      <c r="Z42" s="3">
        <v>17590</v>
      </c>
      <c r="AA42" s="12">
        <f t="shared" si="8"/>
        <v>0.83487588400018986</v>
      </c>
      <c r="AB42" s="10">
        <v>21025</v>
      </c>
      <c r="AC42" s="10">
        <v>11043</v>
      </c>
      <c r="AD42" s="11">
        <f t="shared" si="9"/>
        <v>6693</v>
      </c>
      <c r="AE42" s="3">
        <v>17736</v>
      </c>
      <c r="AF42" s="12">
        <f t="shared" si="10"/>
        <v>0.84356718192627822</v>
      </c>
      <c r="AG42" s="10">
        <v>20898</v>
      </c>
      <c r="AH42" s="10">
        <v>11964</v>
      </c>
      <c r="AI42" s="11">
        <f t="shared" si="11"/>
        <v>5907</v>
      </c>
      <c r="AJ42" s="3">
        <v>17871</v>
      </c>
      <c r="AK42" s="12">
        <f t="shared" si="12"/>
        <v>0.85515360321561873</v>
      </c>
      <c r="AL42" s="10">
        <v>20773</v>
      </c>
      <c r="AM42" s="10">
        <v>14446</v>
      </c>
      <c r="AN42" s="11">
        <f t="shared" si="13"/>
        <v>3445</v>
      </c>
      <c r="AO42" s="3">
        <v>17891</v>
      </c>
      <c r="AP42" s="12">
        <f t="shared" si="14"/>
        <v>0.86126221537572811</v>
      </c>
      <c r="AQ42" s="10">
        <v>20391</v>
      </c>
      <c r="AR42" s="10">
        <v>11552</v>
      </c>
      <c r="AS42" s="11">
        <f t="shared" si="15"/>
        <v>6413</v>
      </c>
      <c r="AT42" s="3">
        <v>17965</v>
      </c>
      <c r="AU42" s="12">
        <f t="shared" si="16"/>
        <v>0.88102594281790991</v>
      </c>
      <c r="AV42" s="10">
        <v>19656</v>
      </c>
      <c r="AW42" s="10">
        <v>14448</v>
      </c>
      <c r="AX42" s="11">
        <f t="shared" si="17"/>
        <v>3556</v>
      </c>
      <c r="AY42" s="3">
        <v>18004</v>
      </c>
      <c r="AZ42" s="12">
        <f t="shared" si="18"/>
        <v>0.91595441595441596</v>
      </c>
      <c r="BA42" s="10">
        <v>19500</v>
      </c>
      <c r="BB42" s="10">
        <v>14061</v>
      </c>
      <c r="BC42" s="11">
        <f t="shared" si="19"/>
        <v>4015</v>
      </c>
      <c r="BD42" s="3">
        <v>18076</v>
      </c>
      <c r="BE42" s="12">
        <f t="shared" si="20"/>
        <v>0.92697435897435898</v>
      </c>
      <c r="BF42" s="10">
        <v>19681</v>
      </c>
      <c r="BG42" s="10">
        <v>1443</v>
      </c>
      <c r="BH42" s="11">
        <f t="shared" si="21"/>
        <v>16672</v>
      </c>
      <c r="BI42" s="3">
        <v>18115</v>
      </c>
      <c r="BJ42" s="12">
        <f t="shared" si="22"/>
        <v>0.92043087241501953</v>
      </c>
    </row>
    <row r="43" spans="1:62" x14ac:dyDescent="0.3">
      <c r="A43" s="20">
        <v>35</v>
      </c>
      <c r="B43" s="9" t="s">
        <v>40</v>
      </c>
      <c r="C43" s="10">
        <v>3739</v>
      </c>
      <c r="D43" s="10">
        <v>1253</v>
      </c>
      <c r="E43" s="3">
        <v>3341</v>
      </c>
      <c r="F43" s="3">
        <v>3353</v>
      </c>
      <c r="G43" s="12">
        <f t="shared" si="0"/>
        <v>0.89676384059909064</v>
      </c>
      <c r="H43" s="10">
        <v>3772</v>
      </c>
      <c r="I43" s="10">
        <v>1257</v>
      </c>
      <c r="J43" s="11">
        <f t="shared" si="1"/>
        <v>2101</v>
      </c>
      <c r="K43" s="3">
        <v>3358</v>
      </c>
      <c r="L43" s="12">
        <f t="shared" si="2"/>
        <v>0.8902439024390244</v>
      </c>
      <c r="M43" s="10">
        <v>3826</v>
      </c>
      <c r="N43" s="10">
        <v>1292</v>
      </c>
      <c r="O43" s="11">
        <f t="shared" si="3"/>
        <v>2089</v>
      </c>
      <c r="P43" s="3">
        <v>3381</v>
      </c>
      <c r="Q43" s="12">
        <f t="shared" si="4"/>
        <v>0.88369053842132772</v>
      </c>
      <c r="R43" s="10">
        <v>3887</v>
      </c>
      <c r="S43" s="10">
        <v>1405</v>
      </c>
      <c r="T43" s="11">
        <f t="shared" si="5"/>
        <v>1995</v>
      </c>
      <c r="U43" s="3">
        <v>3400</v>
      </c>
      <c r="V43" s="12">
        <f t="shared" si="6"/>
        <v>0.87471057370722927</v>
      </c>
      <c r="W43" s="10">
        <v>3955</v>
      </c>
      <c r="X43" s="10">
        <v>1262</v>
      </c>
      <c r="Y43" s="11">
        <f t="shared" si="7"/>
        <v>2158</v>
      </c>
      <c r="Z43" s="3">
        <v>3420</v>
      </c>
      <c r="AA43" s="12">
        <f t="shared" si="8"/>
        <v>0.86472819216182051</v>
      </c>
      <c r="AB43" s="10">
        <v>3994</v>
      </c>
      <c r="AC43" s="10">
        <v>1229</v>
      </c>
      <c r="AD43" s="11">
        <f t="shared" si="9"/>
        <v>2208</v>
      </c>
      <c r="AE43" s="3">
        <v>3437</v>
      </c>
      <c r="AF43" s="12">
        <f t="shared" si="10"/>
        <v>0.86054081121682524</v>
      </c>
      <c r="AG43" s="10">
        <v>4062</v>
      </c>
      <c r="AH43" s="10">
        <v>1223</v>
      </c>
      <c r="AI43" s="11">
        <f t="shared" si="11"/>
        <v>2254</v>
      </c>
      <c r="AJ43" s="3">
        <v>3477</v>
      </c>
      <c r="AK43" s="12">
        <f t="shared" si="12"/>
        <v>0.85598227474150668</v>
      </c>
      <c r="AL43" s="10">
        <v>4104</v>
      </c>
      <c r="AM43" s="10">
        <v>1782</v>
      </c>
      <c r="AN43" s="11">
        <f t="shared" si="13"/>
        <v>1734</v>
      </c>
      <c r="AO43" s="3">
        <v>3516</v>
      </c>
      <c r="AP43" s="12">
        <f t="shared" si="14"/>
        <v>0.85672514619883045</v>
      </c>
      <c r="AQ43" s="10">
        <v>4090</v>
      </c>
      <c r="AR43" s="10">
        <v>1470</v>
      </c>
      <c r="AS43" s="11">
        <f t="shared" si="15"/>
        <v>2066</v>
      </c>
      <c r="AT43" s="3">
        <v>3536</v>
      </c>
      <c r="AU43" s="12">
        <f t="shared" si="16"/>
        <v>0.86454767726161375</v>
      </c>
      <c r="AV43" s="10">
        <v>3783</v>
      </c>
      <c r="AW43" s="10">
        <v>1809</v>
      </c>
      <c r="AX43" s="11">
        <f t="shared" si="17"/>
        <v>1726</v>
      </c>
      <c r="AY43" s="3">
        <v>3535</v>
      </c>
      <c r="AZ43" s="12">
        <f t="shared" si="18"/>
        <v>0.9344435633095427</v>
      </c>
      <c r="BA43" s="10">
        <v>3822</v>
      </c>
      <c r="BB43" s="10">
        <v>1626</v>
      </c>
      <c r="BC43" s="11">
        <f t="shared" si="19"/>
        <v>1937</v>
      </c>
      <c r="BD43" s="3">
        <v>3563</v>
      </c>
      <c r="BE43" s="12">
        <f t="shared" si="20"/>
        <v>0.93223443223443225</v>
      </c>
      <c r="BF43" s="10">
        <v>3877</v>
      </c>
      <c r="BG43" s="10">
        <v>139</v>
      </c>
      <c r="BH43" s="11">
        <f t="shared" si="21"/>
        <v>3440</v>
      </c>
      <c r="BI43" s="3">
        <v>3579</v>
      </c>
      <c r="BJ43" s="12">
        <f t="shared" si="22"/>
        <v>0.9231364457054424</v>
      </c>
    </row>
    <row r="44" spans="1:62" x14ac:dyDescent="0.3">
      <c r="A44" s="20">
        <v>36</v>
      </c>
      <c r="B44" s="9" t="s">
        <v>41</v>
      </c>
      <c r="C44" s="10">
        <v>322065</v>
      </c>
      <c r="D44" s="10">
        <v>167798</v>
      </c>
      <c r="E44" s="3">
        <v>275094</v>
      </c>
      <c r="F44" s="3">
        <v>275297</v>
      </c>
      <c r="G44" s="12">
        <f t="shared" si="0"/>
        <v>0.85478707714281277</v>
      </c>
      <c r="H44" s="10">
        <v>324349</v>
      </c>
      <c r="I44" s="10">
        <v>180031</v>
      </c>
      <c r="J44" s="11">
        <f t="shared" si="1"/>
        <v>97772</v>
      </c>
      <c r="K44" s="3">
        <v>277803</v>
      </c>
      <c r="L44" s="12">
        <f t="shared" si="2"/>
        <v>0.85649408507502722</v>
      </c>
      <c r="M44" s="10">
        <v>327844</v>
      </c>
      <c r="N44" s="10">
        <v>187115</v>
      </c>
      <c r="O44" s="11">
        <f t="shared" si="3"/>
        <v>92276</v>
      </c>
      <c r="P44" s="3">
        <v>279391</v>
      </c>
      <c r="Q44" s="12">
        <f t="shared" si="4"/>
        <v>0.8522071473017655</v>
      </c>
      <c r="R44" s="10">
        <v>331330</v>
      </c>
      <c r="S44" s="10">
        <v>203099</v>
      </c>
      <c r="T44" s="11">
        <f t="shared" si="5"/>
        <v>80236</v>
      </c>
      <c r="U44" s="3">
        <v>283335</v>
      </c>
      <c r="V44" s="12">
        <f t="shared" si="6"/>
        <v>0.85514441795189089</v>
      </c>
      <c r="W44" s="10">
        <v>334631</v>
      </c>
      <c r="X44" s="10">
        <v>186734</v>
      </c>
      <c r="Y44" s="11">
        <f t="shared" si="7"/>
        <v>99416</v>
      </c>
      <c r="Z44" s="3">
        <v>286150</v>
      </c>
      <c r="AA44" s="12">
        <f t="shared" si="8"/>
        <v>0.85512101389291484</v>
      </c>
      <c r="AB44" s="10">
        <v>337626</v>
      </c>
      <c r="AC44" s="10">
        <v>164671</v>
      </c>
      <c r="AD44" s="11">
        <f t="shared" si="9"/>
        <v>124390</v>
      </c>
      <c r="AE44" s="3">
        <v>289061</v>
      </c>
      <c r="AF44" s="12">
        <f t="shared" si="10"/>
        <v>0.85615740493919312</v>
      </c>
      <c r="AG44" s="10">
        <v>342262</v>
      </c>
      <c r="AH44" s="10">
        <v>182652</v>
      </c>
      <c r="AI44" s="11">
        <f t="shared" si="11"/>
        <v>109859</v>
      </c>
      <c r="AJ44" s="3">
        <v>292511</v>
      </c>
      <c r="AK44" s="12">
        <f t="shared" si="12"/>
        <v>0.85464059696957306</v>
      </c>
      <c r="AL44" s="10">
        <v>346374</v>
      </c>
      <c r="AM44" s="10">
        <v>224112</v>
      </c>
      <c r="AN44" s="11">
        <f t="shared" si="13"/>
        <v>72050</v>
      </c>
      <c r="AO44" s="3">
        <v>296162</v>
      </c>
      <c r="AP44" s="12">
        <f t="shared" si="14"/>
        <v>0.8550353086548067</v>
      </c>
      <c r="AQ44" s="10">
        <v>350234</v>
      </c>
      <c r="AR44" s="10">
        <v>186949</v>
      </c>
      <c r="AS44" s="11">
        <f t="shared" si="15"/>
        <v>113562</v>
      </c>
      <c r="AT44" s="3">
        <v>300511</v>
      </c>
      <c r="AU44" s="12">
        <f t="shared" si="16"/>
        <v>0.858029203332629</v>
      </c>
      <c r="AV44" s="10">
        <v>351952</v>
      </c>
      <c r="AW44" s="10">
        <v>225453</v>
      </c>
      <c r="AX44" s="11">
        <f t="shared" si="17"/>
        <v>77769</v>
      </c>
      <c r="AY44" s="3">
        <v>303222</v>
      </c>
      <c r="AZ44" s="12">
        <f t="shared" si="18"/>
        <v>0.86154361958448877</v>
      </c>
      <c r="BA44" s="10">
        <v>353580</v>
      </c>
      <c r="BB44" s="10">
        <v>221606</v>
      </c>
      <c r="BC44" s="11">
        <f t="shared" si="19"/>
        <v>84509</v>
      </c>
      <c r="BD44" s="3">
        <v>306115</v>
      </c>
      <c r="BE44" s="12">
        <f t="shared" si="20"/>
        <v>0.86575880988743703</v>
      </c>
      <c r="BF44" s="10">
        <v>357819</v>
      </c>
      <c r="BG44" s="10">
        <v>28527</v>
      </c>
      <c r="BH44" s="11">
        <f t="shared" si="21"/>
        <v>278265</v>
      </c>
      <c r="BI44" s="3">
        <v>306792</v>
      </c>
      <c r="BJ44" s="12">
        <f t="shared" si="22"/>
        <v>0.85739438095797038</v>
      </c>
    </row>
    <row r="45" spans="1:62" x14ac:dyDescent="0.3">
      <c r="A45" s="20">
        <v>37</v>
      </c>
      <c r="B45" s="9" t="s">
        <v>42</v>
      </c>
      <c r="C45" s="10">
        <v>280184</v>
      </c>
      <c r="D45" s="10">
        <v>157948</v>
      </c>
      <c r="E45" s="3">
        <v>241970</v>
      </c>
      <c r="F45" s="3">
        <v>242215</v>
      </c>
      <c r="G45" s="12">
        <f t="shared" si="0"/>
        <v>0.8644854809696485</v>
      </c>
      <c r="H45" s="10">
        <v>279810</v>
      </c>
      <c r="I45" s="10">
        <v>169929</v>
      </c>
      <c r="J45" s="11">
        <f t="shared" si="1"/>
        <v>73566</v>
      </c>
      <c r="K45" s="3">
        <v>243495</v>
      </c>
      <c r="L45" s="12">
        <f t="shared" si="2"/>
        <v>0.8702155033772917</v>
      </c>
      <c r="M45" s="10">
        <v>281946</v>
      </c>
      <c r="N45" s="10">
        <v>177091</v>
      </c>
      <c r="O45" s="11">
        <f t="shared" si="3"/>
        <v>68014</v>
      </c>
      <c r="P45" s="3">
        <v>245105</v>
      </c>
      <c r="Q45" s="12">
        <f t="shared" si="4"/>
        <v>0.86933313471373952</v>
      </c>
      <c r="R45" s="10">
        <v>285278</v>
      </c>
      <c r="S45" s="10">
        <v>191174</v>
      </c>
      <c r="T45" s="11">
        <f t="shared" si="5"/>
        <v>56332</v>
      </c>
      <c r="U45" s="3">
        <v>247506</v>
      </c>
      <c r="V45" s="12">
        <f t="shared" si="6"/>
        <v>0.86759581881533099</v>
      </c>
      <c r="W45" s="10">
        <v>286753</v>
      </c>
      <c r="X45" s="10">
        <v>174695</v>
      </c>
      <c r="Y45" s="11">
        <f t="shared" si="7"/>
        <v>74236</v>
      </c>
      <c r="Z45" s="3">
        <v>248931</v>
      </c>
      <c r="AA45" s="12">
        <f t="shared" si="8"/>
        <v>0.86810251331285115</v>
      </c>
      <c r="AB45" s="10">
        <v>287263</v>
      </c>
      <c r="AC45" s="10">
        <v>151437</v>
      </c>
      <c r="AD45" s="11">
        <f t="shared" si="9"/>
        <v>98464</v>
      </c>
      <c r="AE45" s="3">
        <v>249901</v>
      </c>
      <c r="AF45" s="12">
        <f t="shared" si="10"/>
        <v>0.8699380010652259</v>
      </c>
      <c r="AG45" s="10">
        <v>287909</v>
      </c>
      <c r="AH45" s="10">
        <v>170765</v>
      </c>
      <c r="AI45" s="11">
        <f t="shared" si="11"/>
        <v>80954</v>
      </c>
      <c r="AJ45" s="3">
        <v>251719</v>
      </c>
      <c r="AK45" s="12">
        <f t="shared" si="12"/>
        <v>0.87430056024646674</v>
      </c>
      <c r="AL45" s="10">
        <v>286336</v>
      </c>
      <c r="AM45" s="10">
        <v>207039</v>
      </c>
      <c r="AN45" s="11">
        <f t="shared" si="13"/>
        <v>46923</v>
      </c>
      <c r="AO45" s="3">
        <v>253962</v>
      </c>
      <c r="AP45" s="12">
        <f t="shared" si="14"/>
        <v>0.886937025033527</v>
      </c>
      <c r="AQ45" s="10">
        <v>286760</v>
      </c>
      <c r="AR45" s="10">
        <v>174016</v>
      </c>
      <c r="AS45" s="11">
        <f t="shared" si="15"/>
        <v>82135</v>
      </c>
      <c r="AT45" s="3">
        <v>256151</v>
      </c>
      <c r="AU45" s="12">
        <f t="shared" si="16"/>
        <v>0.89325917143255684</v>
      </c>
      <c r="AV45" s="10">
        <v>287132</v>
      </c>
      <c r="AW45" s="10">
        <v>204971</v>
      </c>
      <c r="AX45" s="11">
        <f t="shared" si="17"/>
        <v>51840</v>
      </c>
      <c r="AY45" s="3">
        <v>256811</v>
      </c>
      <c r="AZ45" s="12">
        <f t="shared" si="18"/>
        <v>0.89440048479444989</v>
      </c>
      <c r="BA45" s="10">
        <v>284734</v>
      </c>
      <c r="BB45" s="10">
        <v>201692</v>
      </c>
      <c r="BC45" s="11">
        <f t="shared" si="19"/>
        <v>56055</v>
      </c>
      <c r="BD45" s="3">
        <v>257747</v>
      </c>
      <c r="BE45" s="12">
        <f t="shared" si="20"/>
        <v>0.90522031088665211</v>
      </c>
      <c r="BF45" s="10">
        <v>283250</v>
      </c>
      <c r="BG45" s="10">
        <v>23456</v>
      </c>
      <c r="BH45" s="11">
        <f t="shared" si="21"/>
        <v>233674</v>
      </c>
      <c r="BI45" s="3">
        <v>257130</v>
      </c>
      <c r="BJ45" s="12">
        <f t="shared" si="22"/>
        <v>0.90778464254192415</v>
      </c>
    </row>
    <row r="46" spans="1:62" x14ac:dyDescent="0.3">
      <c r="A46" s="20">
        <v>38</v>
      </c>
      <c r="B46" s="9" t="s">
        <v>45</v>
      </c>
      <c r="C46" s="13">
        <v>0</v>
      </c>
      <c r="D46" s="13">
        <v>0</v>
      </c>
      <c r="E46" s="13">
        <v>0</v>
      </c>
      <c r="F46" s="13" t="s">
        <v>47</v>
      </c>
      <c r="G46" s="13">
        <v>0</v>
      </c>
      <c r="H46" s="13">
        <v>0</v>
      </c>
      <c r="I46" s="13">
        <v>0</v>
      </c>
      <c r="J46" s="13">
        <v>0</v>
      </c>
      <c r="K46" s="13" t="s">
        <v>47</v>
      </c>
      <c r="L46" s="13">
        <v>0</v>
      </c>
      <c r="M46" s="13">
        <v>0</v>
      </c>
      <c r="N46" s="13">
        <v>0</v>
      </c>
      <c r="O46" s="13">
        <v>0</v>
      </c>
      <c r="P46" s="13" t="s">
        <v>47</v>
      </c>
      <c r="Q46" s="13">
        <v>0</v>
      </c>
      <c r="R46" s="13">
        <v>0</v>
      </c>
      <c r="S46" s="13">
        <v>0</v>
      </c>
      <c r="T46" s="13">
        <v>0</v>
      </c>
      <c r="U46" s="13" t="s">
        <v>47</v>
      </c>
      <c r="V46" s="13">
        <v>0</v>
      </c>
      <c r="W46" s="13">
        <v>0</v>
      </c>
      <c r="X46" s="13">
        <v>0</v>
      </c>
      <c r="Y46" s="13">
        <v>0</v>
      </c>
      <c r="Z46" s="13" t="s">
        <v>47</v>
      </c>
      <c r="AA46" s="13">
        <v>0</v>
      </c>
      <c r="AB46" s="13">
        <v>0</v>
      </c>
      <c r="AC46" s="13">
        <v>0</v>
      </c>
      <c r="AD46" s="13">
        <v>0</v>
      </c>
      <c r="AE46" s="13" t="s">
        <v>47</v>
      </c>
      <c r="AF46" s="13">
        <v>0</v>
      </c>
      <c r="AG46" s="13">
        <v>0</v>
      </c>
      <c r="AH46" s="13">
        <v>0</v>
      </c>
      <c r="AI46" s="13">
        <v>0</v>
      </c>
      <c r="AJ46" s="13" t="s">
        <v>47</v>
      </c>
      <c r="AK46" s="13">
        <v>0</v>
      </c>
      <c r="AL46" s="13">
        <v>0</v>
      </c>
      <c r="AM46" s="13">
        <v>0</v>
      </c>
      <c r="AN46" s="13">
        <v>0</v>
      </c>
      <c r="AO46" s="13" t="s">
        <v>47</v>
      </c>
      <c r="AP46" s="13">
        <v>0</v>
      </c>
      <c r="AQ46" s="13">
        <v>0</v>
      </c>
      <c r="AR46" s="13">
        <v>0</v>
      </c>
      <c r="AS46" s="13">
        <v>0</v>
      </c>
      <c r="AT46" s="13" t="s">
        <v>47</v>
      </c>
      <c r="AU46" s="13">
        <v>0</v>
      </c>
      <c r="AV46" s="13">
        <v>0</v>
      </c>
      <c r="AW46" s="13">
        <v>0</v>
      </c>
      <c r="AX46" s="13">
        <v>0</v>
      </c>
      <c r="AY46" s="3">
        <v>2697</v>
      </c>
      <c r="AZ46" s="13">
        <v>0</v>
      </c>
      <c r="BA46" s="14" t="s">
        <v>47</v>
      </c>
      <c r="BB46" s="15">
        <v>2771</v>
      </c>
      <c r="BC46" s="11">
        <f t="shared" si="19"/>
        <v>18</v>
      </c>
      <c r="BD46" s="3">
        <v>2789</v>
      </c>
      <c r="BE46" s="13">
        <v>0</v>
      </c>
      <c r="BF46" s="14">
        <v>0</v>
      </c>
      <c r="BG46" s="14">
        <v>0</v>
      </c>
      <c r="BH46" s="11">
        <f t="shared" si="21"/>
        <v>2911</v>
      </c>
      <c r="BI46" s="3">
        <v>2911</v>
      </c>
      <c r="BJ46" s="13">
        <v>0</v>
      </c>
    </row>
    <row r="47" spans="1:62" x14ac:dyDescent="0.3">
      <c r="A47" s="20">
        <v>97</v>
      </c>
      <c r="B47" s="9" t="s">
        <v>43</v>
      </c>
      <c r="C47" s="10">
        <v>68</v>
      </c>
      <c r="D47" s="10">
        <v>47</v>
      </c>
      <c r="E47" s="3">
        <v>54</v>
      </c>
      <c r="F47" s="3">
        <v>54</v>
      </c>
      <c r="G47" s="12">
        <f t="shared" si="0"/>
        <v>0.79411764705882348</v>
      </c>
      <c r="H47" s="10">
        <v>68</v>
      </c>
      <c r="I47" s="10">
        <v>48</v>
      </c>
      <c r="J47" s="11">
        <f t="shared" si="1"/>
        <v>6</v>
      </c>
      <c r="K47" s="3">
        <v>54</v>
      </c>
      <c r="L47" s="12">
        <f t="shared" si="2"/>
        <v>0.79411764705882348</v>
      </c>
      <c r="M47" s="10">
        <v>71</v>
      </c>
      <c r="N47" s="10">
        <v>48</v>
      </c>
      <c r="O47" s="11">
        <f t="shared" si="3"/>
        <v>9</v>
      </c>
      <c r="P47" s="3">
        <v>57</v>
      </c>
      <c r="Q47" s="12">
        <f t="shared" si="4"/>
        <v>0.80281690140845074</v>
      </c>
      <c r="R47" s="10">
        <v>74</v>
      </c>
      <c r="S47" s="10">
        <v>50</v>
      </c>
      <c r="T47" s="11">
        <f t="shared" si="5"/>
        <v>9</v>
      </c>
      <c r="U47" s="3">
        <v>59</v>
      </c>
      <c r="V47" s="12">
        <f t="shared" si="6"/>
        <v>0.79729729729729726</v>
      </c>
      <c r="W47" s="10">
        <v>75</v>
      </c>
      <c r="X47" s="10">
        <v>48</v>
      </c>
      <c r="Y47" s="11">
        <f t="shared" si="7"/>
        <v>12</v>
      </c>
      <c r="Z47" s="3">
        <v>60</v>
      </c>
      <c r="AA47" s="12">
        <f t="shared" si="8"/>
        <v>0.8</v>
      </c>
      <c r="AB47" s="10">
        <v>76</v>
      </c>
      <c r="AC47" s="10">
        <v>50</v>
      </c>
      <c r="AD47" s="11">
        <f t="shared" si="9"/>
        <v>10</v>
      </c>
      <c r="AE47" s="3">
        <v>60</v>
      </c>
      <c r="AF47" s="12">
        <f t="shared" si="10"/>
        <v>0.78947368421052633</v>
      </c>
      <c r="AG47" s="10">
        <v>77</v>
      </c>
      <c r="AH47" s="10">
        <v>49</v>
      </c>
      <c r="AI47" s="11">
        <f t="shared" si="11"/>
        <v>12</v>
      </c>
      <c r="AJ47" s="3">
        <v>61</v>
      </c>
      <c r="AK47" s="12">
        <f t="shared" si="12"/>
        <v>0.79220779220779225</v>
      </c>
      <c r="AL47" s="10">
        <v>78</v>
      </c>
      <c r="AM47" s="10">
        <v>56</v>
      </c>
      <c r="AN47" s="11">
        <f t="shared" si="13"/>
        <v>6</v>
      </c>
      <c r="AO47" s="3">
        <v>62</v>
      </c>
      <c r="AP47" s="12">
        <f t="shared" si="14"/>
        <v>0.79487179487179482</v>
      </c>
      <c r="AQ47" s="10">
        <v>76</v>
      </c>
      <c r="AR47" s="10">
        <v>40</v>
      </c>
      <c r="AS47" s="11">
        <f t="shared" si="15"/>
        <v>22</v>
      </c>
      <c r="AT47" s="3">
        <v>62</v>
      </c>
      <c r="AU47" s="12">
        <f t="shared" si="16"/>
        <v>0.81578947368421051</v>
      </c>
      <c r="AV47" s="10">
        <v>77</v>
      </c>
      <c r="AW47" s="10">
        <v>53</v>
      </c>
      <c r="AX47" s="11">
        <f t="shared" si="17"/>
        <v>11</v>
      </c>
      <c r="AY47" s="3">
        <v>64</v>
      </c>
      <c r="AZ47" s="12">
        <f t="shared" si="18"/>
        <v>0.83116883116883122</v>
      </c>
      <c r="BA47" s="10">
        <v>79</v>
      </c>
      <c r="BB47" s="10">
        <v>54</v>
      </c>
      <c r="BC47" s="11">
        <f t="shared" si="19"/>
        <v>11</v>
      </c>
      <c r="BD47" s="3">
        <v>65</v>
      </c>
      <c r="BE47" s="12">
        <f t="shared" si="20"/>
        <v>0.82278481012658233</v>
      </c>
      <c r="BF47" s="10">
        <v>81</v>
      </c>
      <c r="BG47" s="10">
        <v>11</v>
      </c>
      <c r="BH47" s="11">
        <f t="shared" si="21"/>
        <v>56</v>
      </c>
      <c r="BI47" s="3">
        <v>67</v>
      </c>
      <c r="BJ47" s="12">
        <f t="shared" si="22"/>
        <v>0.8271604938271605</v>
      </c>
    </row>
    <row r="48" spans="1:62" ht="15.6" x14ac:dyDescent="0.3">
      <c r="A48" s="24" t="s">
        <v>44</v>
      </c>
      <c r="B48" s="24"/>
      <c r="C48" s="6">
        <f>SUM(C10:C47)</f>
        <v>10233313</v>
      </c>
      <c r="D48" s="6">
        <f>SUM(D10:D47)</f>
        <v>6061978</v>
      </c>
      <c r="E48" s="7">
        <f t="shared" ref="E48" si="23">F48-D48</f>
        <v>2915172</v>
      </c>
      <c r="F48" s="8">
        <f>SUM(F10:F47)</f>
        <v>8977150</v>
      </c>
      <c r="G48" s="5">
        <f>F48/C48</f>
        <v>0.87724767140416793</v>
      </c>
      <c r="H48" s="6">
        <f>SUM(H10:H47)</f>
        <v>10286063</v>
      </c>
      <c r="I48" s="6">
        <f>SUM(I10:I47)</f>
        <v>6518408</v>
      </c>
      <c r="J48" s="7">
        <f>K48-I48</f>
        <v>2520125</v>
      </c>
      <c r="K48" s="8">
        <f>SUM(K10:K47)</f>
        <v>9038533</v>
      </c>
      <c r="L48" s="5">
        <f>K48/H48</f>
        <v>0.87871647295957644</v>
      </c>
      <c r="M48" s="6">
        <f>SUM(M10:M47)</f>
        <v>10358399</v>
      </c>
      <c r="N48" s="6">
        <f>SUM(N10:N47)</f>
        <v>6688664</v>
      </c>
      <c r="O48" s="7">
        <f>P48-N48</f>
        <v>2400935</v>
      </c>
      <c r="P48" s="8">
        <f>SUM(P10:P47)</f>
        <v>9089599</v>
      </c>
      <c r="Q48" s="5">
        <f>P48/M48</f>
        <v>0.87751002833545999</v>
      </c>
      <c r="R48" s="6">
        <f>SUM(R10:R47)</f>
        <v>10426762</v>
      </c>
      <c r="S48" s="6">
        <f>SUM(S10:S47)</f>
        <v>7080475</v>
      </c>
      <c r="T48" s="7">
        <f>U48-S48</f>
        <v>2087944</v>
      </c>
      <c r="U48" s="8">
        <f>SUM(U10:U47)</f>
        <v>9168419</v>
      </c>
      <c r="V48" s="5">
        <f>U48/R48</f>
        <v>0.87931603310788142</v>
      </c>
      <c r="W48" s="6">
        <f>SUM(W10:W47)</f>
        <v>10455891</v>
      </c>
      <c r="X48" s="6">
        <f>SUM(X10:X47)</f>
        <v>6567219</v>
      </c>
      <c r="Y48" s="7">
        <f>Z48-X48</f>
        <v>2662453</v>
      </c>
      <c r="Z48" s="8">
        <f>SUM(Z10:Z47)</f>
        <v>9229672</v>
      </c>
      <c r="AA48" s="5">
        <f>Z48/W48</f>
        <v>0.8827245808128642</v>
      </c>
      <c r="AB48" s="6">
        <f>SUM(AB10:AB47)</f>
        <v>10473814</v>
      </c>
      <c r="AC48" s="6">
        <f>SUM(AC10:AC47)</f>
        <v>5990353</v>
      </c>
      <c r="AD48" s="7">
        <f>AE48-AC48</f>
        <v>3305669</v>
      </c>
      <c r="AE48" s="8">
        <f>SUM(AE10:AE47)</f>
        <v>9296022</v>
      </c>
      <c r="AF48" s="5">
        <f>AE48/AB48</f>
        <v>0.88754889097705958</v>
      </c>
      <c r="AG48" s="6">
        <f>SUM(AG10:AG47)</f>
        <v>10495064</v>
      </c>
      <c r="AH48" s="6">
        <f>SUM(AH10:AH47)</f>
        <v>6482808</v>
      </c>
      <c r="AI48" s="7">
        <f>AJ48-AH48</f>
        <v>2880881</v>
      </c>
      <c r="AJ48" s="8">
        <f>SUM(AJ10:AJ47)</f>
        <v>9363689</v>
      </c>
      <c r="AK48" s="5">
        <f>AJ48/AG48</f>
        <v>0.89219932341527408</v>
      </c>
      <c r="AL48" s="6">
        <f>SUM(AL10:AL47)</f>
        <v>10478440</v>
      </c>
      <c r="AM48" s="6">
        <f>SUM(AM10:AM47)</f>
        <v>7649789</v>
      </c>
      <c r="AN48" s="7">
        <f>AO48-AM48</f>
        <v>1785316</v>
      </c>
      <c r="AO48" s="8">
        <f>SUM(AO10:AO47)</f>
        <v>9435105</v>
      </c>
      <c r="AP48" s="5">
        <f>AO48/AL48</f>
        <v>0.90043031214570113</v>
      </c>
      <c r="AQ48" s="6">
        <f>SUM(AQ10:AQ47)</f>
        <v>10370746</v>
      </c>
      <c r="AR48" s="6">
        <f>SUM(AR10:AR47)</f>
        <v>6564871</v>
      </c>
      <c r="AS48" s="7">
        <f>AT48-AR48</f>
        <v>2955306</v>
      </c>
      <c r="AT48" s="8">
        <f>SUM(AT10:AT47)</f>
        <v>9520177</v>
      </c>
      <c r="AU48" s="5">
        <f>AT48/AQ48</f>
        <v>0.91798381717187949</v>
      </c>
      <c r="AV48" s="6">
        <f>SUM(AV10:AV47)</f>
        <v>10357733</v>
      </c>
      <c r="AW48" s="6">
        <f>SUM(AW10:AW47)</f>
        <v>7800846</v>
      </c>
      <c r="AX48" s="7">
        <f>AY48-AW48</f>
        <v>1784577</v>
      </c>
      <c r="AY48" s="8">
        <f>SUM(AY10:AY47)</f>
        <v>9585423</v>
      </c>
      <c r="AZ48" s="5">
        <f>AY48/AV48</f>
        <v>0.92543638651430771</v>
      </c>
      <c r="BA48" s="6">
        <f>SUM(BA10:BA47)</f>
        <v>10372198</v>
      </c>
      <c r="BB48" s="6">
        <f>SUM(BB10:BB47)</f>
        <v>7339998</v>
      </c>
      <c r="BC48" s="7">
        <f>BD48-BB48</f>
        <v>2313816</v>
      </c>
      <c r="BD48" s="8">
        <f>SUM(BD10:BD47)</f>
        <v>9653814</v>
      </c>
      <c r="BE48" s="5">
        <f>BD48/BA48</f>
        <v>0.93073946332301027</v>
      </c>
      <c r="BF48" s="6">
        <f>SUM(BF10:BF47)</f>
        <v>10427790</v>
      </c>
      <c r="BG48" s="6">
        <f>SUM(BG10:BG47)</f>
        <v>609373</v>
      </c>
      <c r="BH48" s="7">
        <f>BI48-BG48</f>
        <v>9066746</v>
      </c>
      <c r="BI48" s="8">
        <f>SUM(BI10:BI47)</f>
        <v>9676119</v>
      </c>
      <c r="BJ48" s="5">
        <f>BI48/BF48</f>
        <v>0.92791655758315039</v>
      </c>
    </row>
    <row r="57" spans="1:6" x14ac:dyDescent="0.3">
      <c r="A57" s="21" t="s">
        <v>46</v>
      </c>
      <c r="B57" s="21"/>
      <c r="C57" s="21"/>
      <c r="D57" s="21"/>
      <c r="E57" s="21"/>
      <c r="F57" s="2"/>
    </row>
  </sheetData>
  <mergeCells count="19">
    <mergeCell ref="A1:D1"/>
    <mergeCell ref="A3:B3"/>
    <mergeCell ref="A5:C5"/>
    <mergeCell ref="A8:A9"/>
    <mergeCell ref="B8:B9"/>
    <mergeCell ref="C8:G8"/>
    <mergeCell ref="A57:E57"/>
    <mergeCell ref="AQ8:AU8"/>
    <mergeCell ref="AV8:AZ8"/>
    <mergeCell ref="BA8:BE8"/>
    <mergeCell ref="BF8:BJ8"/>
    <mergeCell ref="A48:B48"/>
    <mergeCell ref="M8:Q8"/>
    <mergeCell ref="R8:V8"/>
    <mergeCell ref="W8:AA8"/>
    <mergeCell ref="AB8:AF8"/>
    <mergeCell ref="AG8:AK8"/>
    <mergeCell ref="AL8:AP8"/>
    <mergeCell ref="H8:L8"/>
  </mergeCells>
  <pageMargins left="0.7" right="0.7" top="0.75" bottom="0.75" header="0.3" footer="0.3"/>
  <pageSetup orientation="portrait" r:id="rId1"/>
  <ignoredErrors>
    <ignoredError sqref="A19:A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GST-R3B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Budhiraja</dc:creator>
  <cp:lastModifiedBy>Krishan Pal Singh</cp:lastModifiedBy>
  <dcterms:created xsi:type="dcterms:W3CDTF">2021-04-12T04:22:24Z</dcterms:created>
  <dcterms:modified xsi:type="dcterms:W3CDTF">2026-09-09T11:43:23Z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2022-09-01T04:01:45Z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66fa1e75-5c92-4c20-8d0d-2a84fbe2cc94</vt:lpwstr>
  </property>
  <property fmtid="{D5CDD505-2E9C-101B-9397-08002B2CF9AE}" pid="8" name="MSIP_Label_a0819fa7-4367-4500-ba88-dd630d977609_ContentBits">
    <vt:lpwstr>0</vt:lpwstr>
  </property>
</Properties>
</file>