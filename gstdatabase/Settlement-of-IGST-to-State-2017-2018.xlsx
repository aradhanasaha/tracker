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ul 24\GST Statistics Downloads 31ts Jul 24\Downloads\New Settlement\"/>
    </mc:Choice>
  </mc:AlternateContent>
  <xr:revisionPtr revIDLastSave="0" documentId="13_ncr:1_{C0836EE7-F3CC-4793-A383-BDD64E02F9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lement_2017_18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9" l="1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F45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34" i="9"/>
  <c r="D34" i="9"/>
  <c r="C35" i="9"/>
  <c r="D35" i="9"/>
  <c r="C36" i="9"/>
  <c r="D36" i="9"/>
  <c r="C37" i="9"/>
  <c r="D37" i="9"/>
  <c r="C38" i="9"/>
  <c r="D38" i="9"/>
  <c r="C39" i="9"/>
  <c r="D39" i="9"/>
  <c r="C40" i="9"/>
  <c r="D40" i="9"/>
  <c r="C41" i="9"/>
  <c r="D41" i="9"/>
  <c r="C42" i="9"/>
  <c r="D42" i="9"/>
  <c r="C43" i="9"/>
  <c r="D43" i="9"/>
  <c r="C44" i="9"/>
  <c r="D44" i="9"/>
  <c r="D7" i="9"/>
  <c r="C7" i="9"/>
  <c r="AC44" i="9"/>
  <c r="AC43" i="9"/>
  <c r="AC42" i="9"/>
  <c r="AC41" i="9"/>
  <c r="AC40" i="9"/>
  <c r="AC39" i="9"/>
  <c r="AC38" i="9"/>
  <c r="AC37" i="9"/>
  <c r="AC36" i="9"/>
  <c r="AC35" i="9"/>
  <c r="AC34" i="9"/>
  <c r="AC33" i="9"/>
  <c r="AC32" i="9"/>
  <c r="AC31" i="9"/>
  <c r="AC30" i="9"/>
  <c r="AC29" i="9"/>
  <c r="AC28" i="9"/>
  <c r="AC27" i="9"/>
  <c r="AC26" i="9"/>
  <c r="AC25" i="9"/>
  <c r="AC24" i="9"/>
  <c r="AC23" i="9"/>
  <c r="AC22" i="9"/>
  <c r="AC21" i="9"/>
  <c r="AC20" i="9"/>
  <c r="AC19" i="9"/>
  <c r="AC18" i="9"/>
  <c r="AC17" i="9"/>
  <c r="AC16" i="9"/>
  <c r="AC15" i="9"/>
  <c r="AC14" i="9"/>
  <c r="AC13" i="9"/>
  <c r="AC12" i="9"/>
  <c r="AC11" i="9"/>
  <c r="AC10" i="9"/>
  <c r="AC9" i="9"/>
  <c r="AC8" i="9"/>
  <c r="AC7" i="9"/>
  <c r="Z44" i="9"/>
  <c r="Z43" i="9"/>
  <c r="Z42" i="9"/>
  <c r="Z41" i="9"/>
  <c r="Z40" i="9"/>
  <c r="Z39" i="9"/>
  <c r="Z38" i="9"/>
  <c r="Z37" i="9"/>
  <c r="Z36" i="9"/>
  <c r="Z35" i="9"/>
  <c r="Z34" i="9"/>
  <c r="Z33" i="9"/>
  <c r="Z32" i="9"/>
  <c r="Z31" i="9"/>
  <c r="Z30" i="9"/>
  <c r="Z29" i="9"/>
  <c r="Z28" i="9"/>
  <c r="Z27" i="9"/>
  <c r="Z26" i="9"/>
  <c r="Z25" i="9"/>
  <c r="Z24" i="9"/>
  <c r="Z23" i="9"/>
  <c r="Z22" i="9"/>
  <c r="Z21" i="9"/>
  <c r="Z20" i="9"/>
  <c r="Z19" i="9"/>
  <c r="Z18" i="9"/>
  <c r="Z17" i="9"/>
  <c r="Z16" i="9"/>
  <c r="Z15" i="9"/>
  <c r="Z14" i="9"/>
  <c r="Z13" i="9"/>
  <c r="Z12" i="9"/>
  <c r="Z11" i="9"/>
  <c r="Z10" i="9"/>
  <c r="Z9" i="9"/>
  <c r="Z8" i="9"/>
  <c r="Z7" i="9"/>
  <c r="W44" i="9"/>
  <c r="W43" i="9"/>
  <c r="W42" i="9"/>
  <c r="W41" i="9"/>
  <c r="W40" i="9"/>
  <c r="W39" i="9"/>
  <c r="W38" i="9"/>
  <c r="W37" i="9"/>
  <c r="W36" i="9"/>
  <c r="W35" i="9"/>
  <c r="W34" i="9"/>
  <c r="W33" i="9"/>
  <c r="W32" i="9"/>
  <c r="W31" i="9"/>
  <c r="W30" i="9"/>
  <c r="W29" i="9"/>
  <c r="W28" i="9"/>
  <c r="W27" i="9"/>
  <c r="W26" i="9"/>
  <c r="W25" i="9"/>
  <c r="W24" i="9"/>
  <c r="W23" i="9"/>
  <c r="W22" i="9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Q44" i="9"/>
  <c r="Q43" i="9"/>
  <c r="Q42" i="9"/>
  <c r="Q41" i="9"/>
  <c r="Q40" i="9"/>
  <c r="Q39" i="9"/>
  <c r="E39" i="9" s="1"/>
  <c r="Q38" i="9"/>
  <c r="Q37" i="9"/>
  <c r="Q36" i="9"/>
  <c r="Q35" i="9"/>
  <c r="Q34" i="9"/>
  <c r="Q33" i="9"/>
  <c r="Q32" i="9"/>
  <c r="Q31" i="9"/>
  <c r="E31" i="9" s="1"/>
  <c r="Q30" i="9"/>
  <c r="Q29" i="9"/>
  <c r="Q28" i="9"/>
  <c r="Q27" i="9"/>
  <c r="Q26" i="9"/>
  <c r="Q25" i="9"/>
  <c r="Q24" i="9"/>
  <c r="Q23" i="9"/>
  <c r="E23" i="9" s="1"/>
  <c r="Q22" i="9"/>
  <c r="Q21" i="9"/>
  <c r="Q20" i="9"/>
  <c r="Q19" i="9"/>
  <c r="Q18" i="9"/>
  <c r="Q17" i="9"/>
  <c r="Q16" i="9"/>
  <c r="Q15" i="9"/>
  <c r="E15" i="9" s="1"/>
  <c r="Q14" i="9"/>
  <c r="Q13" i="9"/>
  <c r="Q12" i="9"/>
  <c r="Q11" i="9"/>
  <c r="Q10" i="9"/>
  <c r="Q9" i="9"/>
  <c r="Q8" i="9"/>
  <c r="Q7" i="9"/>
  <c r="E7" i="9" s="1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K44" i="9"/>
  <c r="E44" i="9" s="1"/>
  <c r="K43" i="9"/>
  <c r="K42" i="9"/>
  <c r="K41" i="9"/>
  <c r="K40" i="9"/>
  <c r="K39" i="9"/>
  <c r="K38" i="9"/>
  <c r="E38" i="9" s="1"/>
  <c r="K37" i="9"/>
  <c r="K36" i="9"/>
  <c r="E36" i="9" s="1"/>
  <c r="K35" i="9"/>
  <c r="K34" i="9"/>
  <c r="K33" i="9"/>
  <c r="K32" i="9"/>
  <c r="K31" i="9"/>
  <c r="K30" i="9"/>
  <c r="E30" i="9" s="1"/>
  <c r="K29" i="9"/>
  <c r="K28" i="9"/>
  <c r="E28" i="9" s="1"/>
  <c r="K27" i="9"/>
  <c r="K26" i="9"/>
  <c r="K25" i="9"/>
  <c r="K24" i="9"/>
  <c r="K23" i="9"/>
  <c r="K22" i="9"/>
  <c r="E22" i="9" s="1"/>
  <c r="K21" i="9"/>
  <c r="K20" i="9"/>
  <c r="E20" i="9" s="1"/>
  <c r="K19" i="9"/>
  <c r="K18" i="9"/>
  <c r="K17" i="9"/>
  <c r="K16" i="9"/>
  <c r="K15" i="9"/>
  <c r="K14" i="9"/>
  <c r="E14" i="9" s="1"/>
  <c r="K13" i="9"/>
  <c r="K12" i="9"/>
  <c r="E12" i="9" s="1"/>
  <c r="K11" i="9"/>
  <c r="K10" i="9"/>
  <c r="K9" i="9"/>
  <c r="K8" i="9"/>
  <c r="K7" i="9"/>
  <c r="H44" i="9"/>
  <c r="H43" i="9"/>
  <c r="E43" i="9" s="1"/>
  <c r="H42" i="9"/>
  <c r="E42" i="9" s="1"/>
  <c r="H41" i="9"/>
  <c r="E41" i="9" s="1"/>
  <c r="H40" i="9"/>
  <c r="E40" i="9" s="1"/>
  <c r="H39" i="9"/>
  <c r="H38" i="9"/>
  <c r="H37" i="9"/>
  <c r="E37" i="9" s="1"/>
  <c r="H36" i="9"/>
  <c r="H35" i="9"/>
  <c r="E35" i="9" s="1"/>
  <c r="H34" i="9"/>
  <c r="E34" i="9" s="1"/>
  <c r="H33" i="9"/>
  <c r="E33" i="9" s="1"/>
  <c r="H32" i="9"/>
  <c r="E32" i="9" s="1"/>
  <c r="H31" i="9"/>
  <c r="H30" i="9"/>
  <c r="H29" i="9"/>
  <c r="E29" i="9" s="1"/>
  <c r="H28" i="9"/>
  <c r="H27" i="9"/>
  <c r="E27" i="9" s="1"/>
  <c r="H26" i="9"/>
  <c r="E26" i="9" s="1"/>
  <c r="H25" i="9"/>
  <c r="E25" i="9" s="1"/>
  <c r="H24" i="9"/>
  <c r="E24" i="9" s="1"/>
  <c r="H23" i="9"/>
  <c r="H22" i="9"/>
  <c r="H21" i="9"/>
  <c r="E21" i="9" s="1"/>
  <c r="H20" i="9"/>
  <c r="H19" i="9"/>
  <c r="E19" i="9" s="1"/>
  <c r="H18" i="9"/>
  <c r="E18" i="9" s="1"/>
  <c r="H17" i="9"/>
  <c r="E17" i="9" s="1"/>
  <c r="H16" i="9"/>
  <c r="E16" i="9" s="1"/>
  <c r="H15" i="9"/>
  <c r="H14" i="9"/>
  <c r="H13" i="9"/>
  <c r="E13" i="9" s="1"/>
  <c r="H12" i="9"/>
  <c r="H11" i="9"/>
  <c r="E11" i="9" s="1"/>
  <c r="H10" i="9"/>
  <c r="E10" i="9" s="1"/>
  <c r="H9" i="9"/>
  <c r="E9" i="9" s="1"/>
  <c r="H8" i="9"/>
  <c r="E8" i="9" s="1"/>
  <c r="H7" i="9"/>
  <c r="C45" i="9" l="1"/>
  <c r="D45" i="9"/>
  <c r="E45" i="9" l="1"/>
</calcChain>
</file>

<file path=xl/sharedStrings.xml><?xml version="1.0" encoding="utf-8"?>
<sst xmlns="http://schemas.openxmlformats.org/spreadsheetml/2006/main" count="72" uniqueCount="48">
  <si>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</si>
  <si>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</si>
  <si>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</si>
  <si>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</si>
  <si>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</si>
  <si>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</si>
  <si>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</si>
  <si>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</si>
  <si>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</si>
  <si>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</si>
  <si>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</si>
  <si>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</si>
  <si>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</si>
  <si>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</si>
  <si>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</si>
  <si>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</si>
  <si>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</si>
  <si>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</si>
  <si>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</si>
  <si>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</si>
  <si>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</si>
  <si>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</si>
  <si>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</si>
  <si>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</si>
  <si>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</si>
  <si>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</si>
  <si>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</si>
  <si>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</si>
  <si>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</si>
  <si>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</si>
  <si>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</si>
  <si>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</si>
  <si>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</si>
  <si>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Total</t>
  </si>
  <si>
    <t>Chhattisgarh</t>
  </si>
  <si>
    <t>Gujarat</t>
  </si>
  <si>
    <t>Maharashtra</t>
  </si>
  <si>
    <t>(Rs. In Crore)</t>
  </si>
  <si>
    <t>FINANCIAL YEAR 2017-2018</t>
  </si>
  <si>
    <t>State Cd</t>
  </si>
  <si>
    <t>State</t>
  </si>
  <si>
    <t>SETTLEMENT OF IGST WITH STATES/UTs</t>
  </si>
  <si>
    <t>Andaman and Nicobar Island</t>
  </si>
  <si>
    <t>Regular Settlement</t>
  </si>
  <si>
    <t>Adhoc Settlement</t>
  </si>
  <si>
    <t>Ladakh</t>
  </si>
  <si>
    <t>All India</t>
  </si>
  <si>
    <t>Financial Year (2017-18)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</si>
</sst>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2" xfId="0" applyFont="1" applyBorder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43" fontId="0" fillId="0" borderId="1" xfId="1" applyFont="1" applyBorder="1"/>
    <xf numFmtId="43" fontId="5" fillId="0" borderId="1" xfId="1" applyFont="1" applyBorder="1"/>
    <xf numFmtId="164" fontId="6" fillId="3" borderId="1" xfId="0" applyNumberFormat="1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7" fontId="8" fillId="3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7" fontId="8" fillId="2" borderId="1" xfId="0" applyNumberFormat="1" applyFont="1" applyFill="1" applyBorder="1" applyAlignment="1">
      <alignment horizontal="center" vertical="center" wrapText="1"/>
    </xf>
    <xf numFmtId="43" fontId="10" fillId="0" borderId="1" xfId="1" applyFont="1" applyFill="1" applyBorder="1"/>
    <xf numFmtId="0" fontId="3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17" fontId="8" fillId="3" borderId="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tabSelected="1" zoomScale="72" workbookViewId="0">
      <selection activeCell="E21" sqref="E21"/>
    </sheetView>
  </sheetViews>
  <sheetFormatPr defaultColWidth="8.77734375" defaultRowHeight="14.4" x14ac:dyDescent="0.3"/>
  <cols>
    <col min="2" max="2" width="23.6640625" bestFit="1" customWidth="1"/>
    <col min="3" max="5" width="18.109375" customWidth="1"/>
    <col min="6" max="29" width="13.5546875" customWidth="1"/>
  </cols>
  <sheetData>
    <row r="1" spans="1:29" ht="22.95" customHeight="1" x14ac:dyDescent="0.35">
      <c r="A1" s="5" t="s">
        <v>41</v>
      </c>
      <c r="B1" s="5"/>
      <c r="C1" s="5"/>
    </row>
    <row r="2" spans="1:29" ht="22.95" customHeight="1" x14ac:dyDescent="0.35">
      <c r="A2" s="3"/>
      <c r="B2" s="3"/>
      <c r="C2" s="3"/>
      <c r="U2" s="3"/>
    </row>
    <row r="3" spans="1:29" ht="22.95" customHeight="1" x14ac:dyDescent="0.35">
      <c r="A3" s="14" t="s">
        <v>38</v>
      </c>
      <c r="B3" s="14"/>
      <c r="C3" s="4"/>
      <c r="D3" s="5" t="s">
        <v>37</v>
      </c>
    </row>
    <row r="5" spans="1:29" s="11" customFormat="1" ht="15.6" x14ac:dyDescent="0.3">
      <c r="A5" s="17" t="s">
        <v>39</v>
      </c>
      <c r="B5" s="17" t="s">
        <v>40</v>
      </c>
      <c r="C5" s="15" t="s">
        <v>47</v>
      </c>
      <c r="D5" s="15"/>
      <c r="E5" s="15"/>
      <c r="F5" s="16">
        <v>42948</v>
      </c>
      <c r="G5" s="16"/>
      <c r="H5" s="16"/>
      <c r="I5" s="16">
        <v>42979</v>
      </c>
      <c r="J5" s="16"/>
      <c r="K5" s="16"/>
      <c r="L5" s="16">
        <v>43009</v>
      </c>
      <c r="M5" s="16"/>
      <c r="N5" s="16"/>
      <c r="O5" s="16">
        <v>43040</v>
      </c>
      <c r="P5" s="16"/>
      <c r="Q5" s="16"/>
      <c r="R5" s="16">
        <v>43070</v>
      </c>
      <c r="S5" s="16"/>
      <c r="T5" s="16"/>
      <c r="U5" s="16">
        <v>43101</v>
      </c>
      <c r="V5" s="16"/>
      <c r="W5" s="16"/>
      <c r="X5" s="16">
        <v>43132</v>
      </c>
      <c r="Y5" s="16"/>
      <c r="Z5" s="16"/>
      <c r="AA5" s="16">
        <v>43160</v>
      </c>
      <c r="AB5" s="16"/>
      <c r="AC5" s="16"/>
    </row>
    <row r="6" spans="1:29" s="11" customFormat="1" ht="31.2" x14ac:dyDescent="0.3">
      <c r="A6" s="17"/>
      <c r="B6" s="17"/>
      <c r="C6" s="10" t="s">
        <v>43</v>
      </c>
      <c r="D6" s="10" t="s">
        <v>44</v>
      </c>
      <c r="E6" s="10" t="s">
        <v>33</v>
      </c>
      <c r="F6" s="12" t="s">
        <v>43</v>
      </c>
      <c r="G6" s="12" t="s">
        <v>44</v>
      </c>
      <c r="H6" s="12" t="s">
        <v>33</v>
      </c>
      <c r="I6" s="12" t="s">
        <v>43</v>
      </c>
      <c r="J6" s="12" t="s">
        <v>44</v>
      </c>
      <c r="K6" s="12" t="s">
        <v>33</v>
      </c>
      <c r="L6" s="12" t="s">
        <v>43</v>
      </c>
      <c r="M6" s="12" t="s">
        <v>44</v>
      </c>
      <c r="N6" s="12" t="s">
        <v>33</v>
      </c>
      <c r="O6" s="12" t="s">
        <v>43</v>
      </c>
      <c r="P6" s="12" t="s">
        <v>44</v>
      </c>
      <c r="Q6" s="12" t="s">
        <v>33</v>
      </c>
      <c r="R6" s="12" t="s">
        <v>43</v>
      </c>
      <c r="S6" s="12" t="s">
        <v>44</v>
      </c>
      <c r="T6" s="12" t="s">
        <v>33</v>
      </c>
      <c r="U6" s="12" t="s">
        <v>43</v>
      </c>
      <c r="V6" s="12" t="s">
        <v>44</v>
      </c>
      <c r="W6" s="12" t="s">
        <v>33</v>
      </c>
      <c r="X6" s="12" t="s">
        <v>43</v>
      </c>
      <c r="Y6" s="12" t="s">
        <v>44</v>
      </c>
      <c r="Z6" s="12" t="s">
        <v>33</v>
      </c>
      <c r="AA6" s="12" t="s">
        <v>43</v>
      </c>
      <c r="AB6" s="12" t="s">
        <v>44</v>
      </c>
      <c r="AC6" s="12" t="s">
        <v>33</v>
      </c>
    </row>
    <row r="7" spans="1:29" x14ac:dyDescent="0.3">
      <c r="A7" s="1">
        <v>1</v>
      </c>
      <c r="B7" s="1" t="s">
        <v>0</v>
      </c>
      <c r="C7" s="8">
        <f>F7+I7+L7+O7+R7+U7+X7+AA7</f>
        <v>1401.5165245559999</v>
      </c>
      <c r="D7" s="8">
        <f>G7+J7+M7+P7+S7+V7+Y7+AB7</f>
        <v>209</v>
      </c>
      <c r="E7" s="8">
        <f>H7+K7+N7+Q7+T7+W7+Z7+AC7</f>
        <v>1610.5165245559999</v>
      </c>
      <c r="F7" s="6">
        <v>83.416209933000005</v>
      </c>
      <c r="G7" s="7">
        <v>0</v>
      </c>
      <c r="H7" s="7">
        <f>F7+G7</f>
        <v>83.416209933000005</v>
      </c>
      <c r="I7" s="6">
        <v>142.56250829999999</v>
      </c>
      <c r="J7" s="7">
        <v>0</v>
      </c>
      <c r="K7" s="7">
        <f>I7+J7</f>
        <v>142.56250829999999</v>
      </c>
      <c r="L7" s="6">
        <v>195.82229102299999</v>
      </c>
      <c r="M7" s="7">
        <v>0</v>
      </c>
      <c r="N7" s="7">
        <f>L7+M7</f>
        <v>195.82229102299999</v>
      </c>
      <c r="O7" s="6">
        <v>209.2640667</v>
      </c>
      <c r="P7" s="7">
        <v>0</v>
      </c>
      <c r="Q7" s="7">
        <f>O7+P7</f>
        <v>209.2640667</v>
      </c>
      <c r="R7" s="6">
        <v>186.70834310000001</v>
      </c>
      <c r="S7" s="7">
        <v>0</v>
      </c>
      <c r="T7" s="7">
        <f>R7+S7</f>
        <v>186.70834310000001</v>
      </c>
      <c r="U7" s="6">
        <v>224.52967269999999</v>
      </c>
      <c r="V7" s="7">
        <v>0</v>
      </c>
      <c r="W7" s="7">
        <f>U7+V7</f>
        <v>224.52967269999999</v>
      </c>
      <c r="X7" s="6">
        <v>180.39246069999999</v>
      </c>
      <c r="Y7" s="6">
        <v>209</v>
      </c>
      <c r="Z7" s="7">
        <f>X7+Y7</f>
        <v>389.39246070000002</v>
      </c>
      <c r="AA7" s="6">
        <v>178.82097210000001</v>
      </c>
      <c r="AB7" s="7">
        <v>0</v>
      </c>
      <c r="AC7" s="7">
        <f>AA7+AB7</f>
        <v>178.82097210000001</v>
      </c>
    </row>
    <row r="8" spans="1:29" x14ac:dyDescent="0.3">
      <c r="A8" s="1">
        <v>2</v>
      </c>
      <c r="B8" s="1" t="s">
        <v>1</v>
      </c>
      <c r="C8" s="8">
        <f t="shared" ref="C8:C44" si="0">F8+I8+L8+O8+R8+U8+X8+AA8</f>
        <v>692.59121277399993</v>
      </c>
      <c r="D8" s="8">
        <f t="shared" ref="D8:D44" si="1">G8+J8+M8+P8+S8+V8+Y8+AB8</f>
        <v>159</v>
      </c>
      <c r="E8" s="8">
        <f t="shared" ref="E8:E44" si="2">H8+K8+N8+Q8+T8+W8+Z8+AC8</f>
        <v>851.59121277399993</v>
      </c>
      <c r="F8" s="6">
        <v>63.515337667999994</v>
      </c>
      <c r="G8" s="7">
        <v>0</v>
      </c>
      <c r="H8" s="7">
        <f t="shared" ref="H8:H44" si="3">F8+G8</f>
        <v>63.515337667999994</v>
      </c>
      <c r="I8" s="6">
        <v>68.599230399999996</v>
      </c>
      <c r="J8" s="7">
        <v>0</v>
      </c>
      <c r="K8" s="7">
        <f t="shared" ref="K8:K44" si="4">I8+J8</f>
        <v>68.599230399999996</v>
      </c>
      <c r="L8" s="6">
        <v>75.951647506</v>
      </c>
      <c r="M8" s="7">
        <v>0</v>
      </c>
      <c r="N8" s="7">
        <f t="shared" ref="N8:N44" si="5">L8+M8</f>
        <v>75.951647506</v>
      </c>
      <c r="O8" s="6">
        <v>107.9755191</v>
      </c>
      <c r="P8" s="7">
        <v>0</v>
      </c>
      <c r="Q8" s="7">
        <f t="shared" ref="Q8:Q44" si="6">O8+P8</f>
        <v>107.9755191</v>
      </c>
      <c r="R8" s="6">
        <v>91.647469799999996</v>
      </c>
      <c r="S8" s="7">
        <v>0</v>
      </c>
      <c r="T8" s="7">
        <f t="shared" ref="T8:T44" si="7">R8+S8</f>
        <v>91.647469799999996</v>
      </c>
      <c r="U8" s="6">
        <v>105.6253327</v>
      </c>
      <c r="V8" s="7">
        <v>0</v>
      </c>
      <c r="W8" s="7">
        <f t="shared" ref="W8:W44" si="8">U8+V8</f>
        <v>105.6253327</v>
      </c>
      <c r="X8" s="6">
        <v>89.394623899999999</v>
      </c>
      <c r="Y8" s="6">
        <v>159</v>
      </c>
      <c r="Z8" s="7">
        <f t="shared" ref="Z8:Z44" si="9">X8+Y8</f>
        <v>248.3946239</v>
      </c>
      <c r="AA8" s="6">
        <v>89.882051700000005</v>
      </c>
      <c r="AB8" s="7">
        <v>0</v>
      </c>
      <c r="AC8" s="7">
        <f t="shared" ref="AC8:AC44" si="10">AA8+AB8</f>
        <v>89.882051700000005</v>
      </c>
    </row>
    <row r="9" spans="1:29" x14ac:dyDescent="0.3">
      <c r="A9" s="1">
        <v>3</v>
      </c>
      <c r="B9" s="1" t="s">
        <v>2</v>
      </c>
      <c r="C9" s="8">
        <f t="shared" si="0"/>
        <v>3663.9996300180001</v>
      </c>
      <c r="D9" s="8">
        <f t="shared" si="1"/>
        <v>633</v>
      </c>
      <c r="E9" s="8">
        <f t="shared" si="2"/>
        <v>4296.9996300180001</v>
      </c>
      <c r="F9" s="6">
        <v>277.15933738000001</v>
      </c>
      <c r="G9" s="7">
        <v>0</v>
      </c>
      <c r="H9" s="7">
        <f t="shared" si="3"/>
        <v>277.15933738000001</v>
      </c>
      <c r="I9" s="6">
        <v>449.5899493</v>
      </c>
      <c r="J9" s="7">
        <v>0</v>
      </c>
      <c r="K9" s="7">
        <f t="shared" si="4"/>
        <v>449.5899493</v>
      </c>
      <c r="L9" s="6">
        <v>478.66180283800003</v>
      </c>
      <c r="M9" s="7">
        <v>0</v>
      </c>
      <c r="N9" s="7">
        <f t="shared" si="5"/>
        <v>478.66180283800003</v>
      </c>
      <c r="O9" s="6">
        <v>488.62741360000001</v>
      </c>
      <c r="P9" s="7">
        <v>0</v>
      </c>
      <c r="Q9" s="7">
        <f t="shared" si="6"/>
        <v>488.62741360000001</v>
      </c>
      <c r="R9" s="6">
        <v>466.5992976</v>
      </c>
      <c r="S9" s="7">
        <v>0</v>
      </c>
      <c r="T9" s="7">
        <f t="shared" si="7"/>
        <v>466.5992976</v>
      </c>
      <c r="U9" s="6">
        <v>525.9906628</v>
      </c>
      <c r="V9" s="7">
        <v>0</v>
      </c>
      <c r="W9" s="7">
        <f t="shared" si="8"/>
        <v>525.9906628</v>
      </c>
      <c r="X9" s="6">
        <v>498.92363440000003</v>
      </c>
      <c r="Y9" s="6">
        <v>633</v>
      </c>
      <c r="Z9" s="7">
        <f t="shared" si="9"/>
        <v>1131.9236344000001</v>
      </c>
      <c r="AA9" s="6">
        <v>478.44753209999999</v>
      </c>
      <c r="AB9" s="7">
        <v>0</v>
      </c>
      <c r="AC9" s="7">
        <f t="shared" si="10"/>
        <v>478.44753209999999</v>
      </c>
    </row>
    <row r="10" spans="1:29" x14ac:dyDescent="0.3">
      <c r="A10" s="1">
        <v>4</v>
      </c>
      <c r="B10" s="1" t="s">
        <v>3</v>
      </c>
      <c r="C10" s="8">
        <f t="shared" si="0"/>
        <v>453.70234806399998</v>
      </c>
      <c r="D10" s="8">
        <f t="shared" si="1"/>
        <v>64</v>
      </c>
      <c r="E10" s="8">
        <f t="shared" si="2"/>
        <v>517.70234806400003</v>
      </c>
      <c r="F10" s="6">
        <v>34.907894399</v>
      </c>
      <c r="G10" s="7">
        <v>0</v>
      </c>
      <c r="H10" s="7">
        <f t="shared" si="3"/>
        <v>34.907894399</v>
      </c>
      <c r="I10" s="6">
        <v>56.401919399999997</v>
      </c>
      <c r="J10" s="7">
        <v>0</v>
      </c>
      <c r="K10" s="7">
        <f t="shared" si="4"/>
        <v>56.401919399999997</v>
      </c>
      <c r="L10" s="6">
        <v>64.695050164999998</v>
      </c>
      <c r="M10" s="7">
        <v>0</v>
      </c>
      <c r="N10" s="7">
        <f t="shared" si="5"/>
        <v>64.695050164999998</v>
      </c>
      <c r="O10" s="6">
        <v>57.516165000000001</v>
      </c>
      <c r="P10" s="7">
        <v>0</v>
      </c>
      <c r="Q10" s="7">
        <f t="shared" si="6"/>
        <v>57.516165000000001</v>
      </c>
      <c r="R10" s="6">
        <v>60.360177100000001</v>
      </c>
      <c r="S10" s="7">
        <v>0</v>
      </c>
      <c r="T10" s="7">
        <f t="shared" si="7"/>
        <v>60.360177100000001</v>
      </c>
      <c r="U10" s="6">
        <v>63.5817111</v>
      </c>
      <c r="V10" s="7">
        <v>0</v>
      </c>
      <c r="W10" s="7">
        <f t="shared" si="8"/>
        <v>63.5817111</v>
      </c>
      <c r="X10" s="6">
        <v>56.827496600000003</v>
      </c>
      <c r="Y10" s="6">
        <v>64</v>
      </c>
      <c r="Z10" s="7">
        <f t="shared" si="9"/>
        <v>120.8274966</v>
      </c>
      <c r="AA10" s="6">
        <v>59.411934299999999</v>
      </c>
      <c r="AB10" s="7">
        <v>0</v>
      </c>
      <c r="AC10" s="7">
        <f t="shared" si="10"/>
        <v>59.411934299999999</v>
      </c>
    </row>
    <row r="11" spans="1:29" x14ac:dyDescent="0.3">
      <c r="A11" s="1">
        <v>5</v>
      </c>
      <c r="B11" s="1" t="s">
        <v>4</v>
      </c>
      <c r="C11" s="8">
        <f t="shared" si="0"/>
        <v>104.90714350799999</v>
      </c>
      <c r="D11" s="8">
        <f t="shared" si="1"/>
        <v>217</v>
      </c>
      <c r="E11" s="8">
        <f t="shared" si="2"/>
        <v>321.90714350799999</v>
      </c>
      <c r="F11" s="6">
        <v>-40.988784232999997</v>
      </c>
      <c r="G11" s="7">
        <v>0</v>
      </c>
      <c r="H11" s="7">
        <f t="shared" si="3"/>
        <v>-40.988784232999997</v>
      </c>
      <c r="I11" s="6">
        <v>-21.5711008</v>
      </c>
      <c r="J11" s="7">
        <v>0</v>
      </c>
      <c r="K11" s="7">
        <f t="shared" si="4"/>
        <v>-21.5711008</v>
      </c>
      <c r="L11" s="6">
        <v>-9.8683575589999997</v>
      </c>
      <c r="M11" s="7">
        <v>0</v>
      </c>
      <c r="N11" s="7">
        <f t="shared" si="5"/>
        <v>-9.8683575589999997</v>
      </c>
      <c r="O11" s="6">
        <v>27.9778129</v>
      </c>
      <c r="P11" s="7">
        <v>0</v>
      </c>
      <c r="Q11" s="7">
        <f t="shared" si="6"/>
        <v>27.9778129</v>
      </c>
      <c r="R11" s="6">
        <v>38.101392199999999</v>
      </c>
      <c r="S11" s="7">
        <v>0</v>
      </c>
      <c r="T11" s="7">
        <f t="shared" si="7"/>
        <v>38.101392199999999</v>
      </c>
      <c r="U11" s="6">
        <v>80.071826299999998</v>
      </c>
      <c r="V11" s="7">
        <v>0</v>
      </c>
      <c r="W11" s="7">
        <f t="shared" si="8"/>
        <v>80.071826299999998</v>
      </c>
      <c r="X11" s="6">
        <v>23.058371699999999</v>
      </c>
      <c r="Y11" s="6">
        <v>217</v>
      </c>
      <c r="Z11" s="7">
        <f t="shared" si="9"/>
        <v>240.05837170000001</v>
      </c>
      <c r="AA11" s="6">
        <v>8.1259829999999997</v>
      </c>
      <c r="AB11" s="7">
        <v>0</v>
      </c>
      <c r="AC11" s="7">
        <f t="shared" si="10"/>
        <v>8.1259829999999997</v>
      </c>
    </row>
    <row r="12" spans="1:29" x14ac:dyDescent="0.3">
      <c r="A12" s="1">
        <v>6</v>
      </c>
      <c r="B12" s="1" t="s">
        <v>5</v>
      </c>
      <c r="C12" s="8">
        <f t="shared" si="0"/>
        <v>1641.6272753369999</v>
      </c>
      <c r="D12" s="8">
        <f t="shared" si="1"/>
        <v>667</v>
      </c>
      <c r="E12" s="8">
        <f t="shared" si="2"/>
        <v>2308.6272753369999</v>
      </c>
      <c r="F12" s="6">
        <v>-286.673182849</v>
      </c>
      <c r="G12" s="7">
        <v>0</v>
      </c>
      <c r="H12" s="7">
        <f t="shared" si="3"/>
        <v>-286.673182849</v>
      </c>
      <c r="I12" s="6">
        <v>113.7607823</v>
      </c>
      <c r="J12" s="7">
        <v>0</v>
      </c>
      <c r="K12" s="7">
        <f t="shared" si="4"/>
        <v>113.7607823</v>
      </c>
      <c r="L12" s="6">
        <v>232.71287438599995</v>
      </c>
      <c r="M12" s="7">
        <v>0</v>
      </c>
      <c r="N12" s="7">
        <f t="shared" si="5"/>
        <v>232.71287438599995</v>
      </c>
      <c r="O12" s="6">
        <v>152.6402818</v>
      </c>
      <c r="P12" s="7">
        <v>0</v>
      </c>
      <c r="Q12" s="7">
        <f t="shared" si="6"/>
        <v>152.6402818</v>
      </c>
      <c r="R12" s="6">
        <v>380.44686359999997</v>
      </c>
      <c r="S12" s="7">
        <v>0</v>
      </c>
      <c r="T12" s="7">
        <f t="shared" si="7"/>
        <v>380.44686359999997</v>
      </c>
      <c r="U12" s="6">
        <v>351.99162940000002</v>
      </c>
      <c r="V12" s="7">
        <v>0</v>
      </c>
      <c r="W12" s="7">
        <f t="shared" si="8"/>
        <v>351.99162940000002</v>
      </c>
      <c r="X12" s="6">
        <v>402.49620709999999</v>
      </c>
      <c r="Y12" s="6">
        <v>667</v>
      </c>
      <c r="Z12" s="7">
        <f t="shared" si="9"/>
        <v>1069.4962071</v>
      </c>
      <c r="AA12" s="6">
        <v>294.25181959999998</v>
      </c>
      <c r="AB12" s="7">
        <v>0</v>
      </c>
      <c r="AC12" s="7">
        <f t="shared" si="10"/>
        <v>294.25181959999998</v>
      </c>
    </row>
    <row r="13" spans="1:29" x14ac:dyDescent="0.3">
      <c r="A13" s="1">
        <v>7</v>
      </c>
      <c r="B13" s="1" t="s">
        <v>6</v>
      </c>
      <c r="C13" s="8">
        <f t="shared" si="0"/>
        <v>4924.9413922019994</v>
      </c>
      <c r="D13" s="8">
        <f t="shared" si="1"/>
        <v>735</v>
      </c>
      <c r="E13" s="8">
        <f t="shared" si="2"/>
        <v>5659.9413922019994</v>
      </c>
      <c r="F13" s="6">
        <v>448.41167812600003</v>
      </c>
      <c r="G13" s="7">
        <v>0</v>
      </c>
      <c r="H13" s="7">
        <f t="shared" si="3"/>
        <v>448.41167812600003</v>
      </c>
      <c r="I13" s="6">
        <v>641.09521089999998</v>
      </c>
      <c r="J13" s="7">
        <v>0</v>
      </c>
      <c r="K13" s="7">
        <f t="shared" si="4"/>
        <v>641.09521089999998</v>
      </c>
      <c r="L13" s="6">
        <v>752.27213747600001</v>
      </c>
      <c r="M13" s="7">
        <v>0</v>
      </c>
      <c r="N13" s="7">
        <f t="shared" si="5"/>
        <v>752.27213747600001</v>
      </c>
      <c r="O13" s="6">
        <v>750.67958710000005</v>
      </c>
      <c r="P13" s="7">
        <v>0</v>
      </c>
      <c r="Q13" s="7">
        <f t="shared" si="6"/>
        <v>750.67958710000005</v>
      </c>
      <c r="R13" s="6">
        <v>695.94597060000001</v>
      </c>
      <c r="S13" s="7">
        <v>0</v>
      </c>
      <c r="T13" s="7">
        <f t="shared" si="7"/>
        <v>695.94597060000001</v>
      </c>
      <c r="U13" s="6">
        <v>616.19448199999999</v>
      </c>
      <c r="V13" s="7">
        <v>0</v>
      </c>
      <c r="W13" s="7">
        <f t="shared" si="8"/>
        <v>616.19448199999999</v>
      </c>
      <c r="X13" s="6">
        <v>509.68618959999998</v>
      </c>
      <c r="Y13" s="6">
        <v>735</v>
      </c>
      <c r="Z13" s="7">
        <f t="shared" si="9"/>
        <v>1244.6861896</v>
      </c>
      <c r="AA13" s="6">
        <v>510.65613639999998</v>
      </c>
      <c r="AB13" s="7">
        <v>0</v>
      </c>
      <c r="AC13" s="7">
        <f t="shared" si="10"/>
        <v>510.65613639999998</v>
      </c>
    </row>
    <row r="14" spans="1:29" x14ac:dyDescent="0.3">
      <c r="A14" s="1">
        <v>8</v>
      </c>
      <c r="B14" s="1" t="s">
        <v>7</v>
      </c>
      <c r="C14" s="8">
        <f t="shared" si="0"/>
        <v>5125.8117364599993</v>
      </c>
      <c r="D14" s="8">
        <f t="shared" si="1"/>
        <v>751</v>
      </c>
      <c r="E14" s="8">
        <f t="shared" si="2"/>
        <v>5876.8117364600002</v>
      </c>
      <c r="F14" s="6">
        <v>403.37032058400001</v>
      </c>
      <c r="G14" s="7">
        <v>0</v>
      </c>
      <c r="H14" s="7">
        <f t="shared" si="3"/>
        <v>403.37032058400001</v>
      </c>
      <c r="I14" s="6">
        <v>573.73018009999998</v>
      </c>
      <c r="J14" s="7">
        <v>0</v>
      </c>
      <c r="K14" s="7">
        <f t="shared" si="4"/>
        <v>573.73018009999998</v>
      </c>
      <c r="L14" s="6">
        <v>641.20037007600001</v>
      </c>
      <c r="M14" s="7">
        <v>0</v>
      </c>
      <c r="N14" s="7">
        <f t="shared" si="5"/>
        <v>641.20037007600001</v>
      </c>
      <c r="O14" s="6">
        <v>684.0857072</v>
      </c>
      <c r="P14" s="7">
        <v>0</v>
      </c>
      <c r="Q14" s="7">
        <f t="shared" si="6"/>
        <v>684.0857072</v>
      </c>
      <c r="R14" s="6">
        <v>758.13430059999996</v>
      </c>
      <c r="S14" s="7">
        <v>0</v>
      </c>
      <c r="T14" s="7">
        <f t="shared" si="7"/>
        <v>758.13430059999996</v>
      </c>
      <c r="U14" s="6">
        <v>679.01148660000001</v>
      </c>
      <c r="V14" s="7">
        <v>0</v>
      </c>
      <c r="W14" s="7">
        <f t="shared" si="8"/>
        <v>679.01148660000001</v>
      </c>
      <c r="X14" s="6">
        <v>672.83394269999997</v>
      </c>
      <c r="Y14" s="6">
        <v>751</v>
      </c>
      <c r="Z14" s="7">
        <f t="shared" si="9"/>
        <v>1423.8339427000001</v>
      </c>
      <c r="AA14" s="6">
        <v>713.44542860000001</v>
      </c>
      <c r="AB14" s="7">
        <v>0</v>
      </c>
      <c r="AC14" s="7">
        <f t="shared" si="10"/>
        <v>713.44542860000001</v>
      </c>
    </row>
    <row r="15" spans="1:29" x14ac:dyDescent="0.3">
      <c r="A15" s="1">
        <v>9</v>
      </c>
      <c r="B15" s="1" t="s">
        <v>8</v>
      </c>
      <c r="C15" s="8">
        <f t="shared" si="0"/>
        <v>12495.906676674</v>
      </c>
      <c r="D15" s="8">
        <f t="shared" si="1"/>
        <v>1460</v>
      </c>
      <c r="E15" s="8">
        <f t="shared" si="2"/>
        <v>13955.906676674</v>
      </c>
      <c r="F15" s="6">
        <v>1553.760259468</v>
      </c>
      <c r="G15" s="7">
        <v>0</v>
      </c>
      <c r="H15" s="7">
        <f t="shared" si="3"/>
        <v>1553.760259468</v>
      </c>
      <c r="I15" s="6">
        <v>1195.1561721999999</v>
      </c>
      <c r="J15" s="7">
        <v>0</v>
      </c>
      <c r="K15" s="7">
        <f t="shared" si="4"/>
        <v>1195.1561721999999</v>
      </c>
      <c r="L15" s="6">
        <v>1513.418243806</v>
      </c>
      <c r="M15" s="7">
        <v>0</v>
      </c>
      <c r="N15" s="7">
        <f t="shared" si="5"/>
        <v>1513.418243806</v>
      </c>
      <c r="O15" s="6">
        <v>1689.8046624000001</v>
      </c>
      <c r="P15" s="7">
        <v>0</v>
      </c>
      <c r="Q15" s="7">
        <f t="shared" si="6"/>
        <v>1689.8046624000001</v>
      </c>
      <c r="R15" s="6">
        <v>1637.8167242</v>
      </c>
      <c r="S15" s="7">
        <v>0</v>
      </c>
      <c r="T15" s="7">
        <f t="shared" si="7"/>
        <v>1637.8167242</v>
      </c>
      <c r="U15" s="6">
        <v>1686.5370237</v>
      </c>
      <c r="V15" s="7">
        <v>0</v>
      </c>
      <c r="W15" s="7">
        <f t="shared" si="8"/>
        <v>1686.5370237</v>
      </c>
      <c r="X15" s="6">
        <v>1581.4593474000001</v>
      </c>
      <c r="Y15" s="6">
        <v>1460</v>
      </c>
      <c r="Z15" s="7">
        <f t="shared" si="9"/>
        <v>3041.4593474000003</v>
      </c>
      <c r="AA15" s="6">
        <v>1637.9542435000001</v>
      </c>
      <c r="AB15" s="7">
        <v>0</v>
      </c>
      <c r="AC15" s="7">
        <f t="shared" si="10"/>
        <v>1637.9542435000001</v>
      </c>
    </row>
    <row r="16" spans="1:29" x14ac:dyDescent="0.3">
      <c r="A16" s="1">
        <v>10</v>
      </c>
      <c r="B16" s="1" t="s">
        <v>9</v>
      </c>
      <c r="C16" s="8">
        <f t="shared" si="0"/>
        <v>3831.9560896020002</v>
      </c>
      <c r="D16" s="8">
        <f t="shared" si="1"/>
        <v>552</v>
      </c>
      <c r="E16" s="8">
        <f t="shared" si="2"/>
        <v>4383.9560896020002</v>
      </c>
      <c r="F16" s="6">
        <v>275.49749987800004</v>
      </c>
      <c r="G16" s="7">
        <v>0</v>
      </c>
      <c r="H16" s="7">
        <f t="shared" si="3"/>
        <v>275.49749987800004</v>
      </c>
      <c r="I16" s="6">
        <v>346.13481910000002</v>
      </c>
      <c r="J16" s="7">
        <v>0</v>
      </c>
      <c r="K16" s="7">
        <f t="shared" si="4"/>
        <v>346.13481910000002</v>
      </c>
      <c r="L16" s="6">
        <v>491.63324092399995</v>
      </c>
      <c r="M16" s="7">
        <v>0</v>
      </c>
      <c r="N16" s="7">
        <f t="shared" si="5"/>
        <v>491.63324092399995</v>
      </c>
      <c r="O16" s="6">
        <v>528.44215540000005</v>
      </c>
      <c r="P16" s="7">
        <v>0</v>
      </c>
      <c r="Q16" s="7">
        <f t="shared" si="6"/>
        <v>528.44215540000005</v>
      </c>
      <c r="R16" s="6">
        <v>565.21580530000006</v>
      </c>
      <c r="S16" s="7">
        <v>0</v>
      </c>
      <c r="T16" s="7">
        <f t="shared" si="7"/>
        <v>565.21580530000006</v>
      </c>
      <c r="U16" s="6">
        <v>537.10725820000005</v>
      </c>
      <c r="V16" s="7">
        <v>0</v>
      </c>
      <c r="W16" s="7">
        <f t="shared" si="8"/>
        <v>537.10725820000005</v>
      </c>
      <c r="X16" s="6">
        <v>549.89226310000004</v>
      </c>
      <c r="Y16" s="6">
        <v>552</v>
      </c>
      <c r="Z16" s="7">
        <f t="shared" si="9"/>
        <v>1101.8922631</v>
      </c>
      <c r="AA16" s="6">
        <v>538.0330477</v>
      </c>
      <c r="AB16" s="7">
        <v>0</v>
      </c>
      <c r="AC16" s="7">
        <f t="shared" si="10"/>
        <v>538.0330477</v>
      </c>
    </row>
    <row r="17" spans="1:29" x14ac:dyDescent="0.3">
      <c r="A17" s="1">
        <v>11</v>
      </c>
      <c r="B17" s="1" t="s">
        <v>10</v>
      </c>
      <c r="C17" s="8">
        <f t="shared" si="0"/>
        <v>76.506617659</v>
      </c>
      <c r="D17" s="8">
        <f t="shared" si="1"/>
        <v>11</v>
      </c>
      <c r="E17" s="8">
        <f t="shared" si="2"/>
        <v>87.506617659</v>
      </c>
      <c r="F17" s="6">
        <v>5.2637057560000002</v>
      </c>
      <c r="G17" s="7">
        <v>0</v>
      </c>
      <c r="H17" s="7">
        <f t="shared" si="3"/>
        <v>5.2637057560000002</v>
      </c>
      <c r="I17" s="6">
        <v>6.7459502999999996</v>
      </c>
      <c r="J17" s="7">
        <v>0</v>
      </c>
      <c r="K17" s="7">
        <f t="shared" si="4"/>
        <v>6.7459502999999996</v>
      </c>
      <c r="L17" s="6">
        <v>6.1382371029999998</v>
      </c>
      <c r="M17" s="7">
        <v>0</v>
      </c>
      <c r="N17" s="7">
        <f t="shared" si="5"/>
        <v>6.1382371029999998</v>
      </c>
      <c r="O17" s="6">
        <v>10.436882300000001</v>
      </c>
      <c r="P17" s="7">
        <v>0</v>
      </c>
      <c r="Q17" s="7">
        <f t="shared" si="6"/>
        <v>10.436882300000001</v>
      </c>
      <c r="R17" s="6">
        <v>10.7436212</v>
      </c>
      <c r="S17" s="7">
        <v>0</v>
      </c>
      <c r="T17" s="7">
        <f t="shared" si="7"/>
        <v>10.7436212</v>
      </c>
      <c r="U17" s="6">
        <v>10.741179300000001</v>
      </c>
      <c r="V17" s="7">
        <v>0</v>
      </c>
      <c r="W17" s="7">
        <f t="shared" si="8"/>
        <v>10.741179300000001</v>
      </c>
      <c r="X17" s="6">
        <v>10.222417500000001</v>
      </c>
      <c r="Y17" s="6">
        <v>11</v>
      </c>
      <c r="Z17" s="7">
        <f t="shared" si="9"/>
        <v>21.222417499999999</v>
      </c>
      <c r="AA17" s="6">
        <v>16.214624199999999</v>
      </c>
      <c r="AB17" s="7">
        <v>0</v>
      </c>
      <c r="AC17" s="7">
        <f t="shared" si="10"/>
        <v>16.214624199999999</v>
      </c>
    </row>
    <row r="18" spans="1:29" x14ac:dyDescent="0.3">
      <c r="A18" s="1">
        <v>12</v>
      </c>
      <c r="B18" s="1" t="s">
        <v>11</v>
      </c>
      <c r="C18" s="8">
        <f t="shared" si="0"/>
        <v>152.527070028</v>
      </c>
      <c r="D18" s="8">
        <f t="shared" si="1"/>
        <v>11</v>
      </c>
      <c r="E18" s="8">
        <f t="shared" si="2"/>
        <v>163.52707002800003</v>
      </c>
      <c r="F18" s="6">
        <v>9.7429840680000002</v>
      </c>
      <c r="G18" s="7">
        <v>0</v>
      </c>
      <c r="H18" s="7">
        <f t="shared" si="3"/>
        <v>9.7429840680000002</v>
      </c>
      <c r="I18" s="6">
        <v>10.3357294</v>
      </c>
      <c r="J18" s="7">
        <v>0</v>
      </c>
      <c r="K18" s="7">
        <f t="shared" si="4"/>
        <v>10.3357294</v>
      </c>
      <c r="L18" s="6">
        <v>13.96429066</v>
      </c>
      <c r="M18" s="7">
        <v>0</v>
      </c>
      <c r="N18" s="7">
        <f t="shared" si="5"/>
        <v>13.96429066</v>
      </c>
      <c r="O18" s="6">
        <v>17.8050581</v>
      </c>
      <c r="P18" s="7">
        <v>0</v>
      </c>
      <c r="Q18" s="7">
        <f t="shared" si="6"/>
        <v>17.8050581</v>
      </c>
      <c r="R18" s="6">
        <v>21.694389999999999</v>
      </c>
      <c r="S18" s="7">
        <v>0</v>
      </c>
      <c r="T18" s="7">
        <f t="shared" si="7"/>
        <v>21.694389999999999</v>
      </c>
      <c r="U18" s="6">
        <v>34.862344700000001</v>
      </c>
      <c r="V18" s="7">
        <v>0</v>
      </c>
      <c r="W18" s="7">
        <f t="shared" si="8"/>
        <v>34.862344700000001</v>
      </c>
      <c r="X18" s="6">
        <v>22.914401600000001</v>
      </c>
      <c r="Y18" s="6">
        <v>11</v>
      </c>
      <c r="Z18" s="7">
        <f t="shared" si="9"/>
        <v>33.914401600000005</v>
      </c>
      <c r="AA18" s="6">
        <v>21.2078715</v>
      </c>
      <c r="AB18" s="7">
        <v>0</v>
      </c>
      <c r="AC18" s="7">
        <f t="shared" si="10"/>
        <v>21.2078715</v>
      </c>
    </row>
    <row r="19" spans="1:29" x14ac:dyDescent="0.3">
      <c r="A19" s="1">
        <v>13</v>
      </c>
      <c r="B19" s="1" t="s">
        <v>12</v>
      </c>
      <c r="C19" s="8">
        <f t="shared" si="0"/>
        <v>133.26798547499999</v>
      </c>
      <c r="D19" s="8">
        <f t="shared" si="1"/>
        <v>11</v>
      </c>
      <c r="E19" s="8">
        <f t="shared" si="2"/>
        <v>144.26798547499999</v>
      </c>
      <c r="F19" s="6">
        <v>8.1500665659999996</v>
      </c>
      <c r="G19" s="7">
        <v>0</v>
      </c>
      <c r="H19" s="7">
        <f t="shared" si="3"/>
        <v>8.1500665659999996</v>
      </c>
      <c r="I19" s="6">
        <v>9.9493218999999993</v>
      </c>
      <c r="J19" s="7">
        <v>0</v>
      </c>
      <c r="K19" s="7">
        <f t="shared" si="4"/>
        <v>9.9493218999999993</v>
      </c>
      <c r="L19" s="6">
        <v>12.214177109</v>
      </c>
      <c r="M19" s="7">
        <v>0</v>
      </c>
      <c r="N19" s="7">
        <f t="shared" si="5"/>
        <v>12.214177109</v>
      </c>
      <c r="O19" s="6">
        <v>16.5077745</v>
      </c>
      <c r="P19" s="7">
        <v>0</v>
      </c>
      <c r="Q19" s="7">
        <f t="shared" si="6"/>
        <v>16.5077745</v>
      </c>
      <c r="R19" s="6">
        <v>19.3845375</v>
      </c>
      <c r="S19" s="7">
        <v>0</v>
      </c>
      <c r="T19" s="7">
        <f t="shared" si="7"/>
        <v>19.3845375</v>
      </c>
      <c r="U19" s="6">
        <v>25.573460099999998</v>
      </c>
      <c r="V19" s="7">
        <v>0</v>
      </c>
      <c r="W19" s="7">
        <f t="shared" si="8"/>
        <v>25.573460099999998</v>
      </c>
      <c r="X19" s="6">
        <v>23.126356999999999</v>
      </c>
      <c r="Y19" s="6">
        <v>11</v>
      </c>
      <c r="Z19" s="7">
        <f t="shared" si="9"/>
        <v>34.126356999999999</v>
      </c>
      <c r="AA19" s="6">
        <v>18.3622908</v>
      </c>
      <c r="AB19" s="7">
        <v>0</v>
      </c>
      <c r="AC19" s="7">
        <f t="shared" si="10"/>
        <v>18.3622908</v>
      </c>
    </row>
    <row r="20" spans="1:29" x14ac:dyDescent="0.3">
      <c r="A20" s="1">
        <v>14</v>
      </c>
      <c r="B20" s="1" t="s">
        <v>13</v>
      </c>
      <c r="C20" s="8">
        <f t="shared" si="0"/>
        <v>210.91657536299999</v>
      </c>
      <c r="D20" s="8">
        <f t="shared" si="1"/>
        <v>15</v>
      </c>
      <c r="E20" s="8">
        <f t="shared" si="2"/>
        <v>225.91657536299999</v>
      </c>
      <c r="F20" s="6">
        <v>11.099198551000001</v>
      </c>
      <c r="G20" s="7">
        <v>0</v>
      </c>
      <c r="H20" s="7">
        <f t="shared" si="3"/>
        <v>11.099198551000001</v>
      </c>
      <c r="I20" s="6">
        <v>17.188553599999999</v>
      </c>
      <c r="J20" s="7">
        <v>0</v>
      </c>
      <c r="K20" s="7">
        <f t="shared" si="4"/>
        <v>17.188553599999999</v>
      </c>
      <c r="L20" s="6">
        <v>19.469384611999999</v>
      </c>
      <c r="M20" s="7">
        <v>0</v>
      </c>
      <c r="N20" s="7">
        <f t="shared" si="5"/>
        <v>19.469384611999999</v>
      </c>
      <c r="O20" s="6">
        <v>24.7376419</v>
      </c>
      <c r="P20" s="7">
        <v>0</v>
      </c>
      <c r="Q20" s="7">
        <f t="shared" si="6"/>
        <v>24.7376419</v>
      </c>
      <c r="R20" s="6">
        <v>28.759679899999998</v>
      </c>
      <c r="S20" s="7">
        <v>0</v>
      </c>
      <c r="T20" s="7">
        <f t="shared" si="7"/>
        <v>28.759679899999998</v>
      </c>
      <c r="U20" s="6">
        <v>29.203896499999999</v>
      </c>
      <c r="V20" s="7">
        <v>0</v>
      </c>
      <c r="W20" s="7">
        <f t="shared" si="8"/>
        <v>29.203896499999999</v>
      </c>
      <c r="X20" s="6">
        <v>41.174272500000001</v>
      </c>
      <c r="Y20" s="6">
        <v>15</v>
      </c>
      <c r="Z20" s="7">
        <f t="shared" si="9"/>
        <v>56.174272500000001</v>
      </c>
      <c r="AA20" s="6">
        <v>39.2839478</v>
      </c>
      <c r="AB20" s="7">
        <v>0</v>
      </c>
      <c r="AC20" s="7">
        <f t="shared" si="10"/>
        <v>39.2839478</v>
      </c>
    </row>
    <row r="21" spans="1:29" x14ac:dyDescent="0.3">
      <c r="A21" s="1">
        <v>15</v>
      </c>
      <c r="B21" s="1" t="s">
        <v>14</v>
      </c>
      <c r="C21" s="8">
        <f t="shared" si="0"/>
        <v>123.50834650799999</v>
      </c>
      <c r="D21" s="8">
        <f t="shared" si="1"/>
        <v>8</v>
      </c>
      <c r="E21" s="8">
        <f t="shared" si="2"/>
        <v>131.50834650799999</v>
      </c>
      <c r="F21" s="6">
        <v>6.5383876030000003</v>
      </c>
      <c r="G21" s="7">
        <v>0</v>
      </c>
      <c r="H21" s="7">
        <f t="shared" si="3"/>
        <v>6.5383876030000003</v>
      </c>
      <c r="I21" s="6">
        <v>9.2441279999999999</v>
      </c>
      <c r="J21" s="7">
        <v>0</v>
      </c>
      <c r="K21" s="7">
        <f t="shared" si="4"/>
        <v>9.2441279999999999</v>
      </c>
      <c r="L21" s="6">
        <v>9.9305003049999989</v>
      </c>
      <c r="M21" s="7">
        <v>0</v>
      </c>
      <c r="N21" s="7">
        <f t="shared" si="5"/>
        <v>9.9305003049999989</v>
      </c>
      <c r="O21" s="6">
        <v>13.983287799999999</v>
      </c>
      <c r="P21" s="7">
        <v>0</v>
      </c>
      <c r="Q21" s="7">
        <f t="shared" si="6"/>
        <v>13.983287799999999</v>
      </c>
      <c r="R21" s="6">
        <v>20.481411999999999</v>
      </c>
      <c r="S21" s="7">
        <v>0</v>
      </c>
      <c r="T21" s="7">
        <f t="shared" si="7"/>
        <v>20.481411999999999</v>
      </c>
      <c r="U21" s="6">
        <v>17.332913300000001</v>
      </c>
      <c r="V21" s="7">
        <v>0</v>
      </c>
      <c r="W21" s="7">
        <f t="shared" si="8"/>
        <v>17.332913300000001</v>
      </c>
      <c r="X21" s="6">
        <v>26.200292900000001</v>
      </c>
      <c r="Y21" s="6">
        <v>8</v>
      </c>
      <c r="Z21" s="7">
        <f t="shared" si="9"/>
        <v>34.200292900000001</v>
      </c>
      <c r="AA21" s="6">
        <v>19.797424599999999</v>
      </c>
      <c r="AB21" s="7">
        <v>0</v>
      </c>
      <c r="AC21" s="7">
        <f t="shared" si="10"/>
        <v>19.797424599999999</v>
      </c>
    </row>
    <row r="22" spans="1:29" x14ac:dyDescent="0.3">
      <c r="A22" s="1">
        <v>16</v>
      </c>
      <c r="B22" s="1" t="s">
        <v>15</v>
      </c>
      <c r="C22" s="8">
        <f t="shared" si="0"/>
        <v>281.43917685400004</v>
      </c>
      <c r="D22" s="8">
        <f t="shared" si="1"/>
        <v>35</v>
      </c>
      <c r="E22" s="8">
        <f t="shared" si="2"/>
        <v>316.43917685400004</v>
      </c>
      <c r="F22" s="6">
        <v>15.950627469000001</v>
      </c>
      <c r="G22" s="7">
        <v>0</v>
      </c>
      <c r="H22" s="7">
        <f t="shared" si="3"/>
        <v>15.950627469000001</v>
      </c>
      <c r="I22" s="6">
        <v>23.554781699999999</v>
      </c>
      <c r="J22" s="7">
        <v>0</v>
      </c>
      <c r="K22" s="7">
        <f t="shared" si="4"/>
        <v>23.554781699999999</v>
      </c>
      <c r="L22" s="6">
        <v>35.995233284999998</v>
      </c>
      <c r="M22" s="7">
        <v>0</v>
      </c>
      <c r="N22" s="7">
        <f t="shared" si="5"/>
        <v>35.995233284999998</v>
      </c>
      <c r="O22" s="6">
        <v>34.163999799999999</v>
      </c>
      <c r="P22" s="7">
        <v>0</v>
      </c>
      <c r="Q22" s="7">
        <f t="shared" si="6"/>
        <v>34.163999799999999</v>
      </c>
      <c r="R22" s="6">
        <v>44.322887899999998</v>
      </c>
      <c r="S22" s="7">
        <v>0</v>
      </c>
      <c r="T22" s="7">
        <f t="shared" si="7"/>
        <v>44.322887899999998</v>
      </c>
      <c r="U22" s="6">
        <v>43.905176500000003</v>
      </c>
      <c r="V22" s="7">
        <v>0</v>
      </c>
      <c r="W22" s="7">
        <f t="shared" si="8"/>
        <v>43.905176500000003</v>
      </c>
      <c r="X22" s="6">
        <v>45.5128238</v>
      </c>
      <c r="Y22" s="6">
        <v>35</v>
      </c>
      <c r="Z22" s="7">
        <f t="shared" si="9"/>
        <v>80.512823800000007</v>
      </c>
      <c r="AA22" s="6">
        <v>38.033646400000002</v>
      </c>
      <c r="AB22" s="7">
        <v>0</v>
      </c>
      <c r="AC22" s="7">
        <f t="shared" si="10"/>
        <v>38.033646400000002</v>
      </c>
    </row>
    <row r="23" spans="1:29" x14ac:dyDescent="0.3">
      <c r="A23" s="1">
        <v>17</v>
      </c>
      <c r="B23" s="1" t="s">
        <v>16</v>
      </c>
      <c r="C23" s="8">
        <f t="shared" si="0"/>
        <v>206.59220889400001</v>
      </c>
      <c r="D23" s="8">
        <f t="shared" si="1"/>
        <v>28</v>
      </c>
      <c r="E23" s="8">
        <f t="shared" si="2"/>
        <v>234.59220889400001</v>
      </c>
      <c r="F23" s="6">
        <v>12.332035659999999</v>
      </c>
      <c r="G23" s="7">
        <v>0</v>
      </c>
      <c r="H23" s="7">
        <f t="shared" si="3"/>
        <v>12.332035659999999</v>
      </c>
      <c r="I23" s="6">
        <v>22.053880500000002</v>
      </c>
      <c r="J23" s="7">
        <v>0</v>
      </c>
      <c r="K23" s="7">
        <f t="shared" si="4"/>
        <v>22.053880500000002</v>
      </c>
      <c r="L23" s="6">
        <v>24.890691734000001</v>
      </c>
      <c r="M23" s="7">
        <v>0</v>
      </c>
      <c r="N23" s="7">
        <f t="shared" si="5"/>
        <v>24.890691734000001</v>
      </c>
      <c r="O23" s="6">
        <v>25.3175235</v>
      </c>
      <c r="P23" s="7">
        <v>0</v>
      </c>
      <c r="Q23" s="7">
        <f t="shared" si="6"/>
        <v>25.3175235</v>
      </c>
      <c r="R23" s="6">
        <v>26.2695814</v>
      </c>
      <c r="S23" s="7">
        <v>0</v>
      </c>
      <c r="T23" s="7">
        <f t="shared" si="7"/>
        <v>26.2695814</v>
      </c>
      <c r="U23" s="6">
        <v>34.698419600000001</v>
      </c>
      <c r="V23" s="7">
        <v>0</v>
      </c>
      <c r="W23" s="7">
        <f t="shared" si="8"/>
        <v>34.698419600000001</v>
      </c>
      <c r="X23" s="6">
        <v>32.435609399999997</v>
      </c>
      <c r="Y23" s="6">
        <v>28</v>
      </c>
      <c r="Z23" s="7">
        <f t="shared" si="9"/>
        <v>60.435609399999997</v>
      </c>
      <c r="AA23" s="6">
        <v>28.594467099999999</v>
      </c>
      <c r="AB23" s="7">
        <v>0</v>
      </c>
      <c r="AC23" s="7">
        <f t="shared" si="10"/>
        <v>28.594467099999999</v>
      </c>
    </row>
    <row r="24" spans="1:29" x14ac:dyDescent="0.3">
      <c r="A24" s="1">
        <v>18</v>
      </c>
      <c r="B24" s="1" t="s">
        <v>17</v>
      </c>
      <c r="C24" s="8">
        <f t="shared" si="0"/>
        <v>1977.903389354</v>
      </c>
      <c r="D24" s="8">
        <f t="shared" si="1"/>
        <v>262</v>
      </c>
      <c r="E24" s="8">
        <f t="shared" si="2"/>
        <v>2239.903389354</v>
      </c>
      <c r="F24" s="6">
        <v>121.12894488699999</v>
      </c>
      <c r="G24" s="7">
        <v>0</v>
      </c>
      <c r="H24" s="7">
        <f t="shared" si="3"/>
        <v>121.12894488699999</v>
      </c>
      <c r="I24" s="6">
        <v>166.1934243</v>
      </c>
      <c r="J24" s="7">
        <v>0</v>
      </c>
      <c r="K24" s="7">
        <f t="shared" si="4"/>
        <v>166.1934243</v>
      </c>
      <c r="L24" s="6">
        <v>236.57492206700002</v>
      </c>
      <c r="M24" s="7">
        <v>0</v>
      </c>
      <c r="N24" s="7">
        <f t="shared" si="5"/>
        <v>236.57492206700002</v>
      </c>
      <c r="O24" s="6">
        <v>255.51121739999999</v>
      </c>
      <c r="P24" s="7">
        <v>0</v>
      </c>
      <c r="Q24" s="7">
        <f t="shared" si="6"/>
        <v>255.51121739999999</v>
      </c>
      <c r="R24" s="6">
        <v>285.7306332</v>
      </c>
      <c r="S24" s="7">
        <v>0</v>
      </c>
      <c r="T24" s="7">
        <f t="shared" si="7"/>
        <v>285.7306332</v>
      </c>
      <c r="U24" s="6">
        <v>309.88908359999999</v>
      </c>
      <c r="V24" s="7">
        <v>0</v>
      </c>
      <c r="W24" s="7">
        <f t="shared" si="8"/>
        <v>309.88908359999999</v>
      </c>
      <c r="X24" s="6">
        <v>311.60800849999998</v>
      </c>
      <c r="Y24" s="6">
        <v>262</v>
      </c>
      <c r="Z24" s="7">
        <f t="shared" si="9"/>
        <v>573.60800849999998</v>
      </c>
      <c r="AA24" s="6">
        <v>291.26715539999998</v>
      </c>
      <c r="AB24" s="7">
        <v>0</v>
      </c>
      <c r="AC24" s="7">
        <f t="shared" si="10"/>
        <v>291.26715539999998</v>
      </c>
    </row>
    <row r="25" spans="1:29" x14ac:dyDescent="0.3">
      <c r="A25" s="1">
        <v>19</v>
      </c>
      <c r="B25" s="1" t="s">
        <v>18</v>
      </c>
      <c r="C25" s="8">
        <f t="shared" si="0"/>
        <v>5323.9294889890007</v>
      </c>
      <c r="D25" s="8">
        <f t="shared" si="1"/>
        <v>879</v>
      </c>
      <c r="E25" s="8">
        <f t="shared" si="2"/>
        <v>6202.9294889890007</v>
      </c>
      <c r="F25" s="6">
        <v>329.73289929600003</v>
      </c>
      <c r="G25" s="7">
        <v>0</v>
      </c>
      <c r="H25" s="7">
        <f t="shared" si="3"/>
        <v>329.73289929600003</v>
      </c>
      <c r="I25" s="6">
        <v>566.61022300000002</v>
      </c>
      <c r="J25" s="7">
        <v>0</v>
      </c>
      <c r="K25" s="7">
        <f t="shared" si="4"/>
        <v>566.61022300000002</v>
      </c>
      <c r="L25" s="6">
        <v>734.76165259300001</v>
      </c>
      <c r="M25" s="7">
        <v>0</v>
      </c>
      <c r="N25" s="7">
        <f t="shared" si="5"/>
        <v>734.76165259300001</v>
      </c>
      <c r="O25" s="6">
        <v>737.19148199999995</v>
      </c>
      <c r="P25" s="7">
        <v>0</v>
      </c>
      <c r="Q25" s="7">
        <f t="shared" si="6"/>
        <v>737.19148199999995</v>
      </c>
      <c r="R25" s="6">
        <v>734.7670865</v>
      </c>
      <c r="S25" s="7">
        <v>0</v>
      </c>
      <c r="T25" s="7">
        <f t="shared" si="7"/>
        <v>734.7670865</v>
      </c>
      <c r="U25" s="6">
        <v>826.74443499999995</v>
      </c>
      <c r="V25" s="7">
        <v>0</v>
      </c>
      <c r="W25" s="7">
        <f t="shared" si="8"/>
        <v>826.74443499999995</v>
      </c>
      <c r="X25" s="6">
        <v>648.26853389999997</v>
      </c>
      <c r="Y25" s="6">
        <v>879</v>
      </c>
      <c r="Z25" s="7">
        <f t="shared" si="9"/>
        <v>1527.2685339</v>
      </c>
      <c r="AA25" s="6">
        <v>745.85317669999995</v>
      </c>
      <c r="AB25" s="7">
        <v>0</v>
      </c>
      <c r="AC25" s="7">
        <f t="shared" si="10"/>
        <v>745.85317669999995</v>
      </c>
    </row>
    <row r="26" spans="1:29" x14ac:dyDescent="0.3">
      <c r="A26" s="1">
        <v>20</v>
      </c>
      <c r="B26" s="1" t="s">
        <v>19</v>
      </c>
      <c r="C26" s="8">
        <f t="shared" si="0"/>
        <v>1093.895727828</v>
      </c>
      <c r="D26" s="8">
        <f t="shared" si="1"/>
        <v>281</v>
      </c>
      <c r="E26" s="8">
        <f t="shared" si="2"/>
        <v>1374.895727828</v>
      </c>
      <c r="F26" s="6">
        <v>127.04108540999999</v>
      </c>
      <c r="G26" s="7">
        <v>0</v>
      </c>
      <c r="H26" s="7">
        <f t="shared" si="3"/>
        <v>127.04108540999999</v>
      </c>
      <c r="I26" s="6">
        <v>69.6643136</v>
      </c>
      <c r="J26" s="7">
        <v>0</v>
      </c>
      <c r="K26" s="7">
        <f t="shared" si="4"/>
        <v>69.6643136</v>
      </c>
      <c r="L26" s="6">
        <v>125.76850991800001</v>
      </c>
      <c r="M26" s="7">
        <v>0</v>
      </c>
      <c r="N26" s="7">
        <f t="shared" si="5"/>
        <v>125.76850991800001</v>
      </c>
      <c r="O26" s="6">
        <v>156.3578321</v>
      </c>
      <c r="P26" s="7">
        <v>0</v>
      </c>
      <c r="Q26" s="7">
        <f t="shared" si="6"/>
        <v>156.3578321</v>
      </c>
      <c r="R26" s="6">
        <v>166.17004700000001</v>
      </c>
      <c r="S26" s="7">
        <v>0</v>
      </c>
      <c r="T26" s="7">
        <f t="shared" si="7"/>
        <v>166.17004700000001</v>
      </c>
      <c r="U26" s="6">
        <v>135.41841629999999</v>
      </c>
      <c r="V26" s="7">
        <v>0</v>
      </c>
      <c r="W26" s="7">
        <f t="shared" si="8"/>
        <v>135.41841629999999</v>
      </c>
      <c r="X26" s="6">
        <v>168.4492922</v>
      </c>
      <c r="Y26" s="6">
        <v>281</v>
      </c>
      <c r="Z26" s="7">
        <f t="shared" si="9"/>
        <v>449.4492922</v>
      </c>
      <c r="AA26" s="6">
        <v>145.02623130000001</v>
      </c>
      <c r="AB26" s="7">
        <v>0</v>
      </c>
      <c r="AC26" s="7">
        <f t="shared" si="10"/>
        <v>145.02623130000001</v>
      </c>
    </row>
    <row r="27" spans="1:29" x14ac:dyDescent="0.3">
      <c r="A27" s="1">
        <v>21</v>
      </c>
      <c r="B27" s="1" t="s">
        <v>20</v>
      </c>
      <c r="C27" s="8">
        <f t="shared" si="0"/>
        <v>2377.333074954</v>
      </c>
      <c r="D27" s="8">
        <f t="shared" si="1"/>
        <v>482</v>
      </c>
      <c r="E27" s="8">
        <f t="shared" si="2"/>
        <v>2859.333074954</v>
      </c>
      <c r="F27" s="6">
        <v>182.26005890599998</v>
      </c>
      <c r="G27" s="7">
        <v>0</v>
      </c>
      <c r="H27" s="7">
        <f t="shared" si="3"/>
        <v>182.26005890599998</v>
      </c>
      <c r="I27" s="6">
        <v>251.7972436</v>
      </c>
      <c r="J27" s="7">
        <v>0</v>
      </c>
      <c r="K27" s="7">
        <f t="shared" si="4"/>
        <v>251.7972436</v>
      </c>
      <c r="L27" s="6">
        <v>331.19725254799999</v>
      </c>
      <c r="M27" s="7">
        <v>0</v>
      </c>
      <c r="N27" s="7">
        <f t="shared" si="5"/>
        <v>331.19725254799999</v>
      </c>
      <c r="O27" s="6">
        <v>282.89286779999998</v>
      </c>
      <c r="P27" s="7">
        <v>0</v>
      </c>
      <c r="Q27" s="7">
        <f t="shared" si="6"/>
        <v>282.89286779999998</v>
      </c>
      <c r="R27" s="6">
        <v>323.68091930000003</v>
      </c>
      <c r="S27" s="7">
        <v>0</v>
      </c>
      <c r="T27" s="7">
        <f t="shared" si="7"/>
        <v>323.68091930000003</v>
      </c>
      <c r="U27" s="6">
        <v>370.55852370000002</v>
      </c>
      <c r="V27" s="7">
        <v>0</v>
      </c>
      <c r="W27" s="7">
        <f t="shared" si="8"/>
        <v>370.55852370000002</v>
      </c>
      <c r="X27" s="6">
        <v>314.07183400000002</v>
      </c>
      <c r="Y27" s="6">
        <v>482</v>
      </c>
      <c r="Z27" s="7">
        <f t="shared" si="9"/>
        <v>796.07183400000008</v>
      </c>
      <c r="AA27" s="6">
        <v>320.87437510000001</v>
      </c>
      <c r="AB27" s="7">
        <v>0</v>
      </c>
      <c r="AC27" s="7">
        <f t="shared" si="10"/>
        <v>320.87437510000001</v>
      </c>
    </row>
    <row r="28" spans="1:29" x14ac:dyDescent="0.3">
      <c r="A28" s="1">
        <v>22</v>
      </c>
      <c r="B28" s="1" t="s">
        <v>34</v>
      </c>
      <c r="C28" s="8">
        <f t="shared" si="0"/>
        <v>1281.3344353469997</v>
      </c>
      <c r="D28" s="8">
        <f t="shared" si="1"/>
        <v>322</v>
      </c>
      <c r="E28" s="8">
        <f t="shared" si="2"/>
        <v>1603.3344353469997</v>
      </c>
      <c r="F28" s="6">
        <v>78.713129077999994</v>
      </c>
      <c r="G28" s="7">
        <v>0</v>
      </c>
      <c r="H28" s="7">
        <f t="shared" si="3"/>
        <v>78.713129077999994</v>
      </c>
      <c r="I28" s="6">
        <v>131.09221890000001</v>
      </c>
      <c r="J28" s="7">
        <v>0</v>
      </c>
      <c r="K28" s="7">
        <f t="shared" si="4"/>
        <v>131.09221890000001</v>
      </c>
      <c r="L28" s="6">
        <v>145.75194556900001</v>
      </c>
      <c r="M28" s="7">
        <v>0</v>
      </c>
      <c r="N28" s="7">
        <f t="shared" si="5"/>
        <v>145.75194556900001</v>
      </c>
      <c r="O28" s="6">
        <v>189.9101374</v>
      </c>
      <c r="P28" s="7">
        <v>0</v>
      </c>
      <c r="Q28" s="7">
        <f t="shared" si="6"/>
        <v>189.9101374</v>
      </c>
      <c r="R28" s="6">
        <v>185.2418802</v>
      </c>
      <c r="S28" s="7">
        <v>0</v>
      </c>
      <c r="T28" s="7">
        <f t="shared" si="7"/>
        <v>185.2418802</v>
      </c>
      <c r="U28" s="6">
        <v>194.51167100000001</v>
      </c>
      <c r="V28" s="7">
        <v>0</v>
      </c>
      <c r="W28" s="7">
        <f t="shared" si="8"/>
        <v>194.51167100000001</v>
      </c>
      <c r="X28" s="6">
        <v>169.10191069999999</v>
      </c>
      <c r="Y28" s="6">
        <v>322</v>
      </c>
      <c r="Z28" s="7">
        <f t="shared" si="9"/>
        <v>491.10191069999996</v>
      </c>
      <c r="AA28" s="6">
        <v>187.01154249999999</v>
      </c>
      <c r="AB28" s="7">
        <v>0</v>
      </c>
      <c r="AC28" s="7">
        <f t="shared" si="10"/>
        <v>187.01154249999999</v>
      </c>
    </row>
    <row r="29" spans="1:29" x14ac:dyDescent="0.3">
      <c r="A29" s="1">
        <v>23</v>
      </c>
      <c r="B29" s="1" t="s">
        <v>21</v>
      </c>
      <c r="C29" s="8">
        <f t="shared" si="0"/>
        <v>4383.1959129799998</v>
      </c>
      <c r="D29" s="8">
        <f t="shared" si="1"/>
        <v>671</v>
      </c>
      <c r="E29" s="8">
        <f t="shared" si="2"/>
        <v>5054.1959129799998</v>
      </c>
      <c r="F29" s="6">
        <v>313.688983339</v>
      </c>
      <c r="G29" s="7">
        <v>0</v>
      </c>
      <c r="H29" s="7">
        <f t="shared" si="3"/>
        <v>313.688983339</v>
      </c>
      <c r="I29" s="6">
        <v>381.75564750000001</v>
      </c>
      <c r="J29" s="7">
        <v>0</v>
      </c>
      <c r="K29" s="7">
        <f t="shared" si="4"/>
        <v>381.75564750000001</v>
      </c>
      <c r="L29" s="6">
        <v>657.42125944099996</v>
      </c>
      <c r="M29" s="7">
        <v>0</v>
      </c>
      <c r="N29" s="7">
        <f t="shared" si="5"/>
        <v>657.42125944099996</v>
      </c>
      <c r="O29" s="6">
        <v>628.52800660000003</v>
      </c>
      <c r="P29" s="7">
        <v>0</v>
      </c>
      <c r="Q29" s="7">
        <f t="shared" si="6"/>
        <v>628.52800660000003</v>
      </c>
      <c r="R29" s="6">
        <v>667.77508929999999</v>
      </c>
      <c r="S29" s="7">
        <v>0</v>
      </c>
      <c r="T29" s="7">
        <f t="shared" si="7"/>
        <v>667.77508929999999</v>
      </c>
      <c r="U29" s="6">
        <v>587.10073139999997</v>
      </c>
      <c r="V29" s="7">
        <v>0</v>
      </c>
      <c r="W29" s="7">
        <f t="shared" si="8"/>
        <v>587.10073139999997</v>
      </c>
      <c r="X29" s="6">
        <v>607.33382830000005</v>
      </c>
      <c r="Y29" s="6">
        <v>671</v>
      </c>
      <c r="Z29" s="7">
        <f t="shared" si="9"/>
        <v>1278.3338283000001</v>
      </c>
      <c r="AA29" s="6">
        <v>539.59236710000005</v>
      </c>
      <c r="AB29" s="7">
        <v>0</v>
      </c>
      <c r="AC29" s="7">
        <f t="shared" si="10"/>
        <v>539.59236710000005</v>
      </c>
    </row>
    <row r="30" spans="1:29" x14ac:dyDescent="0.3">
      <c r="A30" s="1">
        <v>24</v>
      </c>
      <c r="B30" s="1" t="s">
        <v>35</v>
      </c>
      <c r="C30" s="8">
        <f t="shared" si="0"/>
        <v>5042.4522850570002</v>
      </c>
      <c r="D30" s="8">
        <f t="shared" si="1"/>
        <v>1263</v>
      </c>
      <c r="E30" s="8">
        <f t="shared" si="2"/>
        <v>6305.4522850570002</v>
      </c>
      <c r="F30" s="6">
        <v>273.38</v>
      </c>
      <c r="G30" s="7">
        <v>0</v>
      </c>
      <c r="H30" s="7">
        <f t="shared" si="3"/>
        <v>273.38</v>
      </c>
      <c r="I30" s="6">
        <v>559.85759859999996</v>
      </c>
      <c r="J30" s="7">
        <v>0</v>
      </c>
      <c r="K30" s="7">
        <f t="shared" si="4"/>
        <v>559.85759859999996</v>
      </c>
      <c r="L30" s="6">
        <v>724.973432957</v>
      </c>
      <c r="M30" s="7">
        <v>0</v>
      </c>
      <c r="N30" s="7">
        <f t="shared" si="5"/>
        <v>724.973432957</v>
      </c>
      <c r="O30" s="6">
        <v>602.34435310000003</v>
      </c>
      <c r="P30" s="7">
        <v>0</v>
      </c>
      <c r="Q30" s="7">
        <f t="shared" si="6"/>
        <v>602.34435310000003</v>
      </c>
      <c r="R30" s="6">
        <v>741.94206010000005</v>
      </c>
      <c r="S30" s="7">
        <v>0</v>
      </c>
      <c r="T30" s="7">
        <f t="shared" si="7"/>
        <v>741.94206010000005</v>
      </c>
      <c r="U30" s="6">
        <v>762.41333550000002</v>
      </c>
      <c r="V30" s="7">
        <v>0</v>
      </c>
      <c r="W30" s="7">
        <f t="shared" si="8"/>
        <v>762.41333550000002</v>
      </c>
      <c r="X30" s="6">
        <v>690.30835739999998</v>
      </c>
      <c r="Y30" s="6">
        <v>1263</v>
      </c>
      <c r="Z30" s="7">
        <f t="shared" si="9"/>
        <v>1953.3083574</v>
      </c>
      <c r="AA30" s="6">
        <v>687.23314740000001</v>
      </c>
      <c r="AB30" s="7">
        <v>0</v>
      </c>
      <c r="AC30" s="7">
        <f t="shared" si="10"/>
        <v>687.23314740000001</v>
      </c>
    </row>
    <row r="31" spans="1:29" x14ac:dyDescent="0.3">
      <c r="A31" s="1">
        <v>25</v>
      </c>
      <c r="B31" s="1" t="s">
        <v>22</v>
      </c>
      <c r="C31" s="8">
        <f t="shared" si="0"/>
        <v>16.496658353000001</v>
      </c>
      <c r="D31" s="8">
        <f t="shared" si="1"/>
        <v>28</v>
      </c>
      <c r="E31" s="8">
        <f t="shared" si="2"/>
        <v>44.496658353000001</v>
      </c>
      <c r="F31" s="6">
        <v>1.951213495</v>
      </c>
      <c r="G31" s="7">
        <v>0</v>
      </c>
      <c r="H31" s="7">
        <f t="shared" si="3"/>
        <v>1.951213495</v>
      </c>
      <c r="I31" s="6">
        <v>2.1074804</v>
      </c>
      <c r="J31" s="7">
        <v>0</v>
      </c>
      <c r="K31" s="7">
        <f t="shared" si="4"/>
        <v>2.1074804</v>
      </c>
      <c r="L31" s="6">
        <v>-2.923464042</v>
      </c>
      <c r="M31" s="7">
        <v>0</v>
      </c>
      <c r="N31" s="7">
        <f t="shared" si="5"/>
        <v>-2.923464042</v>
      </c>
      <c r="O31" s="6">
        <v>3.2310194999999999</v>
      </c>
      <c r="P31" s="7">
        <v>0</v>
      </c>
      <c r="Q31" s="7">
        <f t="shared" si="6"/>
        <v>3.2310194999999999</v>
      </c>
      <c r="R31" s="6">
        <v>0.65903290000000003</v>
      </c>
      <c r="S31" s="7">
        <v>0</v>
      </c>
      <c r="T31" s="7">
        <f t="shared" si="7"/>
        <v>0.65903290000000003</v>
      </c>
      <c r="U31" s="6">
        <v>8.7718503000000005</v>
      </c>
      <c r="V31" s="7">
        <v>0</v>
      </c>
      <c r="W31" s="7">
        <f t="shared" si="8"/>
        <v>8.7718503000000005</v>
      </c>
      <c r="X31" s="6">
        <v>4.2081172000000002</v>
      </c>
      <c r="Y31" s="6">
        <v>28</v>
      </c>
      <c r="Z31" s="7">
        <f t="shared" si="9"/>
        <v>32.208117200000004</v>
      </c>
      <c r="AA31" s="6">
        <v>-1.5085914</v>
      </c>
      <c r="AB31" s="7">
        <v>0</v>
      </c>
      <c r="AC31" s="7">
        <f t="shared" si="10"/>
        <v>-1.5085914</v>
      </c>
    </row>
    <row r="32" spans="1:29" x14ac:dyDescent="0.3">
      <c r="A32" s="1">
        <v>26</v>
      </c>
      <c r="B32" s="1" t="s">
        <v>23</v>
      </c>
      <c r="C32" s="8">
        <f t="shared" si="0"/>
        <v>77.646976537</v>
      </c>
      <c r="D32" s="8">
        <f t="shared" si="1"/>
        <v>34</v>
      </c>
      <c r="E32" s="8">
        <f t="shared" si="2"/>
        <v>111.646976537</v>
      </c>
      <c r="F32" s="6">
        <v>7.8236795049999994</v>
      </c>
      <c r="G32" s="7">
        <v>0</v>
      </c>
      <c r="H32" s="7">
        <f t="shared" si="3"/>
        <v>7.8236795049999994</v>
      </c>
      <c r="I32" s="6">
        <v>8.6486417000000007</v>
      </c>
      <c r="J32" s="7">
        <v>0</v>
      </c>
      <c r="K32" s="7">
        <f t="shared" si="4"/>
        <v>8.6486417000000007</v>
      </c>
      <c r="L32" s="6">
        <v>5.1151033320000003</v>
      </c>
      <c r="M32" s="7">
        <v>0</v>
      </c>
      <c r="N32" s="7">
        <f t="shared" si="5"/>
        <v>5.1151033320000003</v>
      </c>
      <c r="O32" s="6">
        <v>15.994738999999999</v>
      </c>
      <c r="P32" s="7">
        <v>0</v>
      </c>
      <c r="Q32" s="7">
        <f t="shared" si="6"/>
        <v>15.994738999999999</v>
      </c>
      <c r="R32" s="6">
        <v>8.8982460000000003</v>
      </c>
      <c r="S32" s="7">
        <v>0</v>
      </c>
      <c r="T32" s="7">
        <f t="shared" si="7"/>
        <v>8.8982460000000003</v>
      </c>
      <c r="U32" s="6">
        <v>12.3750523</v>
      </c>
      <c r="V32" s="7">
        <v>0</v>
      </c>
      <c r="W32" s="7">
        <f t="shared" si="8"/>
        <v>12.3750523</v>
      </c>
      <c r="X32" s="6">
        <v>11.3200273</v>
      </c>
      <c r="Y32" s="6">
        <v>34</v>
      </c>
      <c r="Z32" s="7">
        <f t="shared" si="9"/>
        <v>45.3200273</v>
      </c>
      <c r="AA32" s="6">
        <v>7.4714874</v>
      </c>
      <c r="AB32" s="7">
        <v>0</v>
      </c>
      <c r="AC32" s="7">
        <f t="shared" si="10"/>
        <v>7.4714874</v>
      </c>
    </row>
    <row r="33" spans="1:29" x14ac:dyDescent="0.3">
      <c r="A33" s="1">
        <v>27</v>
      </c>
      <c r="B33" s="1" t="s">
        <v>36</v>
      </c>
      <c r="C33" s="8">
        <f t="shared" si="0"/>
        <v>11832.150486105</v>
      </c>
      <c r="D33" s="8">
        <f t="shared" si="1"/>
        <v>2648</v>
      </c>
      <c r="E33" s="8">
        <f t="shared" si="2"/>
        <v>14480.150486105</v>
      </c>
      <c r="F33" s="6">
        <v>1001.4342455620001</v>
      </c>
      <c r="G33" s="7">
        <v>0</v>
      </c>
      <c r="H33" s="7">
        <f t="shared" si="3"/>
        <v>1001.4342455620001</v>
      </c>
      <c r="I33" s="6">
        <v>1266.8928029000001</v>
      </c>
      <c r="J33" s="7">
        <v>0</v>
      </c>
      <c r="K33" s="7">
        <f t="shared" si="4"/>
        <v>1266.8928029000001</v>
      </c>
      <c r="L33" s="6">
        <v>1440.5057561429999</v>
      </c>
      <c r="M33" s="7">
        <v>0</v>
      </c>
      <c r="N33" s="7">
        <f t="shared" si="5"/>
        <v>1440.5057561429999</v>
      </c>
      <c r="O33" s="6">
        <v>1678.1984419</v>
      </c>
      <c r="P33" s="7">
        <v>0</v>
      </c>
      <c r="Q33" s="7">
        <f t="shared" si="6"/>
        <v>1678.1984419</v>
      </c>
      <c r="R33" s="6">
        <v>1738.009577</v>
      </c>
      <c r="S33" s="7">
        <v>0</v>
      </c>
      <c r="T33" s="7">
        <f t="shared" si="7"/>
        <v>1738.009577</v>
      </c>
      <c r="U33" s="6">
        <v>1976.4236996</v>
      </c>
      <c r="V33" s="7">
        <v>0</v>
      </c>
      <c r="W33" s="7">
        <f t="shared" si="8"/>
        <v>1976.4236996</v>
      </c>
      <c r="X33" s="6">
        <v>1476.8190901</v>
      </c>
      <c r="Y33" s="6">
        <v>2648</v>
      </c>
      <c r="Z33" s="7">
        <f t="shared" si="9"/>
        <v>4124.8190900999998</v>
      </c>
      <c r="AA33" s="6">
        <v>1253.8668729000001</v>
      </c>
      <c r="AB33" s="7">
        <v>0</v>
      </c>
      <c r="AC33" s="7">
        <f t="shared" si="10"/>
        <v>1253.8668729000001</v>
      </c>
    </row>
    <row r="34" spans="1:29" x14ac:dyDescent="0.3">
      <c r="A34" s="1">
        <v>29</v>
      </c>
      <c r="B34" s="1" t="s">
        <v>24</v>
      </c>
      <c r="C34" s="8">
        <f t="shared" si="0"/>
        <v>8027.502487574</v>
      </c>
      <c r="D34" s="8">
        <f t="shared" si="1"/>
        <v>1582</v>
      </c>
      <c r="E34" s="8">
        <f t="shared" si="2"/>
        <v>9609.502487574</v>
      </c>
      <c r="F34" s="6">
        <v>582.09039183499999</v>
      </c>
      <c r="G34" s="7">
        <v>0</v>
      </c>
      <c r="H34" s="7">
        <f t="shared" si="3"/>
        <v>582.09039183499999</v>
      </c>
      <c r="I34" s="6">
        <v>888.2144098</v>
      </c>
      <c r="J34" s="7">
        <v>0</v>
      </c>
      <c r="K34" s="7">
        <f t="shared" si="4"/>
        <v>888.2144098</v>
      </c>
      <c r="L34" s="6">
        <v>1003.6765340390001</v>
      </c>
      <c r="M34" s="7">
        <v>0</v>
      </c>
      <c r="N34" s="7">
        <f t="shared" si="5"/>
        <v>1003.6765340390001</v>
      </c>
      <c r="O34" s="6">
        <v>1190.3280963</v>
      </c>
      <c r="P34" s="7">
        <v>0</v>
      </c>
      <c r="Q34" s="7">
        <f t="shared" si="6"/>
        <v>1190.3280963</v>
      </c>
      <c r="R34" s="6">
        <v>1023.13355</v>
      </c>
      <c r="S34" s="7">
        <v>0</v>
      </c>
      <c r="T34" s="7">
        <f t="shared" si="7"/>
        <v>1023.13355</v>
      </c>
      <c r="U34" s="6">
        <v>1175.9258921999999</v>
      </c>
      <c r="V34" s="7">
        <v>0</v>
      </c>
      <c r="W34" s="7">
        <f t="shared" si="8"/>
        <v>1175.9258921999999</v>
      </c>
      <c r="X34" s="6">
        <v>1085.0389316999999</v>
      </c>
      <c r="Y34" s="6">
        <v>1582</v>
      </c>
      <c r="Z34" s="7">
        <f t="shared" si="9"/>
        <v>2667.0389316999999</v>
      </c>
      <c r="AA34" s="6">
        <v>1079.0946816999999</v>
      </c>
      <c r="AB34" s="7">
        <v>0</v>
      </c>
      <c r="AC34" s="7">
        <f t="shared" si="10"/>
        <v>1079.0946816999999</v>
      </c>
    </row>
    <row r="35" spans="1:29" x14ac:dyDescent="0.3">
      <c r="A35" s="1">
        <v>30</v>
      </c>
      <c r="B35" s="1" t="s">
        <v>25</v>
      </c>
      <c r="C35" s="8">
        <f t="shared" si="0"/>
        <v>450.28588202500003</v>
      </c>
      <c r="D35" s="8">
        <f t="shared" si="1"/>
        <v>95</v>
      </c>
      <c r="E35" s="8">
        <f t="shared" si="2"/>
        <v>545.28588202499998</v>
      </c>
      <c r="F35" s="6">
        <v>36.423539867999999</v>
      </c>
      <c r="G35" s="7">
        <v>0</v>
      </c>
      <c r="H35" s="7">
        <f t="shared" si="3"/>
        <v>36.423539867999999</v>
      </c>
      <c r="I35" s="6">
        <v>47.988922000000002</v>
      </c>
      <c r="J35" s="7">
        <v>0</v>
      </c>
      <c r="K35" s="7">
        <f t="shared" si="4"/>
        <v>47.988922000000002</v>
      </c>
      <c r="L35" s="6">
        <v>52.860520856999997</v>
      </c>
      <c r="M35" s="7">
        <v>0</v>
      </c>
      <c r="N35" s="7">
        <f t="shared" si="5"/>
        <v>52.860520856999997</v>
      </c>
      <c r="O35" s="6">
        <v>55.963912499999999</v>
      </c>
      <c r="P35" s="7">
        <v>0</v>
      </c>
      <c r="Q35" s="7">
        <f t="shared" si="6"/>
        <v>55.963912499999999</v>
      </c>
      <c r="R35" s="6">
        <v>67.041770499999998</v>
      </c>
      <c r="S35" s="7">
        <v>0</v>
      </c>
      <c r="T35" s="7">
        <f t="shared" si="7"/>
        <v>67.041770499999998</v>
      </c>
      <c r="U35" s="6">
        <v>74.398733300000004</v>
      </c>
      <c r="V35" s="7">
        <v>0</v>
      </c>
      <c r="W35" s="7">
        <f t="shared" si="8"/>
        <v>74.398733300000004</v>
      </c>
      <c r="X35" s="6">
        <v>54.973647200000002</v>
      </c>
      <c r="Y35" s="6">
        <v>95</v>
      </c>
      <c r="Z35" s="7">
        <f t="shared" si="9"/>
        <v>149.97364720000002</v>
      </c>
      <c r="AA35" s="6">
        <v>60.634835799999998</v>
      </c>
      <c r="AB35" s="7">
        <v>0</v>
      </c>
      <c r="AC35" s="7">
        <f t="shared" si="10"/>
        <v>60.634835799999998</v>
      </c>
    </row>
    <row r="36" spans="1:29" x14ac:dyDescent="0.3">
      <c r="A36" s="1">
        <v>31</v>
      </c>
      <c r="B36" s="1" t="s">
        <v>26</v>
      </c>
      <c r="C36" s="8">
        <f t="shared" si="0"/>
        <v>3.1378238760000001</v>
      </c>
      <c r="D36" s="8">
        <f t="shared" si="1"/>
        <v>0</v>
      </c>
      <c r="E36" s="8">
        <f t="shared" si="2"/>
        <v>3.1378238760000001</v>
      </c>
      <c r="F36" s="6">
        <v>0.920581973</v>
      </c>
      <c r="G36" s="7">
        <v>0</v>
      </c>
      <c r="H36" s="7">
        <f t="shared" si="3"/>
        <v>0.920581973</v>
      </c>
      <c r="I36" s="6">
        <v>0.30190420000000001</v>
      </c>
      <c r="J36" s="7">
        <v>0</v>
      </c>
      <c r="K36" s="7">
        <f t="shared" si="4"/>
        <v>0.30190420000000001</v>
      </c>
      <c r="L36" s="6">
        <v>0.23552910300000002</v>
      </c>
      <c r="M36" s="7">
        <v>0</v>
      </c>
      <c r="N36" s="7">
        <f t="shared" si="5"/>
        <v>0.23552910300000002</v>
      </c>
      <c r="O36" s="6">
        <v>0.25045149999999999</v>
      </c>
      <c r="P36" s="7">
        <v>0</v>
      </c>
      <c r="Q36" s="7">
        <f t="shared" si="6"/>
        <v>0.25045149999999999</v>
      </c>
      <c r="R36" s="6">
        <v>0.3294455</v>
      </c>
      <c r="S36" s="7">
        <v>0</v>
      </c>
      <c r="T36" s="7">
        <f t="shared" si="7"/>
        <v>0.3294455</v>
      </c>
      <c r="U36" s="6">
        <v>0.27770729999999999</v>
      </c>
      <c r="V36" s="7">
        <v>0</v>
      </c>
      <c r="W36" s="7">
        <f t="shared" si="8"/>
        <v>0.27770729999999999</v>
      </c>
      <c r="X36" s="6">
        <v>0.47595680000000001</v>
      </c>
      <c r="Y36" s="6">
        <v>0</v>
      </c>
      <c r="Z36" s="7">
        <f t="shared" si="9"/>
        <v>0.47595680000000001</v>
      </c>
      <c r="AA36" s="6">
        <v>0.34624749999999999</v>
      </c>
      <c r="AB36" s="7">
        <v>0</v>
      </c>
      <c r="AC36" s="7">
        <f t="shared" si="10"/>
        <v>0.34624749999999999</v>
      </c>
    </row>
    <row r="37" spans="1:29" x14ac:dyDescent="0.3">
      <c r="A37" s="1">
        <v>32</v>
      </c>
      <c r="B37" s="1" t="s">
        <v>27</v>
      </c>
      <c r="C37" s="8">
        <f t="shared" si="0"/>
        <v>6064.9860275300007</v>
      </c>
      <c r="D37" s="8">
        <f t="shared" si="1"/>
        <v>736</v>
      </c>
      <c r="E37" s="8">
        <f t="shared" si="2"/>
        <v>6800.9860275300007</v>
      </c>
      <c r="F37" s="6">
        <v>451.74226935500002</v>
      </c>
      <c r="G37" s="7">
        <v>0</v>
      </c>
      <c r="H37" s="7">
        <f t="shared" si="3"/>
        <v>451.74226935500002</v>
      </c>
      <c r="I37" s="6">
        <v>763.45791899999995</v>
      </c>
      <c r="J37" s="7">
        <v>0</v>
      </c>
      <c r="K37" s="7">
        <f t="shared" si="4"/>
        <v>763.45791899999995</v>
      </c>
      <c r="L37" s="6">
        <v>822.64749007499995</v>
      </c>
      <c r="M37" s="7">
        <v>0</v>
      </c>
      <c r="N37" s="7">
        <f t="shared" si="5"/>
        <v>822.64749007499995</v>
      </c>
      <c r="O37" s="6">
        <v>801.36058600000001</v>
      </c>
      <c r="P37" s="7">
        <v>0</v>
      </c>
      <c r="Q37" s="7">
        <f t="shared" si="6"/>
        <v>801.36058600000001</v>
      </c>
      <c r="R37" s="6">
        <v>795.94552120000003</v>
      </c>
      <c r="S37" s="7">
        <v>0</v>
      </c>
      <c r="T37" s="7">
        <f t="shared" si="7"/>
        <v>795.94552120000003</v>
      </c>
      <c r="U37" s="6">
        <v>826.89587300000005</v>
      </c>
      <c r="V37" s="7">
        <v>0</v>
      </c>
      <c r="W37" s="7">
        <f t="shared" si="8"/>
        <v>826.89587300000005</v>
      </c>
      <c r="X37" s="6">
        <v>808.82092790000002</v>
      </c>
      <c r="Y37" s="6">
        <v>736</v>
      </c>
      <c r="Z37" s="7">
        <f t="shared" si="9"/>
        <v>1544.8209279</v>
      </c>
      <c r="AA37" s="6">
        <v>794.11544100000003</v>
      </c>
      <c r="AB37" s="7">
        <v>0</v>
      </c>
      <c r="AC37" s="7">
        <f t="shared" si="10"/>
        <v>794.11544100000003</v>
      </c>
    </row>
    <row r="38" spans="1:29" x14ac:dyDescent="0.3">
      <c r="A38" s="1">
        <v>33</v>
      </c>
      <c r="B38" s="1" t="s">
        <v>28</v>
      </c>
      <c r="C38" s="8">
        <f t="shared" si="0"/>
        <v>7402.9946093219987</v>
      </c>
      <c r="D38" s="8">
        <f t="shared" si="1"/>
        <v>1304</v>
      </c>
      <c r="E38" s="8">
        <f t="shared" si="2"/>
        <v>8706.9946093219987</v>
      </c>
      <c r="F38" s="6">
        <v>462.469753825</v>
      </c>
      <c r="G38" s="7">
        <v>0</v>
      </c>
      <c r="H38" s="7">
        <f t="shared" si="3"/>
        <v>462.469753825</v>
      </c>
      <c r="I38" s="6">
        <v>855.35514650000005</v>
      </c>
      <c r="J38" s="7">
        <v>0</v>
      </c>
      <c r="K38" s="7">
        <f t="shared" si="4"/>
        <v>855.35514650000005</v>
      </c>
      <c r="L38" s="6">
        <v>952.64406959699988</v>
      </c>
      <c r="M38" s="7">
        <v>0</v>
      </c>
      <c r="N38" s="7">
        <f t="shared" si="5"/>
        <v>952.64406959699988</v>
      </c>
      <c r="O38" s="6">
        <v>963.87449619999995</v>
      </c>
      <c r="P38" s="7">
        <v>0</v>
      </c>
      <c r="Q38" s="7">
        <f t="shared" si="6"/>
        <v>963.87449619999995</v>
      </c>
      <c r="R38" s="6">
        <v>1249.4496549</v>
      </c>
      <c r="S38" s="7">
        <v>0</v>
      </c>
      <c r="T38" s="7">
        <f t="shared" si="7"/>
        <v>1249.4496549</v>
      </c>
      <c r="U38" s="6">
        <v>1130.1085945</v>
      </c>
      <c r="V38" s="7">
        <v>0</v>
      </c>
      <c r="W38" s="7">
        <f t="shared" si="8"/>
        <v>1130.1085945</v>
      </c>
      <c r="X38" s="6">
        <v>733.04656490000002</v>
      </c>
      <c r="Y38" s="6">
        <v>1304</v>
      </c>
      <c r="Z38" s="7">
        <f t="shared" si="9"/>
        <v>2037.0465649</v>
      </c>
      <c r="AA38" s="6">
        <v>1056.0463288999999</v>
      </c>
      <c r="AB38" s="7">
        <v>0</v>
      </c>
      <c r="AC38" s="7">
        <f t="shared" si="10"/>
        <v>1056.0463288999999</v>
      </c>
    </row>
    <row r="39" spans="1:29" x14ac:dyDescent="0.3">
      <c r="A39" s="1">
        <v>34</v>
      </c>
      <c r="B39" s="1" t="s">
        <v>29</v>
      </c>
      <c r="C39" s="8">
        <f t="shared" si="0"/>
        <v>224.579379442</v>
      </c>
      <c r="D39" s="8">
        <f t="shared" si="1"/>
        <v>48</v>
      </c>
      <c r="E39" s="8">
        <f t="shared" si="2"/>
        <v>272.579379442</v>
      </c>
      <c r="F39" s="6">
        <v>21.070885549</v>
      </c>
      <c r="G39" s="7">
        <v>0</v>
      </c>
      <c r="H39" s="7">
        <f t="shared" si="3"/>
        <v>21.070885549</v>
      </c>
      <c r="I39" s="6">
        <v>24.9159212</v>
      </c>
      <c r="J39" s="7">
        <v>0</v>
      </c>
      <c r="K39" s="7">
        <f t="shared" si="4"/>
        <v>24.9159212</v>
      </c>
      <c r="L39" s="6">
        <v>16.470055293000001</v>
      </c>
      <c r="M39" s="7">
        <v>0</v>
      </c>
      <c r="N39" s="7">
        <f t="shared" si="5"/>
        <v>16.470055293000001</v>
      </c>
      <c r="O39" s="6">
        <v>35.194595800000002</v>
      </c>
      <c r="P39" s="7">
        <v>0</v>
      </c>
      <c r="Q39" s="7">
        <f t="shared" si="6"/>
        <v>35.194595800000002</v>
      </c>
      <c r="R39" s="6">
        <v>29.788013400000001</v>
      </c>
      <c r="S39" s="7">
        <v>0</v>
      </c>
      <c r="T39" s="7">
        <f t="shared" si="7"/>
        <v>29.788013400000001</v>
      </c>
      <c r="U39" s="6">
        <v>30.9931324</v>
      </c>
      <c r="V39" s="7">
        <v>0</v>
      </c>
      <c r="W39" s="7">
        <f t="shared" si="8"/>
        <v>30.9931324</v>
      </c>
      <c r="X39" s="6">
        <v>33.347132899999998</v>
      </c>
      <c r="Y39" s="6">
        <v>48</v>
      </c>
      <c r="Z39" s="7">
        <f t="shared" si="9"/>
        <v>81.347132899999991</v>
      </c>
      <c r="AA39" s="6">
        <v>32.799642900000002</v>
      </c>
      <c r="AB39" s="7">
        <v>0</v>
      </c>
      <c r="AC39" s="7">
        <f t="shared" si="10"/>
        <v>32.799642900000002</v>
      </c>
    </row>
    <row r="40" spans="1:29" x14ac:dyDescent="0.3">
      <c r="A40" s="1">
        <v>35</v>
      </c>
      <c r="B40" s="1" t="s">
        <v>42</v>
      </c>
      <c r="C40" s="8">
        <f t="shared" si="0"/>
        <v>70.794910555000001</v>
      </c>
      <c r="D40" s="8">
        <f t="shared" si="1"/>
        <v>5</v>
      </c>
      <c r="E40" s="8">
        <f t="shared" si="2"/>
        <v>75.794910555000001</v>
      </c>
      <c r="F40" s="6">
        <v>2.1760332140000003</v>
      </c>
      <c r="G40" s="7">
        <v>0</v>
      </c>
      <c r="H40" s="7">
        <f t="shared" si="3"/>
        <v>2.1760332140000003</v>
      </c>
      <c r="I40" s="6">
        <v>5.4610823999999996</v>
      </c>
      <c r="J40" s="7">
        <v>0</v>
      </c>
      <c r="K40" s="7">
        <f t="shared" si="4"/>
        <v>5.4610823999999996</v>
      </c>
      <c r="L40" s="6">
        <v>7.745768141000001</v>
      </c>
      <c r="M40" s="7">
        <v>0</v>
      </c>
      <c r="N40" s="7">
        <f t="shared" si="5"/>
        <v>7.745768141000001</v>
      </c>
      <c r="O40" s="6">
        <v>8.0718455000000002</v>
      </c>
      <c r="P40" s="7">
        <v>0</v>
      </c>
      <c r="Q40" s="7">
        <f t="shared" si="6"/>
        <v>8.0718455000000002</v>
      </c>
      <c r="R40" s="6">
        <v>11.586168799999999</v>
      </c>
      <c r="S40" s="7">
        <v>0</v>
      </c>
      <c r="T40" s="7">
        <f t="shared" si="7"/>
        <v>11.586168799999999</v>
      </c>
      <c r="U40" s="6">
        <v>13.265008999999999</v>
      </c>
      <c r="V40" s="7">
        <v>0</v>
      </c>
      <c r="W40" s="7">
        <f t="shared" si="8"/>
        <v>13.265008999999999</v>
      </c>
      <c r="X40" s="6">
        <v>9.7971395000000001</v>
      </c>
      <c r="Y40" s="6">
        <v>5</v>
      </c>
      <c r="Z40" s="7">
        <f t="shared" si="9"/>
        <v>14.7971395</v>
      </c>
      <c r="AA40" s="6">
        <v>12.691864000000001</v>
      </c>
      <c r="AB40" s="7">
        <v>0</v>
      </c>
      <c r="AC40" s="7">
        <f t="shared" si="10"/>
        <v>12.691864000000001</v>
      </c>
    </row>
    <row r="41" spans="1:29" x14ac:dyDescent="0.3">
      <c r="A41" s="1">
        <v>36</v>
      </c>
      <c r="B41" s="1" t="s">
        <v>30</v>
      </c>
      <c r="C41" s="8">
        <f t="shared" si="0"/>
        <v>5829.4220969600001</v>
      </c>
      <c r="D41" s="8">
        <f t="shared" si="1"/>
        <v>705</v>
      </c>
      <c r="E41" s="8">
        <f t="shared" si="2"/>
        <v>6534.4220969600001</v>
      </c>
      <c r="F41" s="6">
        <v>418.55326029899999</v>
      </c>
      <c r="G41" s="7">
        <v>0</v>
      </c>
      <c r="H41" s="7">
        <f t="shared" si="3"/>
        <v>418.55326029899999</v>
      </c>
      <c r="I41" s="6">
        <v>669.35223399999995</v>
      </c>
      <c r="J41" s="7">
        <v>0</v>
      </c>
      <c r="K41" s="7">
        <f t="shared" si="4"/>
        <v>669.35223399999995</v>
      </c>
      <c r="L41" s="6">
        <v>784.38558586099998</v>
      </c>
      <c r="M41" s="7">
        <v>0</v>
      </c>
      <c r="N41" s="7">
        <f t="shared" si="5"/>
        <v>784.38558586099998</v>
      </c>
      <c r="O41" s="6">
        <v>798.56567180000002</v>
      </c>
      <c r="P41" s="7">
        <v>0</v>
      </c>
      <c r="Q41" s="7">
        <f t="shared" si="6"/>
        <v>798.56567180000002</v>
      </c>
      <c r="R41" s="6">
        <v>768.01671869999996</v>
      </c>
      <c r="S41" s="7">
        <v>0</v>
      </c>
      <c r="T41" s="7">
        <f t="shared" si="7"/>
        <v>768.01671869999996</v>
      </c>
      <c r="U41" s="6">
        <v>800.76456829999995</v>
      </c>
      <c r="V41" s="7">
        <v>0</v>
      </c>
      <c r="W41" s="7">
        <f t="shared" si="8"/>
        <v>800.76456829999995</v>
      </c>
      <c r="X41" s="6">
        <v>790.67151120000005</v>
      </c>
      <c r="Y41" s="6">
        <v>705</v>
      </c>
      <c r="Z41" s="7">
        <f t="shared" si="9"/>
        <v>1495.6715112000002</v>
      </c>
      <c r="AA41" s="6">
        <v>799.11254680000002</v>
      </c>
      <c r="AB41" s="7">
        <v>0</v>
      </c>
      <c r="AC41" s="7">
        <f t="shared" si="10"/>
        <v>799.11254680000002</v>
      </c>
    </row>
    <row r="42" spans="1:29" x14ac:dyDescent="0.3">
      <c r="A42" s="1">
        <v>37</v>
      </c>
      <c r="B42" s="1" t="s">
        <v>31</v>
      </c>
      <c r="C42" s="8">
        <f t="shared" si="0"/>
        <v>5161.0614935530002</v>
      </c>
      <c r="D42" s="8">
        <f t="shared" si="1"/>
        <v>589</v>
      </c>
      <c r="E42" s="8">
        <f t="shared" si="2"/>
        <v>5750.0614935530002</v>
      </c>
      <c r="F42" s="6">
        <v>386.41</v>
      </c>
      <c r="G42" s="7">
        <v>0</v>
      </c>
      <c r="H42" s="7">
        <f t="shared" si="3"/>
        <v>386.41</v>
      </c>
      <c r="I42" s="6">
        <v>528.09182969999995</v>
      </c>
      <c r="J42" s="7">
        <v>0</v>
      </c>
      <c r="K42" s="7">
        <f t="shared" si="4"/>
        <v>528.09182969999995</v>
      </c>
      <c r="L42" s="6">
        <v>690.38434185300002</v>
      </c>
      <c r="M42" s="7">
        <v>0</v>
      </c>
      <c r="N42" s="7">
        <f t="shared" si="5"/>
        <v>690.38434185300002</v>
      </c>
      <c r="O42" s="6">
        <v>637.84613990000003</v>
      </c>
      <c r="P42" s="7">
        <v>0</v>
      </c>
      <c r="Q42" s="7">
        <f t="shared" si="6"/>
        <v>637.84613990000003</v>
      </c>
      <c r="R42" s="6">
        <v>636.95521570000005</v>
      </c>
      <c r="S42" s="7">
        <v>0</v>
      </c>
      <c r="T42" s="7">
        <f t="shared" si="7"/>
        <v>636.95521570000005</v>
      </c>
      <c r="U42" s="6">
        <v>763.84782940000002</v>
      </c>
      <c r="V42" s="7">
        <v>0</v>
      </c>
      <c r="W42" s="7">
        <f t="shared" si="8"/>
        <v>763.84782940000002</v>
      </c>
      <c r="X42" s="6">
        <v>795.17482459999997</v>
      </c>
      <c r="Y42" s="6">
        <v>589</v>
      </c>
      <c r="Z42" s="7">
        <f t="shared" si="9"/>
        <v>1384.1748246</v>
      </c>
      <c r="AA42" s="6">
        <v>722.35131239999998</v>
      </c>
      <c r="AB42" s="7">
        <v>0</v>
      </c>
      <c r="AC42" s="7">
        <f t="shared" si="10"/>
        <v>722.35131239999998</v>
      </c>
    </row>
    <row r="43" spans="1:29" x14ac:dyDescent="0.3">
      <c r="A43" s="1">
        <v>38</v>
      </c>
      <c r="B43" s="1" t="s">
        <v>45</v>
      </c>
      <c r="C43" s="8">
        <f t="shared" si="0"/>
        <v>0</v>
      </c>
      <c r="D43" s="8">
        <f t="shared" si="1"/>
        <v>0</v>
      </c>
      <c r="E43" s="8">
        <f t="shared" si="2"/>
        <v>0</v>
      </c>
      <c r="F43" s="6"/>
      <c r="G43" s="7"/>
      <c r="H43" s="7">
        <f t="shared" si="3"/>
        <v>0</v>
      </c>
      <c r="I43" s="6"/>
      <c r="J43" s="7"/>
      <c r="K43" s="7">
        <f t="shared" si="4"/>
        <v>0</v>
      </c>
      <c r="L43" s="6"/>
      <c r="M43" s="7"/>
      <c r="N43" s="7">
        <f t="shared" si="5"/>
        <v>0</v>
      </c>
      <c r="O43" s="6"/>
      <c r="P43" s="7"/>
      <c r="Q43" s="7">
        <f t="shared" si="6"/>
        <v>0</v>
      </c>
      <c r="R43" s="6"/>
      <c r="S43" s="7"/>
      <c r="T43" s="7">
        <f t="shared" si="7"/>
        <v>0</v>
      </c>
      <c r="U43" s="6"/>
      <c r="V43" s="7"/>
      <c r="W43" s="7">
        <f t="shared" si="8"/>
        <v>0</v>
      </c>
      <c r="X43" s="6"/>
      <c r="Y43" s="6"/>
      <c r="Z43" s="7">
        <f t="shared" si="9"/>
        <v>0</v>
      </c>
      <c r="AA43" s="6"/>
      <c r="AB43" s="7"/>
      <c r="AC43" s="7">
        <f t="shared" si="10"/>
        <v>0</v>
      </c>
    </row>
    <row r="44" spans="1:29" x14ac:dyDescent="0.3">
      <c r="A44" s="1">
        <v>97</v>
      </c>
      <c r="B44" s="1" t="s">
        <v>32</v>
      </c>
      <c r="C44" s="8">
        <f t="shared" si="0"/>
        <v>0</v>
      </c>
      <c r="D44" s="8">
        <f t="shared" si="1"/>
        <v>0</v>
      </c>
      <c r="E44" s="8">
        <f t="shared" si="2"/>
        <v>0</v>
      </c>
      <c r="F44" s="6"/>
      <c r="G44" s="7"/>
      <c r="H44" s="7">
        <f t="shared" si="3"/>
        <v>0</v>
      </c>
      <c r="I44" s="6"/>
      <c r="J44" s="7"/>
      <c r="K44" s="7">
        <f t="shared" si="4"/>
        <v>0</v>
      </c>
      <c r="L44" s="6"/>
      <c r="M44" s="7"/>
      <c r="N44" s="7">
        <f t="shared" si="5"/>
        <v>0</v>
      </c>
      <c r="O44" s="6"/>
      <c r="P44" s="7"/>
      <c r="Q44" s="7">
        <f t="shared" si="6"/>
        <v>0</v>
      </c>
      <c r="R44" s="6"/>
      <c r="S44" s="7"/>
      <c r="T44" s="7">
        <f t="shared" si="7"/>
        <v>0</v>
      </c>
      <c r="U44" s="6"/>
      <c r="V44" s="7"/>
      <c r="W44" s="7">
        <f t="shared" si="8"/>
        <v>0</v>
      </c>
      <c r="X44" s="6"/>
      <c r="Y44" s="6"/>
      <c r="Z44" s="7">
        <f t="shared" si="9"/>
        <v>0</v>
      </c>
      <c r="AA44" s="6"/>
      <c r="AB44" s="7"/>
      <c r="AC44" s="7">
        <f t="shared" si="10"/>
        <v>0</v>
      </c>
    </row>
    <row r="45" spans="1:29" x14ac:dyDescent="0.3">
      <c r="A45" s="2"/>
      <c r="B45" s="9" t="s">
        <v>46</v>
      </c>
      <c r="C45" s="9">
        <f>SUM(C7:C44)</f>
        <v>102162.82115631702</v>
      </c>
      <c r="D45" s="9">
        <f>SUM(D7:D44)</f>
        <v>17500</v>
      </c>
      <c r="E45" s="9">
        <f>SUM(E7:E44)</f>
        <v>119662.82115631702</v>
      </c>
      <c r="F45" s="13">
        <f>SUM(F7:F44)</f>
        <v>7680.4645314229992</v>
      </c>
      <c r="G45" s="13">
        <f t="shared" ref="G45:AC45" si="11">SUM(G7:G44)</f>
        <v>0</v>
      </c>
      <c r="H45" s="13">
        <f t="shared" si="11"/>
        <v>7680.4645314229992</v>
      </c>
      <c r="I45" s="13">
        <f t="shared" si="11"/>
        <v>10852.290979899999</v>
      </c>
      <c r="J45" s="13">
        <f t="shared" si="11"/>
        <v>0</v>
      </c>
      <c r="K45" s="13">
        <f t="shared" si="11"/>
        <v>10852.290979899999</v>
      </c>
      <c r="L45" s="13">
        <f t="shared" si="11"/>
        <v>13289.298080794</v>
      </c>
      <c r="M45" s="13">
        <f t="shared" si="11"/>
        <v>0</v>
      </c>
      <c r="N45" s="13">
        <f t="shared" si="11"/>
        <v>13289.298080794</v>
      </c>
      <c r="O45" s="13">
        <f t="shared" si="11"/>
        <v>13881.581431400002</v>
      </c>
      <c r="P45" s="13">
        <f t="shared" si="11"/>
        <v>0</v>
      </c>
      <c r="Q45" s="13">
        <f t="shared" si="11"/>
        <v>13881.581431400002</v>
      </c>
      <c r="R45" s="13">
        <f t="shared" si="11"/>
        <v>14487.753084200001</v>
      </c>
      <c r="S45" s="13">
        <f t="shared" si="11"/>
        <v>0</v>
      </c>
      <c r="T45" s="13">
        <f t="shared" si="11"/>
        <v>14487.753084200001</v>
      </c>
      <c r="U45" s="13">
        <f t="shared" si="11"/>
        <v>15067.642613599997</v>
      </c>
      <c r="V45" s="13">
        <f t="shared" si="11"/>
        <v>0</v>
      </c>
      <c r="W45" s="13">
        <f t="shared" si="11"/>
        <v>15067.642613599997</v>
      </c>
      <c r="X45" s="13">
        <f t="shared" si="11"/>
        <v>13479.386348200005</v>
      </c>
      <c r="Y45" s="13">
        <f t="shared" si="11"/>
        <v>17500</v>
      </c>
      <c r="Z45" s="13">
        <f t="shared" si="11"/>
        <v>30979.386348199994</v>
      </c>
      <c r="AA45" s="13">
        <f t="shared" si="11"/>
        <v>13424.404086799999</v>
      </c>
      <c r="AB45" s="13">
        <f t="shared" si="11"/>
        <v>0</v>
      </c>
      <c r="AC45" s="13">
        <f t="shared" si="11"/>
        <v>13424.404086799999</v>
      </c>
    </row>
  </sheetData>
  <mergeCells count="12">
    <mergeCell ref="R5:T5"/>
    <mergeCell ref="U5:W5"/>
    <mergeCell ref="X5:Z5"/>
    <mergeCell ref="AA5:AC5"/>
    <mergeCell ref="B5:B6"/>
    <mergeCell ref="O5:Q5"/>
    <mergeCell ref="A3:B3"/>
    <mergeCell ref="C5:E5"/>
    <mergeCell ref="F5:H5"/>
    <mergeCell ref="I5:K5"/>
    <mergeCell ref="L5:N5"/>
    <mergeCell ref="A5:A6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settlement_2017_18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Krishan Pal Singh</cp:lastModifiedBy>
  <cp:revision/>
  <dcterms:created xsi:type="dcterms:W3CDTF">2019-11-01T02:37:37Z</dcterms:created>
  <dcterms:modified xsi:type="dcterms:W3CDTF">2024-08-03T02:15:11Z</dcterms:modified>
  <cp:category/>
  <dc:identifier/>
  <cp:contentStatus/>
  <dc:language/>
  <cp:version/>
</cp:coreProperties>
</file>