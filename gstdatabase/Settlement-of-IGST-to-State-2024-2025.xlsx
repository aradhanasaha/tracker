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Nov-25\GST Statistics Downloads 30th Nov 25\Downloads\Settlement\"/>
    </mc:Choice>
  </mc:AlternateContent>
  <xr:revisionPtr revIDLastSave="0" documentId="13_ncr:1_{ADAA7EA7-B460-495F-A774-BE32FB1D25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ttlement_2024-25" sheetId="7" r:id="rId1"/>
  </sheets>
  <definedNames>
    <definedName name="_xlnm._FilterDatabase" localSheetId="0" hidden="1">'Settlement_2024-25'!$A$5:$F$44</definedName>
    <definedName name="_xlnm.Print_Titles" localSheetId="0">'Settlement_2024-25'!$1:$5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7" l="1"/>
  <c r="C7" i="7"/>
  <c r="D7" i="7"/>
  <c r="C8" i="7"/>
  <c r="D8" i="7"/>
  <c r="E8" i="7"/>
  <c r="C9" i="7"/>
  <c r="D9" i="7"/>
  <c r="C10" i="7"/>
  <c r="D10" i="7"/>
  <c r="C11" i="7"/>
  <c r="D11" i="7"/>
  <c r="C12" i="7"/>
  <c r="D12" i="7"/>
  <c r="C13" i="7"/>
  <c r="D13" i="7"/>
  <c r="E13" i="7"/>
  <c r="C14" i="7"/>
  <c r="D14" i="7"/>
  <c r="C15" i="7"/>
  <c r="D15" i="7"/>
  <c r="C16" i="7"/>
  <c r="D16" i="7"/>
  <c r="E16" i="7"/>
  <c r="C17" i="7"/>
  <c r="D17" i="7"/>
  <c r="C18" i="7"/>
  <c r="D18" i="7"/>
  <c r="C19" i="7"/>
  <c r="D19" i="7"/>
  <c r="C20" i="7"/>
  <c r="D20" i="7"/>
  <c r="C21" i="7"/>
  <c r="D21" i="7"/>
  <c r="E21" i="7"/>
  <c r="C22" i="7"/>
  <c r="D22" i="7"/>
  <c r="C23" i="7"/>
  <c r="D23" i="7"/>
  <c r="C24" i="7"/>
  <c r="D24" i="7"/>
  <c r="E24" i="7"/>
  <c r="C25" i="7"/>
  <c r="D25" i="7"/>
  <c r="C26" i="7"/>
  <c r="D26" i="7"/>
  <c r="C27" i="7"/>
  <c r="D27" i="7"/>
  <c r="C28" i="7"/>
  <c r="D28" i="7"/>
  <c r="C29" i="7"/>
  <c r="D29" i="7"/>
  <c r="E29" i="7"/>
  <c r="C30" i="7"/>
  <c r="D30" i="7"/>
  <c r="C31" i="7"/>
  <c r="D31" i="7"/>
  <c r="C32" i="7"/>
  <c r="D32" i="7"/>
  <c r="E32" i="7"/>
  <c r="C33" i="7"/>
  <c r="D33" i="7"/>
  <c r="C34" i="7"/>
  <c r="D34" i="7"/>
  <c r="C35" i="7"/>
  <c r="D35" i="7"/>
  <c r="C36" i="7"/>
  <c r="D36" i="7"/>
  <c r="C37" i="7"/>
  <c r="D37" i="7"/>
  <c r="E37" i="7"/>
  <c r="C38" i="7"/>
  <c r="D38" i="7"/>
  <c r="C39" i="7"/>
  <c r="D39" i="7"/>
  <c r="C40" i="7"/>
  <c r="D40" i="7"/>
  <c r="E40" i="7"/>
  <c r="C41" i="7"/>
  <c r="D41" i="7"/>
  <c r="E41" i="7"/>
  <c r="C42" i="7"/>
  <c r="D42" i="7"/>
  <c r="C43" i="7"/>
  <c r="D43" i="7"/>
  <c r="D6" i="7"/>
  <c r="C6" i="7"/>
  <c r="C44" i="7" s="1"/>
  <c r="AN44" i="7"/>
  <c r="AM44" i="7"/>
  <c r="AO43" i="7"/>
  <c r="E43" i="7" s="1"/>
  <c r="AO42" i="7"/>
  <c r="E42" i="7" s="1"/>
  <c r="AO41" i="7"/>
  <c r="AO40" i="7"/>
  <c r="AO39" i="7"/>
  <c r="E39" i="7" s="1"/>
  <c r="AO38" i="7"/>
  <c r="E38" i="7" s="1"/>
  <c r="AO37" i="7"/>
  <c r="AO36" i="7"/>
  <c r="E36" i="7" s="1"/>
  <c r="AO35" i="7"/>
  <c r="E35" i="7" s="1"/>
  <c r="AO34" i="7"/>
  <c r="E34" i="7" s="1"/>
  <c r="AO33" i="7"/>
  <c r="E33" i="7" s="1"/>
  <c r="AO32" i="7"/>
  <c r="AO31" i="7"/>
  <c r="E31" i="7" s="1"/>
  <c r="AO30" i="7"/>
  <c r="E30" i="7" s="1"/>
  <c r="AO29" i="7"/>
  <c r="AO28" i="7"/>
  <c r="E28" i="7" s="1"/>
  <c r="AO27" i="7"/>
  <c r="E27" i="7" s="1"/>
  <c r="AO26" i="7"/>
  <c r="E26" i="7" s="1"/>
  <c r="AO25" i="7"/>
  <c r="E25" i="7" s="1"/>
  <c r="AO24" i="7"/>
  <c r="AO23" i="7"/>
  <c r="E23" i="7" s="1"/>
  <c r="AO22" i="7"/>
  <c r="E22" i="7" s="1"/>
  <c r="AO21" i="7"/>
  <c r="AO20" i="7"/>
  <c r="E20" i="7" s="1"/>
  <c r="AO19" i="7"/>
  <c r="E19" i="7" s="1"/>
  <c r="AO18" i="7"/>
  <c r="E18" i="7" s="1"/>
  <c r="AO17" i="7"/>
  <c r="E17" i="7" s="1"/>
  <c r="AO16" i="7"/>
  <c r="AO15" i="7"/>
  <c r="E15" i="7" s="1"/>
  <c r="E44" i="7" s="1"/>
  <c r="AO14" i="7"/>
  <c r="E14" i="7" s="1"/>
  <c r="AO13" i="7"/>
  <c r="AO12" i="7"/>
  <c r="E12" i="7" s="1"/>
  <c r="AO11" i="7"/>
  <c r="E11" i="7" s="1"/>
  <c r="AO10" i="7"/>
  <c r="E10" i="7" s="1"/>
  <c r="AO9" i="7"/>
  <c r="E9" i="7" s="1"/>
  <c r="AO8" i="7"/>
  <c r="AO7" i="7"/>
  <c r="E7" i="7" s="1"/>
  <c r="AO6" i="7"/>
  <c r="AO44" i="7" l="1"/>
  <c r="AK44" i="7"/>
  <c r="AJ44" i="7"/>
  <c r="AL43" i="7"/>
  <c r="AL42" i="7"/>
  <c r="AL41" i="7"/>
  <c r="AL40" i="7"/>
  <c r="AL39" i="7"/>
  <c r="AL38" i="7"/>
  <c r="AL37" i="7"/>
  <c r="AL36" i="7"/>
  <c r="AL35" i="7"/>
  <c r="AL34" i="7"/>
  <c r="AL33" i="7"/>
  <c r="AL32" i="7"/>
  <c r="AL31" i="7"/>
  <c r="AL30" i="7"/>
  <c r="AL29" i="7"/>
  <c r="AL28" i="7"/>
  <c r="AL27" i="7"/>
  <c r="AL26" i="7"/>
  <c r="AL25" i="7"/>
  <c r="AL24" i="7"/>
  <c r="AL23" i="7"/>
  <c r="AL22" i="7"/>
  <c r="AL21" i="7"/>
  <c r="AL20" i="7"/>
  <c r="AL19" i="7"/>
  <c r="AL18" i="7"/>
  <c r="AL17" i="7"/>
  <c r="AL16" i="7"/>
  <c r="AL15" i="7"/>
  <c r="AL14" i="7"/>
  <c r="AL13" i="7"/>
  <c r="AL12" i="7"/>
  <c r="AL11" i="7"/>
  <c r="AL10" i="7"/>
  <c r="AL9" i="7"/>
  <c r="AL8" i="7"/>
  <c r="AL7" i="7"/>
  <c r="AL6" i="7"/>
  <c r="AH44" i="7"/>
  <c r="AG44" i="7"/>
  <c r="AI43" i="7"/>
  <c r="AI42" i="7"/>
  <c r="AI41" i="7"/>
  <c r="AI40" i="7"/>
  <c r="AI39" i="7"/>
  <c r="AI38" i="7"/>
  <c r="AI37" i="7"/>
  <c r="AI36" i="7"/>
  <c r="AI35" i="7"/>
  <c r="AI34" i="7"/>
  <c r="AI33" i="7"/>
  <c r="AI32" i="7"/>
  <c r="AI31" i="7"/>
  <c r="AI30" i="7"/>
  <c r="AI29" i="7"/>
  <c r="AI28" i="7"/>
  <c r="AI27" i="7"/>
  <c r="AI26" i="7"/>
  <c r="AI25" i="7"/>
  <c r="AI24" i="7"/>
  <c r="AI23" i="7"/>
  <c r="AI22" i="7"/>
  <c r="AI21" i="7"/>
  <c r="AI20" i="7"/>
  <c r="AI19" i="7"/>
  <c r="AI18" i="7"/>
  <c r="AI17" i="7"/>
  <c r="AI16" i="7"/>
  <c r="AI15" i="7"/>
  <c r="AI14" i="7"/>
  <c r="AI13" i="7"/>
  <c r="AI12" i="7"/>
  <c r="AI11" i="7"/>
  <c r="AI10" i="7"/>
  <c r="AI9" i="7"/>
  <c r="AI8" i="7"/>
  <c r="AI7" i="7"/>
  <c r="AI6" i="7"/>
  <c r="AL44" i="7" l="1"/>
  <c r="AI44" i="7"/>
  <c r="AE44" i="7"/>
  <c r="AD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6" i="7"/>
  <c r="Y44" i="7"/>
  <c r="X44" i="7"/>
  <c r="Z43" i="7"/>
  <c r="Z42" i="7"/>
  <c r="Z41" i="7"/>
  <c r="Z40" i="7"/>
  <c r="Z39" i="7"/>
  <c r="Z38" i="7"/>
  <c r="Z37" i="7"/>
  <c r="Z36" i="7"/>
  <c r="Z35" i="7"/>
  <c r="Z34" i="7"/>
  <c r="Z33" i="7"/>
  <c r="Z32" i="7"/>
  <c r="Z31" i="7"/>
  <c r="Z30" i="7"/>
  <c r="Z29" i="7"/>
  <c r="Z28" i="7"/>
  <c r="Z27" i="7"/>
  <c r="Z26" i="7"/>
  <c r="Z25" i="7"/>
  <c r="Z24" i="7"/>
  <c r="Z23" i="7"/>
  <c r="Z22" i="7"/>
  <c r="Z21" i="7"/>
  <c r="Z20" i="7"/>
  <c r="Z19" i="7"/>
  <c r="Z18" i="7"/>
  <c r="Z17" i="7"/>
  <c r="Z16" i="7"/>
  <c r="Z15" i="7"/>
  <c r="Z14" i="7"/>
  <c r="Z13" i="7"/>
  <c r="Z12" i="7"/>
  <c r="Z11" i="7"/>
  <c r="Z10" i="7"/>
  <c r="Z9" i="7"/>
  <c r="Z8" i="7"/>
  <c r="Z7" i="7"/>
  <c r="Z6" i="7"/>
  <c r="V44" i="7"/>
  <c r="U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W6" i="7"/>
  <c r="D44" i="7" l="1"/>
  <c r="AF44" i="7"/>
  <c r="Z44" i="7"/>
  <c r="W44" i="7"/>
  <c r="AB44" i="7"/>
  <c r="AA44" i="7"/>
  <c r="AC43" i="7"/>
  <c r="AC42" i="7"/>
  <c r="AC41" i="7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AC9" i="7"/>
  <c r="AC8" i="7"/>
  <c r="AC7" i="7"/>
  <c r="AC6" i="7"/>
  <c r="R44" i="7"/>
  <c r="AC44" i="7" l="1"/>
  <c r="P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44" i="7" l="1"/>
  <c r="M44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6" i="7"/>
  <c r="L44" i="7"/>
  <c r="S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N44" i="7" l="1"/>
  <c r="T44" i="7"/>
  <c r="F44" i="7"/>
  <c r="G44" i="7"/>
  <c r="I44" i="7"/>
  <c r="J44" i="7"/>
  <c r="K43" i="7" l="1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6" i="7"/>
  <c r="H44" i="7" l="1"/>
  <c r="K44" i="7"/>
</calcChain>
</file>

<file path=xl/sharedStrings.xml><?xml version="1.0" encoding="utf-8"?>
<sst xmlns="http://schemas.openxmlformats.org/spreadsheetml/2006/main" count="83" uniqueCount="47">
  <si>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</si>
  <si>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</si>
  <si>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</si>
  <si>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</si>
  <si>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</si>
  <si>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</si>
  <si>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</si>
  <si>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</si>
  <si>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</si>
  <si>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</si>
  <si>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</si>
  <si>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</si>
  <si>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</si>
  <si>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</si>
  <si>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</si>
  <si>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</si>
  <si>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</si>
  <si>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</si>
  <si>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</si>
  <si>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</si>
  <si>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</si>
  <si>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</si>
  <si>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</si>
  <si>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</si>
  <si>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</si>
  <si>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</si>
  <si>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</si>
  <si>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</si>
  <si>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</si>
  <si>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</si>
  <si>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</si>
  <si>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</si>
  <si>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Other Territory</t>
  </si>
  <si>
    <t>Chhattisgarh</t>
  </si>
  <si>
    <t>Gujarat</t>
  </si>
  <si>
    <t>Maharashtra</t>
  </si>
  <si>
    <t>Andaman and Nicobar Islands</t>
  </si>
  <si>
    <t>State</t>
  </si>
  <si>
    <t>Ladakh</t>
  </si>
  <si>
    <t>State CD</t>
  </si>
  <si>
    <t>FINANCIAL YEAR 2024-2025</t>
  </si>
  <si>
    <t>SETTLEMENT OF IGST WITH STATES/UTS</t>
  </si>
  <si>
    <t>Regular Settlement</t>
  </si>
  <si>
    <t>Adhoc Settlement</t>
  </si>
  <si>
    <t>Total</t>
  </si>
  <si>
    <t>Financial Year 2024-25</t>
  </si>
  <si>
    <t>All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</si>
</sst>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/>
    <xf numFmtId="17" fontId="6" fillId="2" borderId="1" xfId="0" applyNumberFormat="1" applyFont="1" applyFill="1" applyBorder="1" applyAlignment="1">
      <alignment horizontal="center" vertical="center" wrapText="1"/>
    </xf>
    <xf numFmtId="17" fontId="6" fillId="3" borderId="1" xfId="0" applyNumberFormat="1" applyFont="1" applyFill="1" applyBorder="1" applyAlignment="1">
      <alignment horizontal="center" vertical="center" wrapText="1"/>
    </xf>
    <xf numFmtId="43" fontId="2" fillId="0" borderId="1" xfId="3" applyFont="1" applyBorder="1" applyAlignment="1">
      <alignment vertical="center"/>
    </xf>
    <xf numFmtId="43" fontId="4" fillId="0" borderId="1" xfId="3" applyFont="1" applyBorder="1"/>
    <xf numFmtId="43" fontId="0" fillId="0" borderId="1" xfId="3" applyFont="1" applyBorder="1"/>
    <xf numFmtId="43" fontId="6" fillId="2" borderId="1" xfId="3" applyFont="1" applyFill="1" applyBorder="1" applyAlignment="1">
      <alignment horizontal="center" vertical="center" wrapText="1"/>
    </xf>
    <xf numFmtId="43" fontId="9" fillId="0" borderId="4" xfId="0" applyNumberFormat="1" applyFont="1" applyBorder="1"/>
    <xf numFmtId="43" fontId="9" fillId="0" borderId="5" xfId="0" applyNumberFormat="1" applyFont="1" applyBorder="1"/>
    <xf numFmtId="43" fontId="6" fillId="2" borderId="1" xfId="3" applyFont="1" applyFill="1" applyBorder="1" applyAlignment="1">
      <alignment vertical="center" wrapText="1"/>
    </xf>
    <xf numFmtId="43" fontId="2" fillId="0" borderId="1" xfId="3" applyFont="1" applyFill="1" applyBorder="1" applyAlignment="1">
      <alignment vertical="center"/>
    </xf>
    <xf numFmtId="43" fontId="4" fillId="0" borderId="1" xfId="3" applyFont="1" applyFill="1" applyBorder="1"/>
    <xf numFmtId="43" fontId="0" fillId="0" borderId="1" xfId="3" applyFont="1" applyFill="1" applyBorder="1"/>
    <xf numFmtId="17" fontId="8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17" fontId="8" fillId="3" borderId="2" xfId="0" applyNumberFormat="1" applyFont="1" applyFill="1" applyBorder="1" applyAlignment="1">
      <alignment horizontal="center" vertical="center" wrapText="1"/>
    </xf>
    <xf numFmtId="17" fontId="8" fillId="3" borderId="3" xfId="0" applyNumberFormat="1" applyFont="1" applyFill="1" applyBorder="1" applyAlignment="1">
      <alignment horizontal="center" vertical="center" wrapText="1"/>
    </xf>
    <xf numFmtId="17" fontId="8" fillId="3" borderId="4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4">
    <cellStyle name="Comma" xfId="3" builtinId="3"/>
    <cellStyle name="Comma 2" xfId="1" xr:uid="{00000000-0005-0000-0000-000001000000}"/>
    <cellStyle name="Comma 3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44"/>
  <sheetViews>
    <sheetView tabSelected="1" zoomScale="70" zoomScaleNormal="7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8.88671875" defaultRowHeight="14.4" x14ac:dyDescent="0.3"/>
  <cols>
    <col min="1" max="1" width="6.88671875" bestFit="1" customWidth="1"/>
    <col min="2" max="2" width="26.44140625" customWidth="1"/>
    <col min="3" max="14" width="12.88671875" customWidth="1"/>
    <col min="15" max="15" width="12.109375" customWidth="1"/>
    <col min="16" max="16" width="10.6640625" customWidth="1"/>
    <col min="17" max="17" width="10.88671875" bestFit="1" customWidth="1"/>
    <col min="18" max="18" width="11" bestFit="1" customWidth="1"/>
    <col min="19" max="19" width="10.6640625" customWidth="1"/>
    <col min="20" max="20" width="10.88671875" bestFit="1" customWidth="1"/>
    <col min="21" max="21" width="11" bestFit="1" customWidth="1"/>
    <col min="22" max="22" width="10.6640625" customWidth="1"/>
    <col min="23" max="23" width="10.88671875" bestFit="1" customWidth="1"/>
    <col min="24" max="24" width="11" bestFit="1" customWidth="1"/>
    <col min="25" max="25" width="10.6640625" customWidth="1"/>
    <col min="26" max="26" width="10.88671875" bestFit="1" customWidth="1"/>
    <col min="27" max="27" width="11" bestFit="1" customWidth="1"/>
    <col min="28" max="28" width="10.6640625" customWidth="1"/>
    <col min="29" max="29" width="10.88671875" bestFit="1" customWidth="1"/>
    <col min="30" max="30" width="11" bestFit="1" customWidth="1"/>
    <col min="31" max="31" width="10.6640625" customWidth="1"/>
    <col min="32" max="32" width="10.88671875" bestFit="1" customWidth="1"/>
    <col min="33" max="33" width="11" bestFit="1" customWidth="1"/>
    <col min="34" max="34" width="11.44140625" customWidth="1"/>
    <col min="35" max="35" width="10.88671875" bestFit="1" customWidth="1"/>
    <col min="36" max="36" width="11" bestFit="1" customWidth="1"/>
    <col min="37" max="37" width="11.44140625" customWidth="1"/>
    <col min="38" max="38" width="10.88671875" bestFit="1" customWidth="1"/>
    <col min="39" max="39" width="11" bestFit="1" customWidth="1"/>
    <col min="40" max="40" width="11.44140625" customWidth="1"/>
    <col min="41" max="41" width="10.88671875" bestFit="1" customWidth="1"/>
  </cols>
  <sheetData>
    <row r="1" spans="1:41" ht="23.1" customHeight="1" x14ac:dyDescent="0.3">
      <c r="A1" s="19" t="s">
        <v>41</v>
      </c>
      <c r="B1" s="19"/>
      <c r="C1" s="19"/>
    </row>
    <row r="2" spans="1:41" ht="23.1" customHeight="1" x14ac:dyDescent="0.35">
      <c r="A2" s="1"/>
      <c r="B2" s="1"/>
      <c r="C2" s="1"/>
    </row>
    <row r="3" spans="1:41" ht="23.1" customHeight="1" x14ac:dyDescent="0.35">
      <c r="A3" s="20" t="s">
        <v>40</v>
      </c>
      <c r="B3" s="20"/>
      <c r="C3" s="1"/>
    </row>
    <row r="4" spans="1:41" ht="14.4" customHeight="1" x14ac:dyDescent="0.3">
      <c r="C4" s="24" t="s">
        <v>45</v>
      </c>
      <c r="D4" s="25"/>
      <c r="E4" s="26"/>
      <c r="F4" s="21">
        <v>45383</v>
      </c>
      <c r="G4" s="22"/>
      <c r="H4" s="23"/>
      <c r="I4" s="21">
        <v>45413</v>
      </c>
      <c r="J4" s="22"/>
      <c r="K4" s="23"/>
      <c r="L4" s="21">
        <v>45444</v>
      </c>
      <c r="M4" s="22"/>
      <c r="N4" s="23"/>
      <c r="O4" s="18">
        <v>45474</v>
      </c>
      <c r="P4" s="18"/>
      <c r="Q4" s="18"/>
      <c r="R4" s="18">
        <v>45505</v>
      </c>
      <c r="S4" s="18"/>
      <c r="T4" s="18"/>
      <c r="U4" s="18">
        <v>45536</v>
      </c>
      <c r="V4" s="18"/>
      <c r="W4" s="18"/>
      <c r="X4" s="18">
        <v>45566</v>
      </c>
      <c r="Y4" s="18"/>
      <c r="Z4" s="18"/>
      <c r="AA4" s="18">
        <v>45597</v>
      </c>
      <c r="AB4" s="18"/>
      <c r="AC4" s="18"/>
      <c r="AD4" s="18">
        <v>45627</v>
      </c>
      <c r="AE4" s="18"/>
      <c r="AF4" s="18"/>
      <c r="AG4" s="18">
        <v>45658</v>
      </c>
      <c r="AH4" s="18"/>
      <c r="AI4" s="18"/>
      <c r="AJ4" s="18">
        <v>45689</v>
      </c>
      <c r="AK4" s="18"/>
      <c r="AL4" s="18"/>
      <c r="AM4" s="18">
        <v>45717</v>
      </c>
      <c r="AN4" s="18"/>
      <c r="AO4" s="18"/>
    </row>
    <row r="5" spans="1:41" ht="37.65" customHeight="1" x14ac:dyDescent="0.3">
      <c r="A5" s="6" t="s">
        <v>39</v>
      </c>
      <c r="B5" s="6" t="s">
        <v>37</v>
      </c>
      <c r="C5" s="6" t="s">
        <v>42</v>
      </c>
      <c r="D5" s="6" t="s">
        <v>43</v>
      </c>
      <c r="E5" s="6" t="s">
        <v>44</v>
      </c>
      <c r="F5" s="7" t="s">
        <v>42</v>
      </c>
      <c r="G5" s="7" t="s">
        <v>43</v>
      </c>
      <c r="H5" s="7" t="s">
        <v>44</v>
      </c>
      <c r="I5" s="7" t="s">
        <v>42</v>
      </c>
      <c r="J5" s="7" t="s">
        <v>43</v>
      </c>
      <c r="K5" s="7" t="s">
        <v>44</v>
      </c>
      <c r="L5" s="7" t="s">
        <v>42</v>
      </c>
      <c r="M5" s="7" t="s">
        <v>43</v>
      </c>
      <c r="N5" s="7" t="s">
        <v>44</v>
      </c>
      <c r="O5" s="7" t="s">
        <v>42</v>
      </c>
      <c r="P5" s="7" t="s">
        <v>43</v>
      </c>
      <c r="Q5" s="7" t="s">
        <v>44</v>
      </c>
      <c r="R5" s="7" t="s">
        <v>42</v>
      </c>
      <c r="S5" s="7" t="s">
        <v>43</v>
      </c>
      <c r="T5" s="7" t="s">
        <v>44</v>
      </c>
      <c r="U5" s="7" t="s">
        <v>42</v>
      </c>
      <c r="V5" s="7" t="s">
        <v>43</v>
      </c>
      <c r="W5" s="7" t="s">
        <v>44</v>
      </c>
      <c r="X5" s="7" t="s">
        <v>42</v>
      </c>
      <c r="Y5" s="7" t="s">
        <v>43</v>
      </c>
      <c r="Z5" s="7" t="s">
        <v>44</v>
      </c>
      <c r="AA5" s="7" t="s">
        <v>42</v>
      </c>
      <c r="AB5" s="7" t="s">
        <v>43</v>
      </c>
      <c r="AC5" s="7" t="s">
        <v>44</v>
      </c>
      <c r="AD5" s="7" t="s">
        <v>42</v>
      </c>
      <c r="AE5" s="7" t="s">
        <v>43</v>
      </c>
      <c r="AF5" s="7" t="s">
        <v>44</v>
      </c>
      <c r="AG5" s="7" t="s">
        <v>42</v>
      </c>
      <c r="AH5" s="7" t="s">
        <v>43</v>
      </c>
      <c r="AI5" s="7" t="s">
        <v>44</v>
      </c>
      <c r="AJ5" s="7" t="s">
        <v>42</v>
      </c>
      <c r="AK5" s="7" t="s">
        <v>43</v>
      </c>
      <c r="AL5" s="7" t="s">
        <v>44</v>
      </c>
      <c r="AM5" s="7" t="s">
        <v>42</v>
      </c>
      <c r="AN5" s="7" t="s">
        <v>43</v>
      </c>
      <c r="AO5" s="7" t="s">
        <v>44</v>
      </c>
    </row>
    <row r="6" spans="1:41" x14ac:dyDescent="0.3">
      <c r="A6" s="3">
        <v>1</v>
      </c>
      <c r="B6" s="2" t="s">
        <v>0</v>
      </c>
      <c r="C6" s="8">
        <f>F6+I6+L6+O6+R6+U6+X6+AA6+AD6+AG6+AJ6+AM6</f>
        <v>5681.2671639930004</v>
      </c>
      <c r="D6" s="8">
        <f t="shared" ref="D6" si="0">G6+J6+M6+P6+S6+V6+Y6+AB6+AE6+AH6+AK6+AN6</f>
        <v>0</v>
      </c>
      <c r="E6" s="8">
        <f>H6+K6+N6+Q6+T6+W6+Z6+AC6+AF6+AI6+AL6+AO6</f>
        <v>5681.2671639930004</v>
      </c>
      <c r="F6" s="9">
        <v>590.86720022600002</v>
      </c>
      <c r="G6" s="9">
        <v>0</v>
      </c>
      <c r="H6" s="9">
        <f>F6+G6</f>
        <v>590.86720022600002</v>
      </c>
      <c r="I6" s="9">
        <v>434.2544015499999</v>
      </c>
      <c r="J6" s="10">
        <v>0</v>
      </c>
      <c r="K6" s="9">
        <f>I6+J6</f>
        <v>434.2544015499999</v>
      </c>
      <c r="L6" s="12">
        <v>419.09</v>
      </c>
      <c r="M6" s="10">
        <v>0</v>
      </c>
      <c r="N6" s="9">
        <f>L6+M6</f>
        <v>419.09</v>
      </c>
      <c r="O6" s="10">
        <v>495.71142250299999</v>
      </c>
      <c r="P6" s="10">
        <v>0</v>
      </c>
      <c r="Q6" s="9">
        <f>O6+P6</f>
        <v>495.71142250299999</v>
      </c>
      <c r="R6" s="10">
        <v>488.16668236200007</v>
      </c>
      <c r="S6" s="10">
        <v>0</v>
      </c>
      <c r="T6" s="9">
        <f>R6+S6</f>
        <v>488.16668236200007</v>
      </c>
      <c r="U6" s="10">
        <v>432.571925824</v>
      </c>
      <c r="V6" s="10">
        <v>0</v>
      </c>
      <c r="W6" s="9">
        <f>U6+V6</f>
        <v>432.571925824</v>
      </c>
      <c r="X6" s="10">
        <v>517.33335862800004</v>
      </c>
      <c r="Y6" s="10">
        <v>0</v>
      </c>
      <c r="Z6" s="9">
        <f>X6+Y6</f>
        <v>517.33335862800004</v>
      </c>
      <c r="AA6" s="10">
        <v>541.37859907500001</v>
      </c>
      <c r="AB6" s="10">
        <v>0</v>
      </c>
      <c r="AC6" s="9">
        <f>AA6+AB6</f>
        <v>541.37859907500001</v>
      </c>
      <c r="AD6" s="10">
        <v>420.41248948499998</v>
      </c>
      <c r="AE6" s="10">
        <v>0</v>
      </c>
      <c r="AF6" s="9">
        <f>AD6+AE6</f>
        <v>420.41248948499998</v>
      </c>
      <c r="AG6" s="10">
        <v>458.26799728200007</v>
      </c>
      <c r="AH6" s="10">
        <v>0</v>
      </c>
      <c r="AI6" s="9">
        <f>AG6+AH6</f>
        <v>458.26799728200007</v>
      </c>
      <c r="AJ6" s="10">
        <v>447.51160489700004</v>
      </c>
      <c r="AK6" s="10">
        <v>0</v>
      </c>
      <c r="AL6" s="9">
        <f>AJ6+AK6</f>
        <v>447.51160489700004</v>
      </c>
      <c r="AM6" s="10">
        <v>435.70148216100006</v>
      </c>
      <c r="AN6" s="10">
        <v>0</v>
      </c>
      <c r="AO6" s="9">
        <f>AM6+AN6</f>
        <v>435.70148216100006</v>
      </c>
    </row>
    <row r="7" spans="1:41" x14ac:dyDescent="0.3">
      <c r="A7" s="3">
        <v>2</v>
      </c>
      <c r="B7" s="2" t="s">
        <v>1</v>
      </c>
      <c r="C7" s="8">
        <f t="shared" ref="C7:C43" si="1">F7+I7+L7+O7+R7+U7+X7+AA7+AD7+AG7+AJ7+AM7</f>
        <v>3427.4706471709997</v>
      </c>
      <c r="D7" s="8">
        <f t="shared" ref="D7:D43" si="2">G7+J7+M7+P7+S7+V7+Y7+AB7+AE7+AH7+AK7+AN7</f>
        <v>0</v>
      </c>
      <c r="E7" s="8">
        <f t="shared" ref="E7:E43" si="3">H7+K7+N7+Q7+T7+W7+Z7+AC7+AF7+AI7+AL7+AO7</f>
        <v>3427.4706471709997</v>
      </c>
      <c r="F7" s="9">
        <v>363.37201714900004</v>
      </c>
      <c r="G7" s="9">
        <v>0</v>
      </c>
      <c r="H7" s="9">
        <f t="shared" ref="H7:H43" si="4">F7+G7</f>
        <v>363.37201714900004</v>
      </c>
      <c r="I7" s="9">
        <v>248.47078211599998</v>
      </c>
      <c r="J7" s="10">
        <v>0</v>
      </c>
      <c r="K7" s="9">
        <f t="shared" ref="K7:K43" si="5">I7+J7</f>
        <v>248.47078211599998</v>
      </c>
      <c r="L7" s="13">
        <v>222.23</v>
      </c>
      <c r="M7" s="10">
        <v>0</v>
      </c>
      <c r="N7" s="9">
        <f t="shared" ref="N7:N43" si="6">L7+M7</f>
        <v>222.23</v>
      </c>
      <c r="O7" s="10">
        <v>342.54518698199996</v>
      </c>
      <c r="P7" s="10">
        <v>0</v>
      </c>
      <c r="Q7" s="9">
        <f t="shared" ref="Q7:Q43" si="7">O7+P7</f>
        <v>342.54518698199996</v>
      </c>
      <c r="R7" s="10">
        <v>254.504119798</v>
      </c>
      <c r="S7" s="10">
        <v>0</v>
      </c>
      <c r="T7" s="9">
        <f t="shared" ref="T7:T43" si="8">R7+S7</f>
        <v>254.504119798</v>
      </c>
      <c r="U7" s="10">
        <v>236.40700670400005</v>
      </c>
      <c r="V7" s="10">
        <v>0</v>
      </c>
      <c r="W7" s="9">
        <f t="shared" ref="W7:W43" si="9">U7+V7</f>
        <v>236.40700670400005</v>
      </c>
      <c r="X7" s="10">
        <v>338.58587852500006</v>
      </c>
      <c r="Y7" s="10">
        <v>0</v>
      </c>
      <c r="Z7" s="9">
        <f t="shared" ref="Z7:Z43" si="10">X7+Y7</f>
        <v>338.58587852500006</v>
      </c>
      <c r="AA7" s="10">
        <v>330.62907895900003</v>
      </c>
      <c r="AB7" s="10">
        <v>0</v>
      </c>
      <c r="AC7" s="9">
        <f t="shared" ref="AC7:AC43" si="11">AA7+AB7</f>
        <v>330.62907895900003</v>
      </c>
      <c r="AD7" s="10">
        <v>251.077337417</v>
      </c>
      <c r="AE7" s="10">
        <v>0</v>
      </c>
      <c r="AF7" s="9">
        <f t="shared" ref="AF7:AF43" si="12">AD7+AE7</f>
        <v>251.077337417</v>
      </c>
      <c r="AG7" s="10">
        <v>322.24413236499998</v>
      </c>
      <c r="AH7" s="10">
        <v>0</v>
      </c>
      <c r="AI7" s="9">
        <f t="shared" ref="AI7:AI43" si="13">AG7+AH7</f>
        <v>322.24413236499998</v>
      </c>
      <c r="AJ7" s="10">
        <v>288.13618159100008</v>
      </c>
      <c r="AK7" s="10">
        <v>0</v>
      </c>
      <c r="AL7" s="9">
        <f t="shared" ref="AL7:AL43" si="14">AJ7+AK7</f>
        <v>288.13618159100008</v>
      </c>
      <c r="AM7" s="10">
        <v>229.26892556500002</v>
      </c>
      <c r="AN7" s="10">
        <v>0</v>
      </c>
      <c r="AO7" s="9">
        <f t="shared" ref="AO7:AO43" si="15">AM7+AN7</f>
        <v>229.26892556500002</v>
      </c>
    </row>
    <row r="8" spans="1:41" x14ac:dyDescent="0.3">
      <c r="A8" s="3">
        <v>3</v>
      </c>
      <c r="B8" s="2" t="s">
        <v>2</v>
      </c>
      <c r="C8" s="8">
        <f t="shared" si="1"/>
        <v>15555.938041482001</v>
      </c>
      <c r="D8" s="8">
        <f t="shared" si="2"/>
        <v>0</v>
      </c>
      <c r="E8" s="8">
        <f t="shared" si="3"/>
        <v>15555.938041482001</v>
      </c>
      <c r="F8" s="9">
        <v>1217.1242355359998</v>
      </c>
      <c r="G8" s="9">
        <v>0</v>
      </c>
      <c r="H8" s="9">
        <f t="shared" si="4"/>
        <v>1217.1242355359998</v>
      </c>
      <c r="I8" s="9">
        <v>1015.3927892150001</v>
      </c>
      <c r="J8" s="10">
        <v>0</v>
      </c>
      <c r="K8" s="9">
        <f t="shared" si="5"/>
        <v>1015.3927892150001</v>
      </c>
      <c r="L8" s="13">
        <v>996.86</v>
      </c>
      <c r="M8" s="10">
        <v>0</v>
      </c>
      <c r="N8" s="9">
        <f t="shared" si="6"/>
        <v>996.86</v>
      </c>
      <c r="O8" s="10">
        <v>1148.8246827810001</v>
      </c>
      <c r="P8" s="10">
        <v>0</v>
      </c>
      <c r="Q8" s="9">
        <f t="shared" si="7"/>
        <v>1148.8246827810001</v>
      </c>
      <c r="R8" s="10">
        <v>1196.3829633079997</v>
      </c>
      <c r="S8" s="10">
        <v>0</v>
      </c>
      <c r="T8" s="9">
        <f t="shared" si="8"/>
        <v>1196.3829633079997</v>
      </c>
      <c r="U8" s="10">
        <v>1273.933900277</v>
      </c>
      <c r="V8" s="10">
        <v>0</v>
      </c>
      <c r="W8" s="9">
        <f t="shared" si="9"/>
        <v>1273.933900277</v>
      </c>
      <c r="X8" s="10">
        <v>1360.0435881020001</v>
      </c>
      <c r="Y8" s="10">
        <v>0</v>
      </c>
      <c r="Z8" s="9">
        <f t="shared" si="10"/>
        <v>1360.0435881020001</v>
      </c>
      <c r="AA8" s="10">
        <v>1764.2551980240003</v>
      </c>
      <c r="AB8" s="10">
        <v>0</v>
      </c>
      <c r="AC8" s="9">
        <f t="shared" si="11"/>
        <v>1764.2551980240003</v>
      </c>
      <c r="AD8" s="10">
        <v>1322.3759944440001</v>
      </c>
      <c r="AE8" s="10">
        <v>0</v>
      </c>
      <c r="AF8" s="9">
        <f t="shared" si="12"/>
        <v>1322.3759944440001</v>
      </c>
      <c r="AG8" s="10">
        <v>1361.793644074</v>
      </c>
      <c r="AH8" s="10">
        <v>0</v>
      </c>
      <c r="AI8" s="9">
        <f t="shared" si="13"/>
        <v>1361.793644074</v>
      </c>
      <c r="AJ8" s="10">
        <v>1623.2099777809997</v>
      </c>
      <c r="AK8" s="10">
        <v>0</v>
      </c>
      <c r="AL8" s="9">
        <f t="shared" si="14"/>
        <v>1623.2099777809997</v>
      </c>
      <c r="AM8" s="10">
        <v>1275.7410679399998</v>
      </c>
      <c r="AN8" s="10">
        <v>0</v>
      </c>
      <c r="AO8" s="9">
        <f t="shared" si="15"/>
        <v>1275.7410679399998</v>
      </c>
    </row>
    <row r="9" spans="1:41" x14ac:dyDescent="0.3">
      <c r="A9" s="3">
        <v>4</v>
      </c>
      <c r="B9" s="2" t="s">
        <v>3</v>
      </c>
      <c r="C9" s="8">
        <f t="shared" si="1"/>
        <v>1621.9220439570004</v>
      </c>
      <c r="D9" s="8">
        <f t="shared" si="2"/>
        <v>0</v>
      </c>
      <c r="E9" s="8">
        <f t="shared" si="3"/>
        <v>1621.9220439570004</v>
      </c>
      <c r="F9" s="9">
        <v>151.02989312800003</v>
      </c>
      <c r="G9" s="9">
        <v>0</v>
      </c>
      <c r="H9" s="9">
        <f t="shared" si="4"/>
        <v>151.02989312800003</v>
      </c>
      <c r="I9" s="9">
        <v>123.50394028699999</v>
      </c>
      <c r="J9" s="10">
        <v>0</v>
      </c>
      <c r="K9" s="9">
        <f t="shared" si="5"/>
        <v>123.50394028699999</v>
      </c>
      <c r="L9" s="13">
        <v>120.7</v>
      </c>
      <c r="M9" s="10">
        <v>0</v>
      </c>
      <c r="N9" s="9">
        <f t="shared" si="6"/>
        <v>120.7</v>
      </c>
      <c r="O9" s="10">
        <v>122.893890427</v>
      </c>
      <c r="P9" s="10">
        <v>0</v>
      </c>
      <c r="Q9" s="9">
        <f t="shared" si="7"/>
        <v>122.893890427</v>
      </c>
      <c r="R9" s="10">
        <v>115.93753463600001</v>
      </c>
      <c r="S9" s="10">
        <v>0</v>
      </c>
      <c r="T9" s="9">
        <f t="shared" si="8"/>
        <v>115.93753463600001</v>
      </c>
      <c r="U9" s="10">
        <v>135.95188363099999</v>
      </c>
      <c r="V9" s="10">
        <v>0</v>
      </c>
      <c r="W9" s="9">
        <f t="shared" si="9"/>
        <v>135.95188363099999</v>
      </c>
      <c r="X9" s="10">
        <v>147.08808099499998</v>
      </c>
      <c r="Y9" s="10">
        <v>0</v>
      </c>
      <c r="Z9" s="9">
        <f t="shared" si="10"/>
        <v>147.08808099499998</v>
      </c>
      <c r="AA9" s="10">
        <v>156.83266590500003</v>
      </c>
      <c r="AB9" s="10">
        <v>0</v>
      </c>
      <c r="AC9" s="9">
        <f t="shared" si="11"/>
        <v>156.83266590500003</v>
      </c>
      <c r="AD9" s="10">
        <v>117.36867420900002</v>
      </c>
      <c r="AE9" s="10">
        <v>0</v>
      </c>
      <c r="AF9" s="9">
        <f t="shared" si="12"/>
        <v>117.36867420900002</v>
      </c>
      <c r="AG9" s="10">
        <v>140.45797534100001</v>
      </c>
      <c r="AH9" s="10">
        <v>0</v>
      </c>
      <c r="AI9" s="9">
        <f t="shared" si="13"/>
        <v>140.45797534100001</v>
      </c>
      <c r="AJ9" s="10">
        <v>134.64380408599999</v>
      </c>
      <c r="AK9" s="10">
        <v>0</v>
      </c>
      <c r="AL9" s="9">
        <f t="shared" si="14"/>
        <v>134.64380408599999</v>
      </c>
      <c r="AM9" s="10">
        <v>155.51370131200002</v>
      </c>
      <c r="AN9" s="10">
        <v>0</v>
      </c>
      <c r="AO9" s="9">
        <f t="shared" si="15"/>
        <v>155.51370131200002</v>
      </c>
    </row>
    <row r="10" spans="1:41" x14ac:dyDescent="0.3">
      <c r="A10" s="3">
        <v>5</v>
      </c>
      <c r="B10" s="2" t="s">
        <v>4</v>
      </c>
      <c r="C10" s="8">
        <f t="shared" si="1"/>
        <v>3512.2713305469997</v>
      </c>
      <c r="D10" s="8">
        <f t="shared" si="2"/>
        <v>0</v>
      </c>
      <c r="E10" s="8">
        <f t="shared" si="3"/>
        <v>3512.2713305469997</v>
      </c>
      <c r="F10" s="9">
        <v>280.783182565</v>
      </c>
      <c r="G10" s="9">
        <v>0</v>
      </c>
      <c r="H10" s="9">
        <f t="shared" si="4"/>
        <v>280.783182565</v>
      </c>
      <c r="I10" s="9">
        <v>237.763118435</v>
      </c>
      <c r="J10" s="10">
        <v>0</v>
      </c>
      <c r="K10" s="9">
        <f t="shared" si="5"/>
        <v>237.763118435</v>
      </c>
      <c r="L10" s="13">
        <v>237.52</v>
      </c>
      <c r="M10" s="10">
        <v>0</v>
      </c>
      <c r="N10" s="9">
        <f t="shared" si="6"/>
        <v>237.52</v>
      </c>
      <c r="O10" s="10">
        <v>324.65735064799998</v>
      </c>
      <c r="P10" s="10">
        <v>0</v>
      </c>
      <c r="Q10" s="9">
        <f t="shared" si="7"/>
        <v>324.65735064799998</v>
      </c>
      <c r="R10" s="10">
        <v>291.62628854100001</v>
      </c>
      <c r="S10" s="10">
        <v>0</v>
      </c>
      <c r="T10" s="9">
        <f t="shared" si="8"/>
        <v>291.62628854100001</v>
      </c>
      <c r="U10" s="10">
        <v>275.37410275799999</v>
      </c>
      <c r="V10" s="10">
        <v>0</v>
      </c>
      <c r="W10" s="9">
        <f t="shared" si="9"/>
        <v>275.37410275799999</v>
      </c>
      <c r="X10" s="10">
        <v>308.75638308599991</v>
      </c>
      <c r="Y10" s="10">
        <v>0</v>
      </c>
      <c r="Z10" s="9">
        <f t="shared" si="10"/>
        <v>308.75638308599991</v>
      </c>
      <c r="AA10" s="10">
        <v>404.18905951400001</v>
      </c>
      <c r="AB10" s="10">
        <v>0</v>
      </c>
      <c r="AC10" s="9">
        <f t="shared" si="11"/>
        <v>404.18905951400001</v>
      </c>
      <c r="AD10" s="10">
        <v>220.74963050500003</v>
      </c>
      <c r="AE10" s="10">
        <v>0</v>
      </c>
      <c r="AF10" s="9">
        <f t="shared" si="12"/>
        <v>220.74963050500003</v>
      </c>
      <c r="AG10" s="10">
        <v>369.87538406799996</v>
      </c>
      <c r="AH10" s="10">
        <v>0</v>
      </c>
      <c r="AI10" s="9">
        <f t="shared" si="13"/>
        <v>369.87538406799996</v>
      </c>
      <c r="AJ10" s="10">
        <v>316.05690946800001</v>
      </c>
      <c r="AK10" s="10">
        <v>0</v>
      </c>
      <c r="AL10" s="9">
        <f t="shared" si="14"/>
        <v>316.05690946800001</v>
      </c>
      <c r="AM10" s="10">
        <v>244.91992095899997</v>
      </c>
      <c r="AN10" s="10">
        <v>0</v>
      </c>
      <c r="AO10" s="9">
        <f t="shared" si="15"/>
        <v>244.91992095899997</v>
      </c>
    </row>
    <row r="11" spans="1:41" x14ac:dyDescent="0.3">
      <c r="A11" s="3">
        <v>6</v>
      </c>
      <c r="B11" s="2" t="s">
        <v>5</v>
      </c>
      <c r="C11" s="8">
        <f t="shared" si="1"/>
        <v>16457.459908997</v>
      </c>
      <c r="D11" s="8">
        <f t="shared" si="2"/>
        <v>0</v>
      </c>
      <c r="E11" s="8">
        <f t="shared" si="3"/>
        <v>16457.459908997</v>
      </c>
      <c r="F11" s="9">
        <v>1692.6278222159999</v>
      </c>
      <c r="G11" s="9">
        <v>0</v>
      </c>
      <c r="H11" s="9">
        <f t="shared" si="4"/>
        <v>1692.6278222159999</v>
      </c>
      <c r="I11" s="9">
        <v>1075.3268249009998</v>
      </c>
      <c r="J11" s="10">
        <v>0</v>
      </c>
      <c r="K11" s="9">
        <f t="shared" si="5"/>
        <v>1075.3268249009998</v>
      </c>
      <c r="L11" s="13">
        <v>960.27</v>
      </c>
      <c r="M11" s="10">
        <v>0</v>
      </c>
      <c r="N11" s="9">
        <f t="shared" si="6"/>
        <v>960.27</v>
      </c>
      <c r="O11" s="10">
        <v>1489.6116102760004</v>
      </c>
      <c r="P11" s="10">
        <v>0</v>
      </c>
      <c r="Q11" s="9">
        <f t="shared" si="7"/>
        <v>1489.6116102760004</v>
      </c>
      <c r="R11" s="10">
        <v>1369.3566813300001</v>
      </c>
      <c r="S11" s="10">
        <v>0</v>
      </c>
      <c r="T11" s="9">
        <f t="shared" si="8"/>
        <v>1369.3566813300001</v>
      </c>
      <c r="U11" s="10">
        <v>1194.3981118439999</v>
      </c>
      <c r="V11" s="10">
        <v>0</v>
      </c>
      <c r="W11" s="9">
        <f t="shared" si="9"/>
        <v>1194.3981118439999</v>
      </c>
      <c r="X11" s="10">
        <v>1719.3873074610001</v>
      </c>
      <c r="Y11" s="10">
        <v>0</v>
      </c>
      <c r="Z11" s="9">
        <f t="shared" si="10"/>
        <v>1719.3873074610001</v>
      </c>
      <c r="AA11" s="10">
        <v>1277.4958636379999</v>
      </c>
      <c r="AB11" s="10">
        <v>0</v>
      </c>
      <c r="AC11" s="9">
        <f t="shared" si="11"/>
        <v>1277.4958636379999</v>
      </c>
      <c r="AD11" s="10">
        <v>1306.4623896010003</v>
      </c>
      <c r="AE11" s="10">
        <v>0</v>
      </c>
      <c r="AF11" s="9">
        <f t="shared" si="12"/>
        <v>1306.4623896010003</v>
      </c>
      <c r="AG11" s="10">
        <v>1592.6199972939999</v>
      </c>
      <c r="AH11" s="10">
        <v>0</v>
      </c>
      <c r="AI11" s="9">
        <f t="shared" si="13"/>
        <v>1592.6199972939999</v>
      </c>
      <c r="AJ11" s="10">
        <v>1590.3563946459999</v>
      </c>
      <c r="AK11" s="10">
        <v>0</v>
      </c>
      <c r="AL11" s="9">
        <f t="shared" si="14"/>
        <v>1590.3563946459999</v>
      </c>
      <c r="AM11" s="10">
        <v>1189.5469057900002</v>
      </c>
      <c r="AN11" s="10">
        <v>0</v>
      </c>
      <c r="AO11" s="9">
        <f t="shared" si="15"/>
        <v>1189.5469057900002</v>
      </c>
    </row>
    <row r="12" spans="1:41" x14ac:dyDescent="0.3">
      <c r="A12" s="3">
        <v>7</v>
      </c>
      <c r="B12" s="2" t="s">
        <v>6</v>
      </c>
      <c r="C12" s="8">
        <f t="shared" si="1"/>
        <v>18422.921335982988</v>
      </c>
      <c r="D12" s="8">
        <f t="shared" si="2"/>
        <v>0</v>
      </c>
      <c r="E12" s="8">
        <f t="shared" si="3"/>
        <v>18422.921335982988</v>
      </c>
      <c r="F12" s="9">
        <v>2066.0886888170003</v>
      </c>
      <c r="G12" s="9">
        <v>0</v>
      </c>
      <c r="H12" s="9">
        <f t="shared" si="4"/>
        <v>2066.0886888170003</v>
      </c>
      <c r="I12" s="9">
        <v>1152.8611867949996</v>
      </c>
      <c r="J12" s="10">
        <v>0</v>
      </c>
      <c r="K12" s="9">
        <f t="shared" si="5"/>
        <v>1152.8611867949996</v>
      </c>
      <c r="L12" s="13">
        <v>1227.18</v>
      </c>
      <c r="M12" s="10">
        <v>0</v>
      </c>
      <c r="N12" s="9">
        <f t="shared" si="6"/>
        <v>1227.18</v>
      </c>
      <c r="O12" s="10">
        <v>1535.0595195210001</v>
      </c>
      <c r="P12" s="10">
        <v>0</v>
      </c>
      <c r="Q12" s="9">
        <f t="shared" si="7"/>
        <v>1535.0595195210001</v>
      </c>
      <c r="R12" s="10">
        <v>1480.8938483069999</v>
      </c>
      <c r="S12" s="10">
        <v>0</v>
      </c>
      <c r="T12" s="9">
        <f t="shared" si="8"/>
        <v>1480.8938483069999</v>
      </c>
      <c r="U12" s="10">
        <v>1355.609625375</v>
      </c>
      <c r="V12" s="10">
        <v>0</v>
      </c>
      <c r="W12" s="9">
        <f t="shared" si="9"/>
        <v>1355.609625375</v>
      </c>
      <c r="X12" s="10">
        <v>1669.1505496100001</v>
      </c>
      <c r="Y12" s="10">
        <v>0</v>
      </c>
      <c r="Z12" s="9">
        <f t="shared" si="10"/>
        <v>1669.1505496100001</v>
      </c>
      <c r="AA12" s="10">
        <v>1694.0623052890001</v>
      </c>
      <c r="AB12" s="10">
        <v>0</v>
      </c>
      <c r="AC12" s="9">
        <f t="shared" si="11"/>
        <v>1694.0623052890001</v>
      </c>
      <c r="AD12" s="10">
        <v>1389.6268670789998</v>
      </c>
      <c r="AE12" s="10">
        <v>0</v>
      </c>
      <c r="AF12" s="9">
        <f t="shared" si="12"/>
        <v>1389.6268670789998</v>
      </c>
      <c r="AG12" s="10">
        <v>1717.4992306109882</v>
      </c>
      <c r="AH12" s="10">
        <v>0</v>
      </c>
      <c r="AI12" s="9">
        <f t="shared" si="13"/>
        <v>1717.4992306109882</v>
      </c>
      <c r="AJ12" s="10">
        <v>1528.1767716239999</v>
      </c>
      <c r="AK12" s="10">
        <v>0</v>
      </c>
      <c r="AL12" s="9">
        <f t="shared" si="14"/>
        <v>1528.1767716239999</v>
      </c>
      <c r="AM12" s="10">
        <v>1606.7127429550001</v>
      </c>
      <c r="AN12" s="10">
        <v>0</v>
      </c>
      <c r="AO12" s="9">
        <f t="shared" si="15"/>
        <v>1606.7127429550001</v>
      </c>
    </row>
    <row r="13" spans="1:41" x14ac:dyDescent="0.3">
      <c r="A13" s="3">
        <v>8</v>
      </c>
      <c r="B13" s="2" t="s">
        <v>7</v>
      </c>
      <c r="C13" s="8">
        <f t="shared" si="1"/>
        <v>25270.511613797</v>
      </c>
      <c r="D13" s="8">
        <f t="shared" si="2"/>
        <v>0</v>
      </c>
      <c r="E13" s="8">
        <f t="shared" si="3"/>
        <v>25270.511613797</v>
      </c>
      <c r="F13" s="9">
        <v>2077.4368569590001</v>
      </c>
      <c r="G13" s="9">
        <v>0</v>
      </c>
      <c r="H13" s="9">
        <f t="shared" si="4"/>
        <v>2077.4368569590001</v>
      </c>
      <c r="I13" s="9">
        <v>1809.6216013580001</v>
      </c>
      <c r="J13" s="10">
        <v>0</v>
      </c>
      <c r="K13" s="9">
        <f t="shared" si="5"/>
        <v>1809.6216013580001</v>
      </c>
      <c r="L13" s="13">
        <v>1836.5</v>
      </c>
      <c r="M13" s="10">
        <v>0</v>
      </c>
      <c r="N13" s="9">
        <f t="shared" si="6"/>
        <v>1836.5</v>
      </c>
      <c r="O13" s="10">
        <v>2173.9084923320002</v>
      </c>
      <c r="P13" s="10">
        <v>0</v>
      </c>
      <c r="Q13" s="9">
        <f t="shared" si="7"/>
        <v>2173.9084923320002</v>
      </c>
      <c r="R13" s="10">
        <v>2012.3973176889999</v>
      </c>
      <c r="S13" s="10">
        <v>0</v>
      </c>
      <c r="T13" s="9">
        <f t="shared" si="8"/>
        <v>2012.3973176889999</v>
      </c>
      <c r="U13" s="10">
        <v>1815.7779913880001</v>
      </c>
      <c r="V13" s="10">
        <v>0</v>
      </c>
      <c r="W13" s="9">
        <f t="shared" si="9"/>
        <v>1815.7779913880001</v>
      </c>
      <c r="X13" s="10">
        <v>2398.008738691</v>
      </c>
      <c r="Y13" s="10">
        <v>0</v>
      </c>
      <c r="Z13" s="9">
        <f t="shared" si="10"/>
        <v>2398.008738691</v>
      </c>
      <c r="AA13" s="10">
        <v>2516.9640058839996</v>
      </c>
      <c r="AB13" s="10">
        <v>0</v>
      </c>
      <c r="AC13" s="9">
        <f t="shared" si="11"/>
        <v>2516.9640058839996</v>
      </c>
      <c r="AD13" s="10">
        <v>2007.4543699450001</v>
      </c>
      <c r="AE13" s="10">
        <v>0</v>
      </c>
      <c r="AF13" s="9">
        <f t="shared" si="12"/>
        <v>2007.4543699450001</v>
      </c>
      <c r="AG13" s="10">
        <v>2454.5839622180001</v>
      </c>
      <c r="AH13" s="10">
        <v>0</v>
      </c>
      <c r="AI13" s="9">
        <f t="shared" si="13"/>
        <v>2454.5839622180001</v>
      </c>
      <c r="AJ13" s="10">
        <v>2180.4485346920001</v>
      </c>
      <c r="AK13" s="10">
        <v>0</v>
      </c>
      <c r="AL13" s="9">
        <f t="shared" si="14"/>
        <v>2180.4485346920001</v>
      </c>
      <c r="AM13" s="10">
        <v>1987.4097426410003</v>
      </c>
      <c r="AN13" s="10">
        <v>0</v>
      </c>
      <c r="AO13" s="9">
        <f t="shared" si="15"/>
        <v>1987.4097426410003</v>
      </c>
    </row>
    <row r="14" spans="1:41" x14ac:dyDescent="0.3">
      <c r="A14" s="3">
        <v>9</v>
      </c>
      <c r="B14" s="2" t="s">
        <v>8</v>
      </c>
      <c r="C14" s="8">
        <f t="shared" si="1"/>
        <v>49418.525440295998</v>
      </c>
      <c r="D14" s="8">
        <f t="shared" si="2"/>
        <v>0</v>
      </c>
      <c r="E14" s="8">
        <f t="shared" si="3"/>
        <v>49418.525440295998</v>
      </c>
      <c r="F14" s="9">
        <v>4372.9270135099996</v>
      </c>
      <c r="G14" s="9">
        <v>0</v>
      </c>
      <c r="H14" s="9">
        <f t="shared" si="4"/>
        <v>4372.9270135099996</v>
      </c>
      <c r="I14" s="9">
        <v>4111.9208732859997</v>
      </c>
      <c r="J14" s="10">
        <v>0</v>
      </c>
      <c r="K14" s="9">
        <f t="shared" si="5"/>
        <v>4111.9208732859997</v>
      </c>
      <c r="L14" s="13">
        <v>3909.9</v>
      </c>
      <c r="M14" s="10">
        <v>0</v>
      </c>
      <c r="N14" s="9">
        <f t="shared" si="6"/>
        <v>3909.9</v>
      </c>
      <c r="O14" s="10">
        <v>4142.1178717019993</v>
      </c>
      <c r="P14" s="10">
        <v>0</v>
      </c>
      <c r="Q14" s="9">
        <f t="shared" si="7"/>
        <v>4142.1178717019993</v>
      </c>
      <c r="R14" s="10">
        <v>3828.8708615290006</v>
      </c>
      <c r="S14" s="10">
        <v>0</v>
      </c>
      <c r="T14" s="9">
        <f t="shared" si="8"/>
        <v>3828.8708615290006</v>
      </c>
      <c r="U14" s="10">
        <v>3724.0593548879997</v>
      </c>
      <c r="V14" s="10">
        <v>0</v>
      </c>
      <c r="W14" s="9">
        <f t="shared" si="9"/>
        <v>3724.0593548879997</v>
      </c>
      <c r="X14" s="10">
        <v>4134.9576698020001</v>
      </c>
      <c r="Y14" s="10">
        <v>0</v>
      </c>
      <c r="Z14" s="9">
        <f t="shared" si="10"/>
        <v>4134.9576698020001</v>
      </c>
      <c r="AA14" s="10">
        <v>5085.8798772319997</v>
      </c>
      <c r="AB14" s="10">
        <v>0</v>
      </c>
      <c r="AC14" s="9">
        <f t="shared" si="11"/>
        <v>5085.8798772319997</v>
      </c>
      <c r="AD14" s="10">
        <v>3846.2040679319998</v>
      </c>
      <c r="AE14" s="10">
        <v>0</v>
      </c>
      <c r="AF14" s="9">
        <f t="shared" si="12"/>
        <v>3846.2040679319998</v>
      </c>
      <c r="AG14" s="10">
        <v>4339.7832719400003</v>
      </c>
      <c r="AH14" s="10">
        <v>0</v>
      </c>
      <c r="AI14" s="9">
        <f t="shared" si="13"/>
        <v>4339.7832719400003</v>
      </c>
      <c r="AJ14" s="10">
        <v>4160.0526677299995</v>
      </c>
      <c r="AK14" s="10">
        <v>0</v>
      </c>
      <c r="AL14" s="9">
        <f t="shared" si="14"/>
        <v>4160.0526677299995</v>
      </c>
      <c r="AM14" s="10">
        <v>3761.8519107449997</v>
      </c>
      <c r="AN14" s="10">
        <v>0</v>
      </c>
      <c r="AO14" s="9">
        <f t="shared" si="15"/>
        <v>3761.8519107449997</v>
      </c>
    </row>
    <row r="15" spans="1:41" x14ac:dyDescent="0.3">
      <c r="A15" s="4">
        <v>10</v>
      </c>
      <c r="B15" s="2" t="s">
        <v>9</v>
      </c>
      <c r="C15" s="15">
        <f t="shared" si="1"/>
        <v>19370.036081942999</v>
      </c>
      <c r="D15" s="15">
        <f t="shared" si="2"/>
        <v>0</v>
      </c>
      <c r="E15" s="15">
        <f t="shared" si="3"/>
        <v>19370.036081942999</v>
      </c>
      <c r="F15" s="16">
        <v>1737.3265509620003</v>
      </c>
      <c r="G15" s="16">
        <v>0</v>
      </c>
      <c r="H15" s="16">
        <f t="shared" si="4"/>
        <v>1737.3265509620003</v>
      </c>
      <c r="I15" s="16">
        <v>1603.0503913730004</v>
      </c>
      <c r="J15" s="17">
        <v>0</v>
      </c>
      <c r="K15" s="16">
        <f t="shared" si="5"/>
        <v>1603.0503913730004</v>
      </c>
      <c r="L15" s="13">
        <v>1551</v>
      </c>
      <c r="M15" s="17">
        <v>0</v>
      </c>
      <c r="N15" s="16">
        <f t="shared" si="6"/>
        <v>1551</v>
      </c>
      <c r="O15" s="17">
        <v>1611.5832175099999</v>
      </c>
      <c r="P15" s="17">
        <v>0</v>
      </c>
      <c r="Q15" s="16">
        <f t="shared" si="7"/>
        <v>1611.5832175099999</v>
      </c>
      <c r="R15" s="17">
        <v>1497.3819517789998</v>
      </c>
      <c r="S15" s="17">
        <v>0</v>
      </c>
      <c r="T15" s="16">
        <f t="shared" si="8"/>
        <v>1497.3819517789998</v>
      </c>
      <c r="U15" s="17">
        <v>1371.6145597949999</v>
      </c>
      <c r="V15" s="17">
        <v>0</v>
      </c>
      <c r="W15" s="16">
        <f t="shared" si="9"/>
        <v>1371.6145597949999</v>
      </c>
      <c r="X15" s="17">
        <v>1765.4004363419999</v>
      </c>
      <c r="Y15" s="17">
        <v>0</v>
      </c>
      <c r="Z15" s="16">
        <f t="shared" si="10"/>
        <v>1765.4004363419999</v>
      </c>
      <c r="AA15" s="17">
        <v>1684.5895336809999</v>
      </c>
      <c r="AB15" s="17">
        <v>0</v>
      </c>
      <c r="AC15" s="16">
        <f t="shared" si="11"/>
        <v>1684.5895336809999</v>
      </c>
      <c r="AD15" s="17">
        <v>1428.304472388</v>
      </c>
      <c r="AE15" s="17">
        <v>0</v>
      </c>
      <c r="AF15" s="16">
        <f t="shared" si="12"/>
        <v>1428.304472388</v>
      </c>
      <c r="AG15" s="17">
        <v>1695.722452172</v>
      </c>
      <c r="AH15" s="17">
        <v>0</v>
      </c>
      <c r="AI15" s="16">
        <f t="shared" si="13"/>
        <v>1695.722452172</v>
      </c>
      <c r="AJ15" s="17">
        <v>1746.912515941</v>
      </c>
      <c r="AK15" s="17">
        <v>0</v>
      </c>
      <c r="AL15" s="16">
        <f t="shared" si="14"/>
        <v>1746.912515941</v>
      </c>
      <c r="AM15" s="17">
        <v>1677.15</v>
      </c>
      <c r="AN15" s="17">
        <v>0</v>
      </c>
      <c r="AO15" s="16">
        <f t="shared" si="15"/>
        <v>1677.15</v>
      </c>
    </row>
    <row r="16" spans="1:41" x14ac:dyDescent="0.3">
      <c r="A16" s="4">
        <v>11</v>
      </c>
      <c r="B16" s="2" t="s">
        <v>10</v>
      </c>
      <c r="C16" s="8">
        <f t="shared" si="1"/>
        <v>583.31179016800002</v>
      </c>
      <c r="D16" s="8">
        <f t="shared" si="2"/>
        <v>0</v>
      </c>
      <c r="E16" s="8">
        <f t="shared" si="3"/>
        <v>583.31179016800002</v>
      </c>
      <c r="F16" s="9">
        <v>79.482862019999999</v>
      </c>
      <c r="G16" s="9">
        <v>0</v>
      </c>
      <c r="H16" s="9">
        <f t="shared" si="4"/>
        <v>79.482862019999999</v>
      </c>
      <c r="I16" s="9">
        <v>40.458132104000001</v>
      </c>
      <c r="J16" s="10">
        <v>0</v>
      </c>
      <c r="K16" s="9">
        <f t="shared" si="5"/>
        <v>40.458132104000001</v>
      </c>
      <c r="L16" s="13">
        <v>39.950000000000003</v>
      </c>
      <c r="M16" s="10">
        <v>0</v>
      </c>
      <c r="N16" s="9">
        <f t="shared" si="6"/>
        <v>39.950000000000003</v>
      </c>
      <c r="O16" s="10">
        <v>47.167204148999993</v>
      </c>
      <c r="P16" s="10">
        <v>0</v>
      </c>
      <c r="Q16" s="9">
        <f t="shared" si="7"/>
        <v>47.167204148999993</v>
      </c>
      <c r="R16" s="10">
        <v>37.969444789000001</v>
      </c>
      <c r="S16" s="10">
        <v>0</v>
      </c>
      <c r="T16" s="9">
        <f t="shared" si="8"/>
        <v>37.969444789000001</v>
      </c>
      <c r="U16" s="10">
        <v>32.767166795000001</v>
      </c>
      <c r="V16" s="10">
        <v>0</v>
      </c>
      <c r="W16" s="9">
        <f t="shared" si="9"/>
        <v>32.767166795000001</v>
      </c>
      <c r="X16" s="10">
        <v>54.025240902</v>
      </c>
      <c r="Y16" s="10">
        <v>0</v>
      </c>
      <c r="Z16" s="9">
        <f t="shared" si="10"/>
        <v>54.025240902</v>
      </c>
      <c r="AA16" s="10">
        <v>49.755071733000001</v>
      </c>
      <c r="AB16" s="10">
        <v>0</v>
      </c>
      <c r="AC16" s="9">
        <f t="shared" si="11"/>
        <v>49.755071733000001</v>
      </c>
      <c r="AD16" s="10">
        <v>41.467440892000006</v>
      </c>
      <c r="AE16" s="10">
        <v>0</v>
      </c>
      <c r="AF16" s="9">
        <f t="shared" si="12"/>
        <v>41.467440892000006</v>
      </c>
      <c r="AG16" s="10">
        <v>50.562564286000004</v>
      </c>
      <c r="AH16" s="10">
        <v>0</v>
      </c>
      <c r="AI16" s="9">
        <f t="shared" si="13"/>
        <v>50.562564286000004</v>
      </c>
      <c r="AJ16" s="10">
        <v>47.503172568000004</v>
      </c>
      <c r="AK16" s="10">
        <v>0</v>
      </c>
      <c r="AL16" s="9">
        <f t="shared" si="14"/>
        <v>47.503172568000004</v>
      </c>
      <c r="AM16" s="10">
        <v>62.203489929999996</v>
      </c>
      <c r="AN16" s="10">
        <v>0</v>
      </c>
      <c r="AO16" s="9">
        <f t="shared" si="15"/>
        <v>62.203489929999996</v>
      </c>
    </row>
    <row r="17" spans="1:41" x14ac:dyDescent="0.3">
      <c r="A17" s="4">
        <v>12</v>
      </c>
      <c r="B17" s="2" t="s">
        <v>11</v>
      </c>
      <c r="C17" s="8">
        <f t="shared" si="1"/>
        <v>1264.3341690909999</v>
      </c>
      <c r="D17" s="8">
        <f t="shared" si="2"/>
        <v>0</v>
      </c>
      <c r="E17" s="8">
        <f t="shared" si="3"/>
        <v>1264.3341690909999</v>
      </c>
      <c r="F17" s="9">
        <v>132.606845687</v>
      </c>
      <c r="G17" s="9">
        <v>0</v>
      </c>
      <c r="H17" s="9">
        <f t="shared" si="4"/>
        <v>132.606845687</v>
      </c>
      <c r="I17" s="9">
        <v>107.90989155999999</v>
      </c>
      <c r="J17" s="10">
        <v>0</v>
      </c>
      <c r="K17" s="9">
        <f t="shared" si="5"/>
        <v>107.90989155999999</v>
      </c>
      <c r="L17" s="13">
        <v>113.22</v>
      </c>
      <c r="M17" s="10">
        <v>0</v>
      </c>
      <c r="N17" s="9">
        <f t="shared" si="6"/>
        <v>113.22</v>
      </c>
      <c r="O17" s="10">
        <v>103.99640524100001</v>
      </c>
      <c r="P17" s="10">
        <v>0</v>
      </c>
      <c r="Q17" s="9">
        <f t="shared" si="7"/>
        <v>103.99640524100001</v>
      </c>
      <c r="R17" s="10">
        <v>90.912337669999999</v>
      </c>
      <c r="S17" s="10">
        <v>0</v>
      </c>
      <c r="T17" s="9">
        <f t="shared" si="8"/>
        <v>90.912337669999999</v>
      </c>
      <c r="U17" s="10">
        <v>88.300691675999985</v>
      </c>
      <c r="V17" s="10">
        <v>0</v>
      </c>
      <c r="W17" s="9">
        <f t="shared" si="9"/>
        <v>88.300691675999985</v>
      </c>
      <c r="X17" s="10">
        <v>100.807706528</v>
      </c>
      <c r="Y17" s="10">
        <v>0</v>
      </c>
      <c r="Z17" s="9">
        <f t="shared" si="10"/>
        <v>100.807706528</v>
      </c>
      <c r="AA17" s="10">
        <v>88.494268884999997</v>
      </c>
      <c r="AB17" s="10">
        <v>0</v>
      </c>
      <c r="AC17" s="9">
        <f t="shared" si="11"/>
        <v>88.494268884999997</v>
      </c>
      <c r="AD17" s="10">
        <v>104.320292998</v>
      </c>
      <c r="AE17" s="10">
        <v>0</v>
      </c>
      <c r="AF17" s="9">
        <f t="shared" si="12"/>
        <v>104.320292998</v>
      </c>
      <c r="AG17" s="10">
        <v>118.93269111999999</v>
      </c>
      <c r="AH17" s="10">
        <v>0</v>
      </c>
      <c r="AI17" s="9">
        <f t="shared" si="13"/>
        <v>118.93269111999999</v>
      </c>
      <c r="AJ17" s="10">
        <v>101.092286464</v>
      </c>
      <c r="AK17" s="10">
        <v>0</v>
      </c>
      <c r="AL17" s="9">
        <f t="shared" si="14"/>
        <v>101.092286464</v>
      </c>
      <c r="AM17" s="10">
        <v>113.74075126200002</v>
      </c>
      <c r="AN17" s="10">
        <v>0</v>
      </c>
      <c r="AO17" s="9">
        <f t="shared" si="15"/>
        <v>113.74075126200002</v>
      </c>
    </row>
    <row r="18" spans="1:41" x14ac:dyDescent="0.3">
      <c r="A18" s="4">
        <v>13</v>
      </c>
      <c r="B18" s="2" t="s">
        <v>12</v>
      </c>
      <c r="C18" s="8">
        <f t="shared" si="1"/>
        <v>782.14905510700009</v>
      </c>
      <c r="D18" s="8">
        <f t="shared" si="2"/>
        <v>0</v>
      </c>
      <c r="E18" s="8">
        <f t="shared" si="3"/>
        <v>782.14905510700009</v>
      </c>
      <c r="F18" s="9">
        <v>70.280093504999996</v>
      </c>
      <c r="G18" s="9">
        <v>0</v>
      </c>
      <c r="H18" s="9">
        <f t="shared" si="4"/>
        <v>70.280093504999996</v>
      </c>
      <c r="I18" s="9">
        <v>59.821335212000001</v>
      </c>
      <c r="J18" s="10">
        <v>0</v>
      </c>
      <c r="K18" s="9">
        <f t="shared" si="5"/>
        <v>59.821335212000001</v>
      </c>
      <c r="L18" s="13">
        <v>67.489999999999995</v>
      </c>
      <c r="M18" s="10">
        <v>0</v>
      </c>
      <c r="N18" s="9">
        <f t="shared" si="6"/>
        <v>67.489999999999995</v>
      </c>
      <c r="O18" s="10">
        <v>63.188936213000012</v>
      </c>
      <c r="P18" s="10">
        <v>0</v>
      </c>
      <c r="Q18" s="9">
        <f t="shared" si="7"/>
        <v>63.188936213000012</v>
      </c>
      <c r="R18" s="10">
        <v>64.936307678000006</v>
      </c>
      <c r="S18" s="10">
        <v>0</v>
      </c>
      <c r="T18" s="9">
        <f t="shared" si="8"/>
        <v>64.936307678000006</v>
      </c>
      <c r="U18" s="10">
        <v>59.010900299000014</v>
      </c>
      <c r="V18" s="10">
        <v>0</v>
      </c>
      <c r="W18" s="9">
        <f t="shared" si="9"/>
        <v>59.010900299000014</v>
      </c>
      <c r="X18" s="10">
        <v>61.422818019999994</v>
      </c>
      <c r="Y18" s="10">
        <v>0</v>
      </c>
      <c r="Z18" s="9">
        <f t="shared" si="10"/>
        <v>61.422818019999994</v>
      </c>
      <c r="AA18" s="10">
        <v>67.119219432999998</v>
      </c>
      <c r="AB18" s="10">
        <v>0</v>
      </c>
      <c r="AC18" s="9">
        <f t="shared" si="11"/>
        <v>67.119219432999998</v>
      </c>
      <c r="AD18" s="10">
        <v>67.713146713000015</v>
      </c>
      <c r="AE18" s="10">
        <v>0</v>
      </c>
      <c r="AF18" s="9">
        <f t="shared" si="12"/>
        <v>67.713146713000015</v>
      </c>
      <c r="AG18" s="10">
        <v>67.60461029999999</v>
      </c>
      <c r="AH18" s="10">
        <v>0</v>
      </c>
      <c r="AI18" s="9">
        <f t="shared" si="13"/>
        <v>67.60461029999999</v>
      </c>
      <c r="AJ18" s="10">
        <v>67.736708395000008</v>
      </c>
      <c r="AK18" s="10">
        <v>0</v>
      </c>
      <c r="AL18" s="9">
        <f t="shared" si="14"/>
        <v>67.736708395000008</v>
      </c>
      <c r="AM18" s="10">
        <v>65.824979338999981</v>
      </c>
      <c r="AN18" s="10">
        <v>0</v>
      </c>
      <c r="AO18" s="9">
        <f t="shared" si="15"/>
        <v>65.824979338999981</v>
      </c>
    </row>
    <row r="19" spans="1:41" x14ac:dyDescent="0.3">
      <c r="A19" s="4">
        <v>14</v>
      </c>
      <c r="B19" s="2" t="s">
        <v>13</v>
      </c>
      <c r="C19" s="8">
        <f t="shared" si="1"/>
        <v>767.78300450299992</v>
      </c>
      <c r="D19" s="8">
        <f t="shared" si="2"/>
        <v>0</v>
      </c>
      <c r="E19" s="8">
        <f t="shared" si="3"/>
        <v>767.78300450299992</v>
      </c>
      <c r="F19" s="9">
        <v>80.695292446999986</v>
      </c>
      <c r="G19" s="9">
        <v>0</v>
      </c>
      <c r="H19" s="9">
        <f t="shared" si="4"/>
        <v>80.695292446999986</v>
      </c>
      <c r="I19" s="9">
        <v>74.997900227000002</v>
      </c>
      <c r="J19" s="10">
        <v>0</v>
      </c>
      <c r="K19" s="9">
        <f t="shared" si="5"/>
        <v>74.997900227000002</v>
      </c>
      <c r="L19" s="13">
        <v>64.61</v>
      </c>
      <c r="M19" s="10">
        <v>0</v>
      </c>
      <c r="N19" s="9">
        <f t="shared" si="6"/>
        <v>64.61</v>
      </c>
      <c r="O19" s="10">
        <v>66.635701083000001</v>
      </c>
      <c r="P19" s="10">
        <v>0</v>
      </c>
      <c r="Q19" s="9">
        <f t="shared" si="7"/>
        <v>66.635701083000001</v>
      </c>
      <c r="R19" s="10">
        <v>68.763131801</v>
      </c>
      <c r="S19" s="10">
        <v>0</v>
      </c>
      <c r="T19" s="9">
        <f t="shared" si="8"/>
        <v>68.763131801</v>
      </c>
      <c r="U19" s="10">
        <v>51.746696043</v>
      </c>
      <c r="V19" s="10">
        <v>0</v>
      </c>
      <c r="W19" s="9">
        <f t="shared" si="9"/>
        <v>51.746696043</v>
      </c>
      <c r="X19" s="10">
        <v>63.03905471800001</v>
      </c>
      <c r="Y19" s="10">
        <v>0</v>
      </c>
      <c r="Z19" s="9">
        <f t="shared" si="10"/>
        <v>63.03905471800001</v>
      </c>
      <c r="AA19" s="10">
        <v>62.842918236999999</v>
      </c>
      <c r="AB19" s="10">
        <v>0</v>
      </c>
      <c r="AC19" s="9">
        <f t="shared" si="11"/>
        <v>62.842918236999999</v>
      </c>
      <c r="AD19" s="10">
        <v>51.558086702999994</v>
      </c>
      <c r="AE19" s="10">
        <v>0</v>
      </c>
      <c r="AF19" s="9">
        <f t="shared" si="12"/>
        <v>51.558086702999994</v>
      </c>
      <c r="AG19" s="10">
        <v>64.897275621999995</v>
      </c>
      <c r="AH19" s="10">
        <v>0</v>
      </c>
      <c r="AI19" s="9">
        <f t="shared" si="13"/>
        <v>64.897275621999995</v>
      </c>
      <c r="AJ19" s="10">
        <v>69.85700053299999</v>
      </c>
      <c r="AK19" s="10">
        <v>0</v>
      </c>
      <c r="AL19" s="9">
        <f t="shared" si="14"/>
        <v>69.85700053299999</v>
      </c>
      <c r="AM19" s="10">
        <v>48.139947088999989</v>
      </c>
      <c r="AN19" s="10">
        <v>0</v>
      </c>
      <c r="AO19" s="9">
        <f t="shared" si="15"/>
        <v>48.139947088999989</v>
      </c>
    </row>
    <row r="20" spans="1:41" x14ac:dyDescent="0.3">
      <c r="A20" s="4">
        <v>15</v>
      </c>
      <c r="B20" s="2" t="s">
        <v>14</v>
      </c>
      <c r="C20" s="8">
        <f t="shared" si="1"/>
        <v>672.42670514700001</v>
      </c>
      <c r="D20" s="8">
        <f t="shared" si="2"/>
        <v>0</v>
      </c>
      <c r="E20" s="8">
        <f t="shared" si="3"/>
        <v>672.42670514700001</v>
      </c>
      <c r="F20" s="9">
        <v>72.306400666999991</v>
      </c>
      <c r="G20" s="9">
        <v>0</v>
      </c>
      <c r="H20" s="9">
        <f t="shared" si="4"/>
        <v>72.306400666999991</v>
      </c>
      <c r="I20" s="9">
        <v>55.439272716000012</v>
      </c>
      <c r="J20" s="10">
        <v>0</v>
      </c>
      <c r="K20" s="9">
        <f t="shared" si="5"/>
        <v>55.439272716000012</v>
      </c>
      <c r="L20" s="13">
        <v>55.82</v>
      </c>
      <c r="M20" s="10">
        <v>0</v>
      </c>
      <c r="N20" s="9">
        <f t="shared" si="6"/>
        <v>55.82</v>
      </c>
      <c r="O20" s="10">
        <v>53.574286832999995</v>
      </c>
      <c r="P20" s="10">
        <v>0</v>
      </c>
      <c r="Q20" s="9">
        <f t="shared" si="7"/>
        <v>53.574286832999995</v>
      </c>
      <c r="R20" s="10">
        <v>52.453110566999996</v>
      </c>
      <c r="S20" s="10">
        <v>0</v>
      </c>
      <c r="T20" s="9">
        <f t="shared" si="8"/>
        <v>52.453110566999996</v>
      </c>
      <c r="U20" s="10">
        <v>49.675953283999995</v>
      </c>
      <c r="V20" s="10">
        <v>0</v>
      </c>
      <c r="W20" s="9">
        <f t="shared" si="9"/>
        <v>49.675953283999995</v>
      </c>
      <c r="X20" s="10">
        <v>52.501022688999996</v>
      </c>
      <c r="Y20" s="10">
        <v>0</v>
      </c>
      <c r="Z20" s="9">
        <f t="shared" si="10"/>
        <v>52.501022688999996</v>
      </c>
      <c r="AA20" s="10">
        <v>52.018080501</v>
      </c>
      <c r="AB20" s="10">
        <v>0</v>
      </c>
      <c r="AC20" s="9">
        <f t="shared" si="11"/>
        <v>52.018080501</v>
      </c>
      <c r="AD20" s="10">
        <v>52.387448183000004</v>
      </c>
      <c r="AE20" s="10">
        <v>0</v>
      </c>
      <c r="AF20" s="9">
        <f t="shared" si="12"/>
        <v>52.387448183000004</v>
      </c>
      <c r="AG20" s="10">
        <v>56.306600435999989</v>
      </c>
      <c r="AH20" s="10">
        <v>0</v>
      </c>
      <c r="AI20" s="9">
        <f t="shared" si="13"/>
        <v>56.306600435999989</v>
      </c>
      <c r="AJ20" s="10">
        <v>61.800038800000003</v>
      </c>
      <c r="AK20" s="10">
        <v>0</v>
      </c>
      <c r="AL20" s="9">
        <f t="shared" si="14"/>
        <v>61.800038800000003</v>
      </c>
      <c r="AM20" s="10">
        <v>58.14449047099999</v>
      </c>
      <c r="AN20" s="10">
        <v>0</v>
      </c>
      <c r="AO20" s="9">
        <f t="shared" si="15"/>
        <v>58.14449047099999</v>
      </c>
    </row>
    <row r="21" spans="1:41" x14ac:dyDescent="0.3">
      <c r="A21" s="4">
        <v>16</v>
      </c>
      <c r="B21" s="2" t="s">
        <v>15</v>
      </c>
      <c r="C21" s="8">
        <f t="shared" si="1"/>
        <v>1167.4421797459997</v>
      </c>
      <c r="D21" s="8">
        <f t="shared" si="2"/>
        <v>0</v>
      </c>
      <c r="E21" s="8">
        <f t="shared" si="3"/>
        <v>1167.4421797459997</v>
      </c>
      <c r="F21" s="9">
        <v>117.703546202</v>
      </c>
      <c r="G21" s="9">
        <v>0</v>
      </c>
      <c r="H21" s="9">
        <f t="shared" si="4"/>
        <v>117.703546202</v>
      </c>
      <c r="I21" s="9">
        <v>102.351117816</v>
      </c>
      <c r="J21" s="10">
        <v>0</v>
      </c>
      <c r="K21" s="9">
        <f t="shared" si="5"/>
        <v>102.351117816</v>
      </c>
      <c r="L21" s="13">
        <v>105.62</v>
      </c>
      <c r="M21" s="10">
        <v>0</v>
      </c>
      <c r="N21" s="9">
        <f t="shared" si="6"/>
        <v>105.62</v>
      </c>
      <c r="O21" s="10">
        <v>94.038045205000003</v>
      </c>
      <c r="P21" s="10">
        <v>0</v>
      </c>
      <c r="Q21" s="9">
        <f t="shared" si="7"/>
        <v>94.038045205000003</v>
      </c>
      <c r="R21" s="10">
        <v>92.28790352499999</v>
      </c>
      <c r="S21" s="10">
        <v>0</v>
      </c>
      <c r="T21" s="9">
        <f t="shared" si="8"/>
        <v>92.28790352499999</v>
      </c>
      <c r="U21" s="10">
        <v>77.816138823000017</v>
      </c>
      <c r="V21" s="10">
        <v>0</v>
      </c>
      <c r="W21" s="9">
        <f t="shared" si="9"/>
        <v>77.816138823000017</v>
      </c>
      <c r="X21" s="10">
        <v>103.59147599600001</v>
      </c>
      <c r="Y21" s="10">
        <v>0</v>
      </c>
      <c r="Z21" s="9">
        <f t="shared" si="10"/>
        <v>103.59147599600001</v>
      </c>
      <c r="AA21" s="10">
        <v>93.662175694999988</v>
      </c>
      <c r="AB21" s="10">
        <v>0</v>
      </c>
      <c r="AC21" s="9">
        <f t="shared" si="11"/>
        <v>93.662175694999988</v>
      </c>
      <c r="AD21" s="10">
        <v>89.219150232000004</v>
      </c>
      <c r="AE21" s="10">
        <v>0</v>
      </c>
      <c r="AF21" s="9">
        <f t="shared" si="12"/>
        <v>89.219150232000004</v>
      </c>
      <c r="AG21" s="10">
        <v>96.908718013000012</v>
      </c>
      <c r="AH21" s="10">
        <v>0</v>
      </c>
      <c r="AI21" s="9">
        <f t="shared" si="13"/>
        <v>96.908718013000012</v>
      </c>
      <c r="AJ21" s="10">
        <v>99.912794566000002</v>
      </c>
      <c r="AK21" s="10">
        <v>0</v>
      </c>
      <c r="AL21" s="9">
        <f t="shared" si="14"/>
        <v>99.912794566000002</v>
      </c>
      <c r="AM21" s="10">
        <v>94.33111367299999</v>
      </c>
      <c r="AN21" s="10">
        <v>0</v>
      </c>
      <c r="AO21" s="9">
        <f t="shared" si="15"/>
        <v>94.33111367299999</v>
      </c>
    </row>
    <row r="22" spans="1:41" x14ac:dyDescent="0.3">
      <c r="A22" s="4">
        <v>17</v>
      </c>
      <c r="B22" s="2" t="s">
        <v>16</v>
      </c>
      <c r="C22" s="8">
        <f t="shared" si="1"/>
        <v>1163.1687405380001</v>
      </c>
      <c r="D22" s="8">
        <f t="shared" si="2"/>
        <v>0</v>
      </c>
      <c r="E22" s="8">
        <f t="shared" si="3"/>
        <v>1163.1687405380001</v>
      </c>
      <c r="F22" s="9">
        <v>114.37978848399997</v>
      </c>
      <c r="G22" s="9">
        <v>0</v>
      </c>
      <c r="H22" s="9">
        <f t="shared" si="4"/>
        <v>114.37978848399997</v>
      </c>
      <c r="I22" s="9">
        <v>101.874184454</v>
      </c>
      <c r="J22" s="10">
        <v>0</v>
      </c>
      <c r="K22" s="9">
        <f t="shared" si="5"/>
        <v>101.874184454</v>
      </c>
      <c r="L22" s="13">
        <v>101.72</v>
      </c>
      <c r="M22" s="10">
        <v>0</v>
      </c>
      <c r="N22" s="9">
        <f t="shared" si="6"/>
        <v>101.72</v>
      </c>
      <c r="O22" s="10">
        <v>95.427342257999996</v>
      </c>
      <c r="P22" s="10">
        <v>0</v>
      </c>
      <c r="Q22" s="9">
        <f t="shared" si="7"/>
        <v>95.427342257999996</v>
      </c>
      <c r="R22" s="10">
        <v>90.262771004000001</v>
      </c>
      <c r="S22" s="10">
        <v>0</v>
      </c>
      <c r="T22" s="9">
        <f t="shared" si="8"/>
        <v>90.262771004000001</v>
      </c>
      <c r="U22" s="10">
        <v>81.149103327000006</v>
      </c>
      <c r="V22" s="10">
        <v>0</v>
      </c>
      <c r="W22" s="9">
        <f t="shared" si="9"/>
        <v>81.149103327000006</v>
      </c>
      <c r="X22" s="10">
        <v>101.309701926</v>
      </c>
      <c r="Y22" s="10">
        <v>0</v>
      </c>
      <c r="Z22" s="9">
        <f t="shared" si="10"/>
        <v>101.309701926</v>
      </c>
      <c r="AA22" s="10">
        <v>93.727043702000003</v>
      </c>
      <c r="AB22" s="10">
        <v>0</v>
      </c>
      <c r="AC22" s="9">
        <f t="shared" si="11"/>
        <v>93.727043702000003</v>
      </c>
      <c r="AD22" s="10">
        <v>92.587006158000023</v>
      </c>
      <c r="AE22" s="10">
        <v>0</v>
      </c>
      <c r="AF22" s="9">
        <f t="shared" si="12"/>
        <v>92.587006158000023</v>
      </c>
      <c r="AG22" s="10">
        <v>107.97796246199999</v>
      </c>
      <c r="AH22" s="10">
        <v>0</v>
      </c>
      <c r="AI22" s="9">
        <f t="shared" si="13"/>
        <v>107.97796246199999</v>
      </c>
      <c r="AJ22" s="10">
        <v>97.939443095000001</v>
      </c>
      <c r="AK22" s="10">
        <v>0</v>
      </c>
      <c r="AL22" s="9">
        <f t="shared" si="14"/>
        <v>97.939443095000001</v>
      </c>
      <c r="AM22" s="10">
        <v>84.814393667999994</v>
      </c>
      <c r="AN22" s="10">
        <v>0</v>
      </c>
      <c r="AO22" s="9">
        <f t="shared" si="15"/>
        <v>84.814393667999994</v>
      </c>
    </row>
    <row r="23" spans="1:41" x14ac:dyDescent="0.3">
      <c r="A23" s="4">
        <v>18</v>
      </c>
      <c r="B23" s="2" t="s">
        <v>17</v>
      </c>
      <c r="C23" s="8">
        <f t="shared" si="1"/>
        <v>9024.5418383710003</v>
      </c>
      <c r="D23" s="8">
        <f t="shared" si="2"/>
        <v>0</v>
      </c>
      <c r="E23" s="8">
        <f t="shared" si="3"/>
        <v>9024.5418383710003</v>
      </c>
      <c r="F23" s="9">
        <v>834.73188184899993</v>
      </c>
      <c r="G23" s="9">
        <v>0</v>
      </c>
      <c r="H23" s="9">
        <f t="shared" si="4"/>
        <v>834.73188184899993</v>
      </c>
      <c r="I23" s="9">
        <v>768.97150861900013</v>
      </c>
      <c r="J23" s="10">
        <v>0</v>
      </c>
      <c r="K23" s="9">
        <f t="shared" si="5"/>
        <v>768.97150861900013</v>
      </c>
      <c r="L23" s="13">
        <v>772.07</v>
      </c>
      <c r="M23" s="10">
        <v>0</v>
      </c>
      <c r="N23" s="9">
        <f t="shared" si="6"/>
        <v>772.07</v>
      </c>
      <c r="O23" s="10">
        <v>729.59951785800013</v>
      </c>
      <c r="P23" s="10">
        <v>0</v>
      </c>
      <c r="Q23" s="9">
        <f t="shared" si="7"/>
        <v>729.59951785800013</v>
      </c>
      <c r="R23" s="10">
        <v>679.87116363399991</v>
      </c>
      <c r="S23" s="10">
        <v>0</v>
      </c>
      <c r="T23" s="9">
        <f t="shared" si="8"/>
        <v>679.87116363399991</v>
      </c>
      <c r="U23" s="10">
        <v>661.51080544599995</v>
      </c>
      <c r="V23" s="10">
        <v>0</v>
      </c>
      <c r="W23" s="9">
        <f t="shared" si="9"/>
        <v>661.51080544599995</v>
      </c>
      <c r="X23" s="10">
        <v>835.34907211399991</v>
      </c>
      <c r="Y23" s="10">
        <v>0</v>
      </c>
      <c r="Z23" s="9">
        <f t="shared" si="10"/>
        <v>835.34907211399991</v>
      </c>
      <c r="AA23" s="10">
        <v>863.44565218299999</v>
      </c>
      <c r="AB23" s="10">
        <v>0</v>
      </c>
      <c r="AC23" s="9">
        <f t="shared" si="11"/>
        <v>863.44565218299999</v>
      </c>
      <c r="AD23" s="10">
        <v>657.002433322</v>
      </c>
      <c r="AE23" s="10">
        <v>0</v>
      </c>
      <c r="AF23" s="9">
        <f t="shared" si="12"/>
        <v>657.002433322</v>
      </c>
      <c r="AG23" s="10">
        <v>718.89665001699996</v>
      </c>
      <c r="AH23" s="10">
        <v>0</v>
      </c>
      <c r="AI23" s="9">
        <f t="shared" si="13"/>
        <v>718.89665001699996</v>
      </c>
      <c r="AJ23" s="10">
        <v>761.576190838</v>
      </c>
      <c r="AK23" s="10">
        <v>0</v>
      </c>
      <c r="AL23" s="9">
        <f t="shared" si="14"/>
        <v>761.576190838</v>
      </c>
      <c r="AM23" s="10">
        <v>741.51696249099996</v>
      </c>
      <c r="AN23" s="10">
        <v>0</v>
      </c>
      <c r="AO23" s="9">
        <f t="shared" si="15"/>
        <v>741.51696249099996</v>
      </c>
    </row>
    <row r="24" spans="1:41" x14ac:dyDescent="0.3">
      <c r="A24" s="4">
        <v>19</v>
      </c>
      <c r="B24" s="2" t="s">
        <v>18</v>
      </c>
      <c r="C24" s="8">
        <f t="shared" si="1"/>
        <v>22698.031373596001</v>
      </c>
      <c r="D24" s="8">
        <f t="shared" si="2"/>
        <v>0</v>
      </c>
      <c r="E24" s="8">
        <f t="shared" si="3"/>
        <v>22698.031373596001</v>
      </c>
      <c r="F24" s="9">
        <v>1793.6145867670002</v>
      </c>
      <c r="G24" s="9">
        <v>0</v>
      </c>
      <c r="H24" s="9">
        <f t="shared" si="4"/>
        <v>1793.6145867670002</v>
      </c>
      <c r="I24" s="9">
        <v>1597.6794618429999</v>
      </c>
      <c r="J24" s="10">
        <v>0</v>
      </c>
      <c r="K24" s="9">
        <f t="shared" si="5"/>
        <v>1597.6794618429999</v>
      </c>
      <c r="L24" s="13">
        <v>1607.67</v>
      </c>
      <c r="M24" s="10">
        <v>0</v>
      </c>
      <c r="N24" s="9">
        <f t="shared" si="6"/>
        <v>1607.67</v>
      </c>
      <c r="O24" s="10">
        <v>1783.6802489150002</v>
      </c>
      <c r="P24" s="10">
        <v>0</v>
      </c>
      <c r="Q24" s="9">
        <f t="shared" si="7"/>
        <v>1783.6802489150002</v>
      </c>
      <c r="R24" s="10">
        <v>1729.9277074260003</v>
      </c>
      <c r="S24" s="10">
        <v>0</v>
      </c>
      <c r="T24" s="9">
        <f t="shared" si="8"/>
        <v>1729.9277074260003</v>
      </c>
      <c r="U24" s="10">
        <v>1685.5469602339999</v>
      </c>
      <c r="V24" s="10">
        <v>0</v>
      </c>
      <c r="W24" s="9">
        <f t="shared" si="9"/>
        <v>1685.5469602339999</v>
      </c>
      <c r="X24" s="10">
        <v>2324.672893636</v>
      </c>
      <c r="Y24" s="10">
        <v>0</v>
      </c>
      <c r="Z24" s="9">
        <f t="shared" si="10"/>
        <v>2324.672893636</v>
      </c>
      <c r="AA24" s="10">
        <v>2189.4461343729999</v>
      </c>
      <c r="AB24" s="10">
        <v>0</v>
      </c>
      <c r="AC24" s="9">
        <f t="shared" si="11"/>
        <v>2189.4461343729999</v>
      </c>
      <c r="AD24" s="10">
        <v>1714.5210527560002</v>
      </c>
      <c r="AE24" s="10">
        <v>0</v>
      </c>
      <c r="AF24" s="9">
        <f t="shared" si="12"/>
        <v>1714.5210527560002</v>
      </c>
      <c r="AG24" s="10">
        <v>2107.49742526</v>
      </c>
      <c r="AH24" s="10">
        <v>0</v>
      </c>
      <c r="AI24" s="9">
        <f t="shared" si="13"/>
        <v>2107.49742526</v>
      </c>
      <c r="AJ24" s="10">
        <v>2349.0467782880005</v>
      </c>
      <c r="AK24" s="10">
        <v>0</v>
      </c>
      <c r="AL24" s="9">
        <f t="shared" si="14"/>
        <v>2349.0467782880005</v>
      </c>
      <c r="AM24" s="10">
        <v>1814.7281240980003</v>
      </c>
      <c r="AN24" s="10">
        <v>0</v>
      </c>
      <c r="AO24" s="9">
        <f t="shared" si="15"/>
        <v>1814.7281240980003</v>
      </c>
    </row>
    <row r="25" spans="1:41" x14ac:dyDescent="0.3">
      <c r="A25" s="4">
        <v>20</v>
      </c>
      <c r="B25" s="2" t="s">
        <v>19</v>
      </c>
      <c r="C25" s="8">
        <f t="shared" si="1"/>
        <v>5251.3197656969996</v>
      </c>
      <c r="D25" s="8">
        <f t="shared" si="2"/>
        <v>0</v>
      </c>
      <c r="E25" s="8">
        <f t="shared" si="3"/>
        <v>5251.3197656969996</v>
      </c>
      <c r="F25" s="9">
        <v>451.903768238</v>
      </c>
      <c r="G25" s="9">
        <v>0</v>
      </c>
      <c r="H25" s="9">
        <f t="shared" si="4"/>
        <v>451.903768238</v>
      </c>
      <c r="I25" s="9">
        <v>399.81030552899995</v>
      </c>
      <c r="J25" s="10">
        <v>0</v>
      </c>
      <c r="K25" s="9">
        <f t="shared" si="5"/>
        <v>399.81030552899995</v>
      </c>
      <c r="L25" s="13">
        <v>404.77</v>
      </c>
      <c r="M25" s="10">
        <v>0</v>
      </c>
      <c r="N25" s="9">
        <f t="shared" si="6"/>
        <v>404.77</v>
      </c>
      <c r="O25" s="10">
        <v>433.600726522</v>
      </c>
      <c r="P25" s="10">
        <v>0</v>
      </c>
      <c r="Q25" s="9">
        <f t="shared" si="7"/>
        <v>433.600726522</v>
      </c>
      <c r="R25" s="10">
        <v>436.31294936600005</v>
      </c>
      <c r="S25" s="10">
        <v>0</v>
      </c>
      <c r="T25" s="9">
        <f t="shared" si="8"/>
        <v>436.31294936600005</v>
      </c>
      <c r="U25" s="10">
        <v>448.86375247599995</v>
      </c>
      <c r="V25" s="10">
        <v>0</v>
      </c>
      <c r="W25" s="9">
        <f t="shared" si="9"/>
        <v>448.86375247599995</v>
      </c>
      <c r="X25" s="10">
        <v>537.95242124200013</v>
      </c>
      <c r="Y25" s="10">
        <v>0</v>
      </c>
      <c r="Z25" s="9">
        <f t="shared" si="10"/>
        <v>537.95242124200013</v>
      </c>
      <c r="AA25" s="10">
        <v>437.56691973400001</v>
      </c>
      <c r="AB25" s="10">
        <v>0</v>
      </c>
      <c r="AC25" s="9">
        <f t="shared" si="11"/>
        <v>437.56691973400001</v>
      </c>
      <c r="AD25" s="10">
        <v>396.07947585700009</v>
      </c>
      <c r="AE25" s="10">
        <v>0</v>
      </c>
      <c r="AF25" s="9">
        <f t="shared" si="12"/>
        <v>396.07947585700009</v>
      </c>
      <c r="AG25" s="10">
        <v>471.68768724099988</v>
      </c>
      <c r="AH25" s="10">
        <v>0</v>
      </c>
      <c r="AI25" s="9">
        <f t="shared" si="13"/>
        <v>471.68768724099988</v>
      </c>
      <c r="AJ25" s="10">
        <v>429.14984681200002</v>
      </c>
      <c r="AK25" s="10">
        <v>0</v>
      </c>
      <c r="AL25" s="9">
        <f t="shared" si="14"/>
        <v>429.14984681200002</v>
      </c>
      <c r="AM25" s="10">
        <v>403.62191267999992</v>
      </c>
      <c r="AN25" s="10">
        <v>0</v>
      </c>
      <c r="AO25" s="9">
        <f t="shared" si="15"/>
        <v>403.62191267999992</v>
      </c>
    </row>
    <row r="26" spans="1:41" x14ac:dyDescent="0.3">
      <c r="A26" s="4">
        <v>21</v>
      </c>
      <c r="B26" s="2" t="s">
        <v>20</v>
      </c>
      <c r="C26" s="8">
        <f t="shared" si="1"/>
        <v>8033.6519569070015</v>
      </c>
      <c r="D26" s="8">
        <f t="shared" si="2"/>
        <v>0</v>
      </c>
      <c r="E26" s="8">
        <f t="shared" si="3"/>
        <v>8033.6519569070015</v>
      </c>
      <c r="F26" s="9">
        <v>914.2175668939999</v>
      </c>
      <c r="G26" s="9">
        <v>0</v>
      </c>
      <c r="H26" s="9">
        <f t="shared" si="4"/>
        <v>914.2175668939999</v>
      </c>
      <c r="I26" s="9">
        <v>652.84281655699999</v>
      </c>
      <c r="J26" s="10">
        <v>0</v>
      </c>
      <c r="K26" s="9">
        <f t="shared" si="5"/>
        <v>652.84281655699999</v>
      </c>
      <c r="L26" s="13">
        <v>580.76</v>
      </c>
      <c r="M26" s="10">
        <v>0</v>
      </c>
      <c r="N26" s="9">
        <f t="shared" si="6"/>
        <v>580.76</v>
      </c>
      <c r="O26" s="10">
        <v>552.9629147390001</v>
      </c>
      <c r="P26" s="10">
        <v>0</v>
      </c>
      <c r="Q26" s="9">
        <f t="shared" si="7"/>
        <v>552.9629147390001</v>
      </c>
      <c r="R26" s="10">
        <v>638.49894526100002</v>
      </c>
      <c r="S26" s="10">
        <v>0</v>
      </c>
      <c r="T26" s="9">
        <f t="shared" si="8"/>
        <v>638.49894526100002</v>
      </c>
      <c r="U26" s="10">
        <v>486.36230567299998</v>
      </c>
      <c r="V26" s="10">
        <v>0</v>
      </c>
      <c r="W26" s="9">
        <f t="shared" si="9"/>
        <v>486.36230567299998</v>
      </c>
      <c r="X26" s="10">
        <v>831.77918433900004</v>
      </c>
      <c r="Y26" s="10">
        <v>0</v>
      </c>
      <c r="Z26" s="9">
        <f t="shared" si="10"/>
        <v>831.77918433900004</v>
      </c>
      <c r="AA26" s="10">
        <v>872.52157454500002</v>
      </c>
      <c r="AB26" s="10">
        <v>0</v>
      </c>
      <c r="AC26" s="9">
        <f t="shared" si="11"/>
        <v>872.52157454500002</v>
      </c>
      <c r="AD26" s="10">
        <v>571.10304146299995</v>
      </c>
      <c r="AE26" s="10">
        <v>0</v>
      </c>
      <c r="AF26" s="9">
        <f t="shared" si="12"/>
        <v>571.10304146299995</v>
      </c>
      <c r="AG26" s="10">
        <v>683.80703194300008</v>
      </c>
      <c r="AH26" s="10">
        <v>0</v>
      </c>
      <c r="AI26" s="9">
        <f t="shared" si="13"/>
        <v>683.80703194300008</v>
      </c>
      <c r="AJ26" s="10">
        <v>736.56601980200003</v>
      </c>
      <c r="AK26" s="10">
        <v>0</v>
      </c>
      <c r="AL26" s="9">
        <f t="shared" si="14"/>
        <v>736.56601980200003</v>
      </c>
      <c r="AM26" s="10">
        <v>512.23055569100018</v>
      </c>
      <c r="AN26" s="10">
        <v>0</v>
      </c>
      <c r="AO26" s="9">
        <f t="shared" si="15"/>
        <v>512.23055569100018</v>
      </c>
    </row>
    <row r="27" spans="1:41" x14ac:dyDescent="0.3">
      <c r="A27" s="4">
        <v>22</v>
      </c>
      <c r="B27" s="2" t="s">
        <v>33</v>
      </c>
      <c r="C27" s="8">
        <f t="shared" si="1"/>
        <v>7045.2313418640006</v>
      </c>
      <c r="D27" s="8">
        <f t="shared" si="2"/>
        <v>0</v>
      </c>
      <c r="E27" s="8">
        <f t="shared" si="3"/>
        <v>7045.2313418640006</v>
      </c>
      <c r="F27" s="9">
        <v>562.08037342400007</v>
      </c>
      <c r="G27" s="9">
        <v>0</v>
      </c>
      <c r="H27" s="9">
        <f t="shared" si="4"/>
        <v>562.08037342400007</v>
      </c>
      <c r="I27" s="9">
        <v>371.19105398400001</v>
      </c>
      <c r="J27" s="10">
        <v>0</v>
      </c>
      <c r="K27" s="9">
        <f t="shared" si="5"/>
        <v>371.19105398400001</v>
      </c>
      <c r="L27" s="13">
        <v>468.86</v>
      </c>
      <c r="M27" s="10">
        <v>0</v>
      </c>
      <c r="N27" s="9">
        <f t="shared" si="6"/>
        <v>468.86</v>
      </c>
      <c r="O27" s="10">
        <v>626.34962763800013</v>
      </c>
      <c r="P27" s="10">
        <v>0</v>
      </c>
      <c r="Q27" s="9">
        <f t="shared" si="7"/>
        <v>626.34962763800013</v>
      </c>
      <c r="R27" s="10">
        <v>459.77494978800001</v>
      </c>
      <c r="S27" s="10">
        <v>0</v>
      </c>
      <c r="T27" s="9">
        <f t="shared" si="8"/>
        <v>459.77494978800001</v>
      </c>
      <c r="U27" s="10">
        <v>459.61638964100007</v>
      </c>
      <c r="V27" s="10">
        <v>0</v>
      </c>
      <c r="W27" s="9">
        <f t="shared" si="9"/>
        <v>459.61638964100007</v>
      </c>
      <c r="X27" s="10">
        <v>682.01883823599997</v>
      </c>
      <c r="Y27" s="10">
        <v>0</v>
      </c>
      <c r="Z27" s="9">
        <f t="shared" si="10"/>
        <v>682.01883823599997</v>
      </c>
      <c r="AA27" s="10">
        <v>821.11838530299985</v>
      </c>
      <c r="AB27" s="10">
        <v>0</v>
      </c>
      <c r="AC27" s="9">
        <f t="shared" si="11"/>
        <v>821.11838530299985</v>
      </c>
      <c r="AD27" s="10">
        <v>559.36214036100012</v>
      </c>
      <c r="AE27" s="10">
        <v>0</v>
      </c>
      <c r="AF27" s="9">
        <f t="shared" si="12"/>
        <v>559.36214036100012</v>
      </c>
      <c r="AG27" s="10">
        <v>554.57771483600015</v>
      </c>
      <c r="AH27" s="10">
        <v>0</v>
      </c>
      <c r="AI27" s="9">
        <f t="shared" si="13"/>
        <v>554.57771483600015</v>
      </c>
      <c r="AJ27" s="10">
        <v>723.55499691799992</v>
      </c>
      <c r="AK27" s="10">
        <v>0</v>
      </c>
      <c r="AL27" s="9">
        <f t="shared" si="14"/>
        <v>723.55499691799992</v>
      </c>
      <c r="AM27" s="10">
        <v>756.72687173500003</v>
      </c>
      <c r="AN27" s="10">
        <v>0</v>
      </c>
      <c r="AO27" s="9">
        <f t="shared" si="15"/>
        <v>756.72687173500003</v>
      </c>
    </row>
    <row r="28" spans="1:41" x14ac:dyDescent="0.3">
      <c r="A28" s="4">
        <v>23</v>
      </c>
      <c r="B28" s="2" t="s">
        <v>21</v>
      </c>
      <c r="C28" s="8">
        <f t="shared" si="1"/>
        <v>22457.329648575</v>
      </c>
      <c r="D28" s="8">
        <f t="shared" si="2"/>
        <v>0</v>
      </c>
      <c r="E28" s="8">
        <f t="shared" si="3"/>
        <v>22457.329648575</v>
      </c>
      <c r="F28" s="9">
        <v>2193.450559546</v>
      </c>
      <c r="G28" s="9">
        <v>0</v>
      </c>
      <c r="H28" s="9">
        <f t="shared" si="4"/>
        <v>2193.450559546</v>
      </c>
      <c r="I28" s="9">
        <v>1526.6504692829999</v>
      </c>
      <c r="J28" s="10">
        <v>0</v>
      </c>
      <c r="K28" s="9">
        <f t="shared" si="5"/>
        <v>1526.6504692829999</v>
      </c>
      <c r="L28" s="13">
        <v>1704.94</v>
      </c>
      <c r="M28" s="10">
        <v>0</v>
      </c>
      <c r="N28" s="9">
        <f t="shared" si="6"/>
        <v>1704.94</v>
      </c>
      <c r="O28" s="10">
        <v>2013.2632227250001</v>
      </c>
      <c r="P28" s="10">
        <v>0</v>
      </c>
      <c r="Q28" s="9">
        <f t="shared" si="7"/>
        <v>2013.2632227250001</v>
      </c>
      <c r="R28" s="10">
        <v>1684.6996967530001</v>
      </c>
      <c r="S28" s="10">
        <v>0</v>
      </c>
      <c r="T28" s="9">
        <f t="shared" si="8"/>
        <v>1684.6996967530001</v>
      </c>
      <c r="U28" s="10">
        <v>1529.4351913749999</v>
      </c>
      <c r="V28" s="10">
        <v>0</v>
      </c>
      <c r="W28" s="9">
        <f t="shared" si="9"/>
        <v>1529.4351913749999</v>
      </c>
      <c r="X28" s="10">
        <v>1911.6456696290002</v>
      </c>
      <c r="Y28" s="10">
        <v>0</v>
      </c>
      <c r="Z28" s="9">
        <f t="shared" si="10"/>
        <v>1911.6456696290002</v>
      </c>
      <c r="AA28" s="10">
        <v>2067.1011949599992</v>
      </c>
      <c r="AB28" s="10">
        <v>0</v>
      </c>
      <c r="AC28" s="9">
        <f t="shared" si="11"/>
        <v>2067.1011949599992</v>
      </c>
      <c r="AD28" s="10">
        <v>1764.5479317279999</v>
      </c>
      <c r="AE28" s="10">
        <v>0</v>
      </c>
      <c r="AF28" s="9">
        <f t="shared" si="12"/>
        <v>1764.5479317279999</v>
      </c>
      <c r="AG28" s="10">
        <v>2123.1382356829999</v>
      </c>
      <c r="AH28" s="10">
        <v>0</v>
      </c>
      <c r="AI28" s="9">
        <f t="shared" si="13"/>
        <v>2123.1382356829999</v>
      </c>
      <c r="AJ28" s="10">
        <v>1987.1400803910001</v>
      </c>
      <c r="AK28" s="10">
        <v>0</v>
      </c>
      <c r="AL28" s="9">
        <f t="shared" si="14"/>
        <v>1987.1400803910001</v>
      </c>
      <c r="AM28" s="10">
        <v>1951.3173965020005</v>
      </c>
      <c r="AN28" s="10">
        <v>0</v>
      </c>
      <c r="AO28" s="9">
        <f t="shared" si="15"/>
        <v>1951.3173965020005</v>
      </c>
    </row>
    <row r="29" spans="1:41" x14ac:dyDescent="0.3">
      <c r="A29" s="4">
        <v>24</v>
      </c>
      <c r="B29" s="2" t="s">
        <v>34</v>
      </c>
      <c r="C29" s="8">
        <f t="shared" si="1"/>
        <v>27659.323684471005</v>
      </c>
      <c r="D29" s="8">
        <f t="shared" si="2"/>
        <v>0</v>
      </c>
      <c r="E29" s="8">
        <f t="shared" si="3"/>
        <v>27659.323684471005</v>
      </c>
      <c r="F29" s="9">
        <v>2539.2262160450005</v>
      </c>
      <c r="G29" s="9">
        <v>0</v>
      </c>
      <c r="H29" s="9">
        <f t="shared" si="4"/>
        <v>2539.2262160450005</v>
      </c>
      <c r="I29" s="9">
        <v>1707.5846225349997</v>
      </c>
      <c r="J29" s="10">
        <v>0</v>
      </c>
      <c r="K29" s="9">
        <f t="shared" si="5"/>
        <v>1707.5846225349997</v>
      </c>
      <c r="L29" s="13">
        <v>1859.09</v>
      </c>
      <c r="M29" s="10">
        <v>0</v>
      </c>
      <c r="N29" s="9">
        <f t="shared" si="6"/>
        <v>1859.09</v>
      </c>
      <c r="O29" s="10">
        <v>2101.6742898430002</v>
      </c>
      <c r="P29" s="10">
        <v>0</v>
      </c>
      <c r="Q29" s="9">
        <f t="shared" si="7"/>
        <v>2101.6742898430002</v>
      </c>
      <c r="R29" s="10">
        <v>2289.976483594</v>
      </c>
      <c r="S29" s="10">
        <v>0</v>
      </c>
      <c r="T29" s="9">
        <f t="shared" si="8"/>
        <v>2289.976483594</v>
      </c>
      <c r="U29" s="10">
        <v>2539.2821258479999</v>
      </c>
      <c r="V29" s="10">
        <v>0</v>
      </c>
      <c r="W29" s="9">
        <f t="shared" si="9"/>
        <v>2539.2821258479999</v>
      </c>
      <c r="X29" s="10">
        <v>2503.7585334870005</v>
      </c>
      <c r="Y29" s="10">
        <v>0</v>
      </c>
      <c r="Z29" s="9">
        <f t="shared" si="10"/>
        <v>2503.7585334870005</v>
      </c>
      <c r="AA29" s="10">
        <v>2555.866422388</v>
      </c>
      <c r="AB29" s="10">
        <v>0</v>
      </c>
      <c r="AC29" s="9">
        <f t="shared" si="11"/>
        <v>2555.866422388</v>
      </c>
      <c r="AD29" s="10">
        <v>2321.2127807239999</v>
      </c>
      <c r="AE29" s="10">
        <v>0</v>
      </c>
      <c r="AF29" s="9">
        <f t="shared" si="12"/>
        <v>2321.2127807239999</v>
      </c>
      <c r="AG29" s="10">
        <v>2847.9725288920004</v>
      </c>
      <c r="AH29" s="10">
        <v>0</v>
      </c>
      <c r="AI29" s="9">
        <f t="shared" si="13"/>
        <v>2847.9725288920004</v>
      </c>
      <c r="AJ29" s="10">
        <v>2446.6121837940004</v>
      </c>
      <c r="AK29" s="10">
        <v>0</v>
      </c>
      <c r="AL29" s="9">
        <f t="shared" si="14"/>
        <v>2446.6121837940004</v>
      </c>
      <c r="AM29" s="10">
        <v>1947.0674973210002</v>
      </c>
      <c r="AN29" s="10">
        <v>0</v>
      </c>
      <c r="AO29" s="9">
        <f t="shared" si="15"/>
        <v>1947.0674973210002</v>
      </c>
    </row>
    <row r="30" spans="1:41" x14ac:dyDescent="0.3">
      <c r="A30" s="4">
        <v>25</v>
      </c>
      <c r="B30" s="2" t="s">
        <v>22</v>
      </c>
      <c r="C30" s="8">
        <f t="shared" si="1"/>
        <v>0.86744508300000001</v>
      </c>
      <c r="D30" s="8">
        <f t="shared" si="2"/>
        <v>0</v>
      </c>
      <c r="E30" s="8">
        <f t="shared" si="3"/>
        <v>0.86744508300000001</v>
      </c>
      <c r="F30" s="9">
        <v>8.2458640999999999E-2</v>
      </c>
      <c r="G30" s="9">
        <v>0</v>
      </c>
      <c r="H30" s="9">
        <f t="shared" si="4"/>
        <v>8.2458640999999999E-2</v>
      </c>
      <c r="I30" s="9">
        <v>7.0058375000000006E-2</v>
      </c>
      <c r="J30" s="10">
        <v>0</v>
      </c>
      <c r="K30" s="9">
        <f t="shared" si="5"/>
        <v>7.0058375000000006E-2</v>
      </c>
      <c r="L30" s="13">
        <v>0.09</v>
      </c>
      <c r="M30" s="10">
        <v>0</v>
      </c>
      <c r="N30" s="9">
        <f t="shared" si="6"/>
        <v>0.09</v>
      </c>
      <c r="O30" s="10">
        <v>0.424017592</v>
      </c>
      <c r="P30" s="10">
        <v>0</v>
      </c>
      <c r="Q30" s="9">
        <f t="shared" si="7"/>
        <v>0.424017592</v>
      </c>
      <c r="R30" s="10">
        <v>4.5864412E-2</v>
      </c>
      <c r="S30" s="10">
        <v>0</v>
      </c>
      <c r="T30" s="9">
        <f t="shared" si="8"/>
        <v>4.5864412E-2</v>
      </c>
      <c r="U30" s="10">
        <v>-2.0606469999999995E-2</v>
      </c>
      <c r="V30" s="10">
        <v>0</v>
      </c>
      <c r="W30" s="9">
        <f t="shared" si="9"/>
        <v>-2.0606469999999995E-2</v>
      </c>
      <c r="X30" s="10">
        <v>-6.3176400000000005E-4</v>
      </c>
      <c r="Y30" s="10">
        <v>0</v>
      </c>
      <c r="Z30" s="9">
        <f t="shared" si="10"/>
        <v>-6.3176400000000005E-4</v>
      </c>
      <c r="AA30" s="10">
        <v>3.3773588E-2</v>
      </c>
      <c r="AB30" s="10">
        <v>0</v>
      </c>
      <c r="AC30" s="9">
        <f t="shared" si="11"/>
        <v>3.3773588E-2</v>
      </c>
      <c r="AD30" s="10">
        <v>4.5166300999999999E-2</v>
      </c>
      <c r="AE30" s="10">
        <v>0</v>
      </c>
      <c r="AF30" s="9">
        <f t="shared" si="12"/>
        <v>4.5166300999999999E-2</v>
      </c>
      <c r="AG30" s="10">
        <v>3.4673496000000005E-2</v>
      </c>
      <c r="AH30" s="10">
        <v>0</v>
      </c>
      <c r="AI30" s="9">
        <f t="shared" si="13"/>
        <v>3.4673496000000005E-2</v>
      </c>
      <c r="AJ30" s="10">
        <v>4.6821619999999993E-3</v>
      </c>
      <c r="AK30" s="10">
        <v>0</v>
      </c>
      <c r="AL30" s="9">
        <f t="shared" si="14"/>
        <v>4.6821619999999993E-3</v>
      </c>
      <c r="AM30" s="10">
        <v>5.7988749999999999E-2</v>
      </c>
      <c r="AN30" s="10">
        <v>0</v>
      </c>
      <c r="AO30" s="9">
        <f t="shared" si="15"/>
        <v>5.7988749999999999E-2</v>
      </c>
    </row>
    <row r="31" spans="1:41" x14ac:dyDescent="0.3">
      <c r="A31" s="4">
        <v>26</v>
      </c>
      <c r="B31" s="2" t="s">
        <v>23</v>
      </c>
      <c r="C31" s="8">
        <f t="shared" si="1"/>
        <v>494.04895005899994</v>
      </c>
      <c r="D31" s="8">
        <f t="shared" si="2"/>
        <v>0</v>
      </c>
      <c r="E31" s="8">
        <f t="shared" si="3"/>
        <v>494.04895005899994</v>
      </c>
      <c r="F31" s="9">
        <v>26.785928931999997</v>
      </c>
      <c r="G31" s="9">
        <v>0</v>
      </c>
      <c r="H31" s="9">
        <f t="shared" si="4"/>
        <v>26.785928931999997</v>
      </c>
      <c r="I31" s="9">
        <v>22.344123038999999</v>
      </c>
      <c r="J31" s="10">
        <v>0</v>
      </c>
      <c r="K31" s="9">
        <f t="shared" si="5"/>
        <v>22.344123038999999</v>
      </c>
      <c r="L31" s="13">
        <v>17.48</v>
      </c>
      <c r="M31" s="10">
        <v>0</v>
      </c>
      <c r="N31" s="9">
        <f t="shared" si="6"/>
        <v>17.48</v>
      </c>
      <c r="O31" s="10">
        <v>62.155095870000004</v>
      </c>
      <c r="P31" s="10">
        <v>0</v>
      </c>
      <c r="Q31" s="9">
        <f t="shared" si="7"/>
        <v>62.155095870000004</v>
      </c>
      <c r="R31" s="10">
        <v>69.882109701999994</v>
      </c>
      <c r="S31" s="10">
        <v>0</v>
      </c>
      <c r="T31" s="9">
        <f t="shared" si="8"/>
        <v>69.882109701999994</v>
      </c>
      <c r="U31" s="10">
        <v>31.623869233000004</v>
      </c>
      <c r="V31" s="10">
        <v>0</v>
      </c>
      <c r="W31" s="9">
        <f t="shared" si="9"/>
        <v>31.623869233000004</v>
      </c>
      <c r="X31" s="10">
        <v>60.795708898000001</v>
      </c>
      <c r="Y31" s="10">
        <v>0</v>
      </c>
      <c r="Z31" s="9">
        <f t="shared" si="10"/>
        <v>60.795708898000001</v>
      </c>
      <c r="AA31" s="10">
        <v>55.616080599999997</v>
      </c>
      <c r="AB31" s="10">
        <v>0</v>
      </c>
      <c r="AC31" s="9">
        <f t="shared" si="11"/>
        <v>55.616080599999997</v>
      </c>
      <c r="AD31" s="10">
        <v>55.281228638000002</v>
      </c>
      <c r="AE31" s="10">
        <v>0</v>
      </c>
      <c r="AF31" s="9">
        <f t="shared" si="12"/>
        <v>55.281228638000002</v>
      </c>
      <c r="AG31" s="10">
        <v>42.075865696999998</v>
      </c>
      <c r="AH31" s="10">
        <v>0</v>
      </c>
      <c r="AI31" s="9">
        <f t="shared" si="13"/>
        <v>42.075865696999998</v>
      </c>
      <c r="AJ31" s="10">
        <v>38.685301074999998</v>
      </c>
      <c r="AK31" s="10">
        <v>0</v>
      </c>
      <c r="AL31" s="9">
        <f t="shared" si="14"/>
        <v>38.685301074999998</v>
      </c>
      <c r="AM31" s="10">
        <v>11.323638375</v>
      </c>
      <c r="AN31" s="10">
        <v>0</v>
      </c>
      <c r="AO31" s="9">
        <f t="shared" si="15"/>
        <v>11.323638375</v>
      </c>
    </row>
    <row r="32" spans="1:41" x14ac:dyDescent="0.3">
      <c r="A32" s="4">
        <v>27</v>
      </c>
      <c r="B32" s="2" t="s">
        <v>35</v>
      </c>
      <c r="C32" s="8">
        <f t="shared" si="1"/>
        <v>58609.648522114992</v>
      </c>
      <c r="D32" s="8">
        <f t="shared" si="2"/>
        <v>0</v>
      </c>
      <c r="E32" s="8">
        <f t="shared" si="3"/>
        <v>58609.648522114992</v>
      </c>
      <c r="F32" s="9">
        <v>5229.3778269249997</v>
      </c>
      <c r="G32" s="9">
        <v>0</v>
      </c>
      <c r="H32" s="9">
        <f t="shared" si="4"/>
        <v>5229.3778269249997</v>
      </c>
      <c r="I32" s="9">
        <v>3686.0903075859992</v>
      </c>
      <c r="J32" s="10">
        <v>0</v>
      </c>
      <c r="K32" s="9">
        <f t="shared" si="5"/>
        <v>3686.0903075859992</v>
      </c>
      <c r="L32" s="13">
        <v>4243.03</v>
      </c>
      <c r="M32" s="10">
        <v>0</v>
      </c>
      <c r="N32" s="9">
        <f t="shared" si="6"/>
        <v>4243.03</v>
      </c>
      <c r="O32" s="10">
        <v>4570.9752325130012</v>
      </c>
      <c r="P32" s="10">
        <v>0</v>
      </c>
      <c r="Q32" s="9">
        <f t="shared" si="7"/>
        <v>4570.9752325130012</v>
      </c>
      <c r="R32" s="10">
        <v>4956.5583756280002</v>
      </c>
      <c r="S32" s="10">
        <v>0</v>
      </c>
      <c r="T32" s="9">
        <f t="shared" si="8"/>
        <v>4956.5583756280002</v>
      </c>
      <c r="U32" s="10">
        <v>4512.2324245329992</v>
      </c>
      <c r="V32" s="10">
        <v>0</v>
      </c>
      <c r="W32" s="9">
        <f t="shared" si="9"/>
        <v>4512.2324245329992</v>
      </c>
      <c r="X32" s="10">
        <v>5202.2800447260006</v>
      </c>
      <c r="Y32" s="10">
        <v>0</v>
      </c>
      <c r="Z32" s="9">
        <f t="shared" si="10"/>
        <v>5202.2800447260006</v>
      </c>
      <c r="AA32" s="10">
        <v>5833.1170706250005</v>
      </c>
      <c r="AB32" s="10">
        <v>0</v>
      </c>
      <c r="AC32" s="9">
        <f t="shared" si="11"/>
        <v>5833.1170706250005</v>
      </c>
      <c r="AD32" s="10">
        <v>4627.7164417739996</v>
      </c>
      <c r="AE32" s="10">
        <v>0</v>
      </c>
      <c r="AF32" s="9">
        <f t="shared" si="12"/>
        <v>4627.7164417739996</v>
      </c>
      <c r="AG32" s="10">
        <v>5691.4051332700001</v>
      </c>
      <c r="AH32" s="10">
        <v>0</v>
      </c>
      <c r="AI32" s="9">
        <f t="shared" si="13"/>
        <v>5691.4051332700001</v>
      </c>
      <c r="AJ32" s="10">
        <v>5215.7559093589998</v>
      </c>
      <c r="AK32" s="10">
        <v>0</v>
      </c>
      <c r="AL32" s="9">
        <f t="shared" si="14"/>
        <v>5215.7559093589998</v>
      </c>
      <c r="AM32" s="10">
        <v>4841.1097551759995</v>
      </c>
      <c r="AN32" s="10">
        <v>0</v>
      </c>
      <c r="AO32" s="9">
        <f t="shared" si="15"/>
        <v>4841.1097551759995</v>
      </c>
    </row>
    <row r="33" spans="1:41" x14ac:dyDescent="0.3">
      <c r="A33" s="4">
        <v>29</v>
      </c>
      <c r="B33" s="2" t="s">
        <v>24</v>
      </c>
      <c r="C33" s="8">
        <f t="shared" si="1"/>
        <v>37493.771793890999</v>
      </c>
      <c r="D33" s="8">
        <f t="shared" si="2"/>
        <v>0</v>
      </c>
      <c r="E33" s="8">
        <f t="shared" si="3"/>
        <v>37493.771793890999</v>
      </c>
      <c r="F33" s="9">
        <v>3361.7797673459995</v>
      </c>
      <c r="G33" s="9">
        <v>0</v>
      </c>
      <c r="H33" s="9">
        <f t="shared" si="4"/>
        <v>3361.7797673459995</v>
      </c>
      <c r="I33" s="9">
        <v>2621.057384795</v>
      </c>
      <c r="J33" s="10">
        <v>0</v>
      </c>
      <c r="K33" s="9">
        <f t="shared" si="5"/>
        <v>2621.057384795</v>
      </c>
      <c r="L33" s="13">
        <v>2875.97</v>
      </c>
      <c r="M33" s="10">
        <v>0</v>
      </c>
      <c r="N33" s="9">
        <f t="shared" si="6"/>
        <v>2875.97</v>
      </c>
      <c r="O33" s="10">
        <v>2877.4413388970011</v>
      </c>
      <c r="P33" s="10">
        <v>0</v>
      </c>
      <c r="Q33" s="9">
        <f t="shared" si="7"/>
        <v>2877.4413388970011</v>
      </c>
      <c r="R33" s="10">
        <v>2963.0164491619998</v>
      </c>
      <c r="S33" s="10">
        <v>0</v>
      </c>
      <c r="T33" s="9">
        <f t="shared" si="8"/>
        <v>2963.0164491619998</v>
      </c>
      <c r="U33" s="10">
        <v>3071.1276479230005</v>
      </c>
      <c r="V33" s="10">
        <v>0</v>
      </c>
      <c r="W33" s="9">
        <f t="shared" si="9"/>
        <v>3071.1276479230005</v>
      </c>
      <c r="X33" s="10">
        <v>3945.8812369630004</v>
      </c>
      <c r="Y33" s="10">
        <v>0</v>
      </c>
      <c r="Z33" s="9">
        <f t="shared" si="10"/>
        <v>3945.8812369630004</v>
      </c>
      <c r="AA33" s="10">
        <v>3691.1764250609999</v>
      </c>
      <c r="AB33" s="10">
        <v>0</v>
      </c>
      <c r="AC33" s="9">
        <f t="shared" si="11"/>
        <v>3691.1764250609999</v>
      </c>
      <c r="AD33" s="10">
        <v>2737.0874159630007</v>
      </c>
      <c r="AE33" s="10">
        <v>0</v>
      </c>
      <c r="AF33" s="9">
        <f t="shared" si="12"/>
        <v>2737.0874159630007</v>
      </c>
      <c r="AG33" s="10">
        <v>3103.2526084890005</v>
      </c>
      <c r="AH33" s="10">
        <v>0</v>
      </c>
      <c r="AI33" s="9">
        <f t="shared" si="13"/>
        <v>3103.2526084890005</v>
      </c>
      <c r="AJ33" s="10">
        <v>3007.4753302129998</v>
      </c>
      <c r="AK33" s="10">
        <v>0</v>
      </c>
      <c r="AL33" s="9">
        <f t="shared" si="14"/>
        <v>3007.4753302129998</v>
      </c>
      <c r="AM33" s="10">
        <v>3238.5061890789998</v>
      </c>
      <c r="AN33" s="10">
        <v>0</v>
      </c>
      <c r="AO33" s="9">
        <f t="shared" si="15"/>
        <v>3238.5061890789998</v>
      </c>
    </row>
    <row r="34" spans="1:41" x14ac:dyDescent="0.3">
      <c r="A34" s="4">
        <v>30</v>
      </c>
      <c r="B34" s="2" t="s">
        <v>25</v>
      </c>
      <c r="C34" s="8">
        <f t="shared" si="1"/>
        <v>1905.3342458899999</v>
      </c>
      <c r="D34" s="8">
        <f t="shared" si="2"/>
        <v>0</v>
      </c>
      <c r="E34" s="8">
        <f t="shared" si="3"/>
        <v>1905.3342458899999</v>
      </c>
      <c r="F34" s="9">
        <v>162.18392695499998</v>
      </c>
      <c r="G34" s="9">
        <v>0</v>
      </c>
      <c r="H34" s="9">
        <f t="shared" si="4"/>
        <v>162.18392695499998</v>
      </c>
      <c r="I34" s="9">
        <v>130.96728729199998</v>
      </c>
      <c r="J34" s="10">
        <v>0</v>
      </c>
      <c r="K34" s="9">
        <f t="shared" si="5"/>
        <v>130.96728729199998</v>
      </c>
      <c r="L34" s="13">
        <v>113.5</v>
      </c>
      <c r="M34" s="10">
        <v>0</v>
      </c>
      <c r="N34" s="9">
        <f t="shared" si="6"/>
        <v>113.5</v>
      </c>
      <c r="O34" s="10">
        <v>154.74112023499998</v>
      </c>
      <c r="P34" s="10">
        <v>0</v>
      </c>
      <c r="Q34" s="9">
        <f t="shared" si="7"/>
        <v>154.74112023499998</v>
      </c>
      <c r="R34" s="10">
        <v>140.95689656500002</v>
      </c>
      <c r="S34" s="10">
        <v>0</v>
      </c>
      <c r="T34" s="9">
        <f t="shared" si="8"/>
        <v>140.95689656500002</v>
      </c>
      <c r="U34" s="10">
        <v>151.35574360300001</v>
      </c>
      <c r="V34" s="10">
        <v>0</v>
      </c>
      <c r="W34" s="9">
        <f t="shared" si="9"/>
        <v>151.35574360300001</v>
      </c>
      <c r="X34" s="10">
        <v>174.63966622800001</v>
      </c>
      <c r="Y34" s="10">
        <v>0</v>
      </c>
      <c r="Z34" s="9">
        <f t="shared" si="10"/>
        <v>174.63966622800001</v>
      </c>
      <c r="AA34" s="10">
        <v>186.26487587299999</v>
      </c>
      <c r="AB34" s="10">
        <v>0</v>
      </c>
      <c r="AC34" s="9">
        <f t="shared" si="11"/>
        <v>186.26487587299999</v>
      </c>
      <c r="AD34" s="10">
        <v>158.80441663299999</v>
      </c>
      <c r="AE34" s="10">
        <v>0</v>
      </c>
      <c r="AF34" s="9">
        <f t="shared" si="12"/>
        <v>158.80441663299999</v>
      </c>
      <c r="AG34" s="10">
        <v>207.19584134599995</v>
      </c>
      <c r="AH34" s="10">
        <v>0</v>
      </c>
      <c r="AI34" s="9">
        <f t="shared" si="13"/>
        <v>207.19584134599995</v>
      </c>
      <c r="AJ34" s="10">
        <v>175.11734079999999</v>
      </c>
      <c r="AK34" s="10">
        <v>0</v>
      </c>
      <c r="AL34" s="9">
        <f t="shared" si="14"/>
        <v>175.11734079999999</v>
      </c>
      <c r="AM34" s="10">
        <v>149.60713036000001</v>
      </c>
      <c r="AN34" s="10">
        <v>0</v>
      </c>
      <c r="AO34" s="9">
        <f t="shared" si="15"/>
        <v>149.60713036000001</v>
      </c>
    </row>
    <row r="35" spans="1:41" x14ac:dyDescent="0.3">
      <c r="A35" s="4">
        <v>31</v>
      </c>
      <c r="B35" s="2" t="s">
        <v>26</v>
      </c>
      <c r="C35" s="8">
        <f t="shared" si="1"/>
        <v>106.486133443</v>
      </c>
      <c r="D35" s="8">
        <f t="shared" si="2"/>
        <v>0</v>
      </c>
      <c r="E35" s="8">
        <f t="shared" si="3"/>
        <v>106.486133443</v>
      </c>
      <c r="F35" s="9">
        <v>4.6105399860000009</v>
      </c>
      <c r="G35" s="9">
        <v>0</v>
      </c>
      <c r="H35" s="9">
        <f t="shared" si="4"/>
        <v>4.6105399860000009</v>
      </c>
      <c r="I35" s="9">
        <v>4.076586346</v>
      </c>
      <c r="J35" s="10">
        <v>0</v>
      </c>
      <c r="K35" s="9">
        <f t="shared" si="5"/>
        <v>4.076586346</v>
      </c>
      <c r="L35" s="13">
        <v>6.12</v>
      </c>
      <c r="M35" s="10">
        <v>0</v>
      </c>
      <c r="N35" s="9">
        <f t="shared" si="6"/>
        <v>6.12</v>
      </c>
      <c r="O35" s="10">
        <v>11.831200869999998</v>
      </c>
      <c r="P35" s="10">
        <v>0</v>
      </c>
      <c r="Q35" s="9">
        <f t="shared" si="7"/>
        <v>11.831200869999998</v>
      </c>
      <c r="R35" s="10">
        <v>9.5669963120000006</v>
      </c>
      <c r="S35" s="10">
        <v>0</v>
      </c>
      <c r="T35" s="9">
        <f t="shared" si="8"/>
        <v>9.5669963120000006</v>
      </c>
      <c r="U35" s="10">
        <v>8.249945039</v>
      </c>
      <c r="V35" s="10">
        <v>0</v>
      </c>
      <c r="W35" s="9">
        <f t="shared" si="9"/>
        <v>8.249945039</v>
      </c>
      <c r="X35" s="10">
        <v>9.5900635409999992</v>
      </c>
      <c r="Y35" s="10">
        <v>0</v>
      </c>
      <c r="Z35" s="9">
        <f t="shared" si="10"/>
        <v>9.5900635409999992</v>
      </c>
      <c r="AA35" s="10">
        <v>9.4133560660000004</v>
      </c>
      <c r="AB35" s="10">
        <v>0</v>
      </c>
      <c r="AC35" s="9">
        <f t="shared" si="11"/>
        <v>9.4133560660000004</v>
      </c>
      <c r="AD35" s="10">
        <v>11.964577484000001</v>
      </c>
      <c r="AE35" s="10">
        <v>0</v>
      </c>
      <c r="AF35" s="9">
        <f t="shared" si="12"/>
        <v>11.964577484000001</v>
      </c>
      <c r="AG35" s="10">
        <v>10.282426040000001</v>
      </c>
      <c r="AH35" s="10">
        <v>0</v>
      </c>
      <c r="AI35" s="9">
        <f t="shared" si="13"/>
        <v>10.282426040000001</v>
      </c>
      <c r="AJ35" s="10">
        <v>11.156341727000001</v>
      </c>
      <c r="AK35" s="10">
        <v>0</v>
      </c>
      <c r="AL35" s="9">
        <f t="shared" si="14"/>
        <v>11.156341727000001</v>
      </c>
      <c r="AM35" s="10">
        <v>9.6241000319999994</v>
      </c>
      <c r="AN35" s="10">
        <v>0</v>
      </c>
      <c r="AO35" s="9">
        <f t="shared" si="15"/>
        <v>9.6241000319999994</v>
      </c>
    </row>
    <row r="36" spans="1:41" x14ac:dyDescent="0.3">
      <c r="A36" s="4">
        <v>32</v>
      </c>
      <c r="B36" s="2" t="s">
        <v>27</v>
      </c>
      <c r="C36" s="8">
        <f t="shared" si="1"/>
        <v>17887.755234207001</v>
      </c>
      <c r="D36" s="8">
        <f t="shared" si="2"/>
        <v>0</v>
      </c>
      <c r="E36" s="8">
        <f t="shared" si="3"/>
        <v>17887.755234207001</v>
      </c>
      <c r="F36" s="9">
        <v>1593.7685601539999</v>
      </c>
      <c r="G36" s="9">
        <v>0</v>
      </c>
      <c r="H36" s="9">
        <f t="shared" si="4"/>
        <v>1593.7685601539999</v>
      </c>
      <c r="I36" s="9">
        <v>1287.8813828450002</v>
      </c>
      <c r="J36" s="10">
        <v>0</v>
      </c>
      <c r="K36" s="9">
        <f t="shared" si="5"/>
        <v>1287.8813828450002</v>
      </c>
      <c r="L36" s="13">
        <v>1462.36</v>
      </c>
      <c r="M36" s="10">
        <v>0</v>
      </c>
      <c r="N36" s="9">
        <f t="shared" si="6"/>
        <v>1462.36</v>
      </c>
      <c r="O36" s="10">
        <v>1413.51941665</v>
      </c>
      <c r="P36" s="10">
        <v>0</v>
      </c>
      <c r="Q36" s="9">
        <f t="shared" si="7"/>
        <v>1413.51941665</v>
      </c>
      <c r="R36" s="10">
        <v>1461.272530403</v>
      </c>
      <c r="S36" s="10">
        <v>0</v>
      </c>
      <c r="T36" s="9">
        <f t="shared" si="8"/>
        <v>1461.272530403</v>
      </c>
      <c r="U36" s="10">
        <v>1653.806448968</v>
      </c>
      <c r="V36" s="10">
        <v>0</v>
      </c>
      <c r="W36" s="9">
        <f t="shared" si="9"/>
        <v>1653.806448968</v>
      </c>
      <c r="X36" s="10">
        <v>1644.063238796</v>
      </c>
      <c r="Y36" s="10">
        <v>0</v>
      </c>
      <c r="Z36" s="9">
        <f t="shared" si="10"/>
        <v>1644.063238796</v>
      </c>
      <c r="AA36" s="10">
        <v>1532.3358645759997</v>
      </c>
      <c r="AB36" s="10">
        <v>0</v>
      </c>
      <c r="AC36" s="9">
        <f t="shared" si="11"/>
        <v>1532.3358645759997</v>
      </c>
      <c r="AD36" s="10">
        <v>1365.5029762060001</v>
      </c>
      <c r="AE36" s="10">
        <v>0</v>
      </c>
      <c r="AF36" s="9">
        <f t="shared" si="12"/>
        <v>1365.5029762060001</v>
      </c>
      <c r="AG36" s="10">
        <v>1447.7027493799999</v>
      </c>
      <c r="AH36" s="10">
        <v>0</v>
      </c>
      <c r="AI36" s="9">
        <f t="shared" si="13"/>
        <v>1447.7027493799999</v>
      </c>
      <c r="AJ36" s="10">
        <v>1559.5464803289999</v>
      </c>
      <c r="AK36" s="10">
        <v>0</v>
      </c>
      <c r="AL36" s="9">
        <f t="shared" si="14"/>
        <v>1559.5464803289999</v>
      </c>
      <c r="AM36" s="10">
        <v>1465.9955859000002</v>
      </c>
      <c r="AN36" s="10">
        <v>0</v>
      </c>
      <c r="AO36" s="9">
        <f t="shared" si="15"/>
        <v>1465.9955859000002</v>
      </c>
    </row>
    <row r="37" spans="1:41" x14ac:dyDescent="0.3">
      <c r="A37" s="4">
        <v>33</v>
      </c>
      <c r="B37" s="2" t="s">
        <v>28</v>
      </c>
      <c r="C37" s="8">
        <f t="shared" si="1"/>
        <v>29537.946933514999</v>
      </c>
      <c r="D37" s="8">
        <f t="shared" si="2"/>
        <v>0</v>
      </c>
      <c r="E37" s="8">
        <f t="shared" si="3"/>
        <v>29537.946933514999</v>
      </c>
      <c r="F37" s="9">
        <v>2593.1945104299998</v>
      </c>
      <c r="G37" s="9">
        <v>0</v>
      </c>
      <c r="H37" s="9">
        <f t="shared" si="4"/>
        <v>2593.1945104299998</v>
      </c>
      <c r="I37" s="9">
        <v>2484.1095139059998</v>
      </c>
      <c r="J37" s="10">
        <v>0</v>
      </c>
      <c r="K37" s="9">
        <f t="shared" si="5"/>
        <v>2484.1095139059998</v>
      </c>
      <c r="L37" s="13">
        <v>2159.92</v>
      </c>
      <c r="M37" s="10">
        <v>0</v>
      </c>
      <c r="N37" s="9">
        <f t="shared" si="6"/>
        <v>2159.92</v>
      </c>
      <c r="O37" s="10">
        <v>2851.7255779369993</v>
      </c>
      <c r="P37" s="10">
        <v>0</v>
      </c>
      <c r="Q37" s="9">
        <f t="shared" si="7"/>
        <v>2851.7255779369993</v>
      </c>
      <c r="R37" s="10">
        <v>2714.390211848</v>
      </c>
      <c r="S37" s="10">
        <v>0</v>
      </c>
      <c r="T37" s="9">
        <f t="shared" si="8"/>
        <v>2714.390211848</v>
      </c>
      <c r="U37" s="10">
        <v>2507.2272574210001</v>
      </c>
      <c r="V37" s="10">
        <v>0</v>
      </c>
      <c r="W37" s="9">
        <f t="shared" si="9"/>
        <v>2507.2272574210001</v>
      </c>
      <c r="X37" s="10">
        <v>3073.8531329739994</v>
      </c>
      <c r="Y37" s="10">
        <v>0</v>
      </c>
      <c r="Z37" s="9">
        <f t="shared" si="10"/>
        <v>3073.8531329739994</v>
      </c>
      <c r="AA37" s="10">
        <v>2763.1581223760004</v>
      </c>
      <c r="AB37" s="10">
        <v>0</v>
      </c>
      <c r="AC37" s="9">
        <f t="shared" si="11"/>
        <v>2763.1581223760004</v>
      </c>
      <c r="AD37" s="10">
        <v>1848.688708057</v>
      </c>
      <c r="AE37" s="10">
        <v>0</v>
      </c>
      <c r="AF37" s="9">
        <f t="shared" si="12"/>
        <v>1848.688708057</v>
      </c>
      <c r="AG37" s="10">
        <v>2478.1261259610001</v>
      </c>
      <c r="AH37" s="10">
        <v>0</v>
      </c>
      <c r="AI37" s="9">
        <f t="shared" si="13"/>
        <v>2478.1261259610001</v>
      </c>
      <c r="AJ37" s="10">
        <v>1865.3462310350003</v>
      </c>
      <c r="AK37" s="10">
        <v>0</v>
      </c>
      <c r="AL37" s="9">
        <f t="shared" si="14"/>
        <v>1865.3462310350003</v>
      </c>
      <c r="AM37" s="10">
        <v>2198.2075415700001</v>
      </c>
      <c r="AN37" s="10">
        <v>0</v>
      </c>
      <c r="AO37" s="9">
        <f t="shared" si="15"/>
        <v>2198.2075415700001</v>
      </c>
    </row>
    <row r="38" spans="1:41" x14ac:dyDescent="0.3">
      <c r="A38" s="4">
        <v>34</v>
      </c>
      <c r="B38" s="2" t="s">
        <v>29</v>
      </c>
      <c r="C38" s="8">
        <f t="shared" si="1"/>
        <v>956.08997101099976</v>
      </c>
      <c r="D38" s="8">
        <f t="shared" si="2"/>
        <v>0</v>
      </c>
      <c r="E38" s="8">
        <f t="shared" si="3"/>
        <v>956.08997101099976</v>
      </c>
      <c r="F38" s="9">
        <v>75.310823267999993</v>
      </c>
      <c r="G38" s="9">
        <v>0</v>
      </c>
      <c r="H38" s="9">
        <f t="shared" si="4"/>
        <v>75.310823267999993</v>
      </c>
      <c r="I38" s="9">
        <v>65.031385254999989</v>
      </c>
      <c r="J38" s="10">
        <v>0</v>
      </c>
      <c r="K38" s="9">
        <f t="shared" si="5"/>
        <v>65.031385254999989</v>
      </c>
      <c r="L38" s="13">
        <v>80.5</v>
      </c>
      <c r="M38" s="10">
        <v>0</v>
      </c>
      <c r="N38" s="9">
        <f t="shared" si="6"/>
        <v>80.5</v>
      </c>
      <c r="O38" s="10">
        <v>74.401629741999997</v>
      </c>
      <c r="P38" s="10">
        <v>0</v>
      </c>
      <c r="Q38" s="9">
        <f t="shared" si="7"/>
        <v>74.401629741999997</v>
      </c>
      <c r="R38" s="10">
        <v>78.652799799000007</v>
      </c>
      <c r="S38" s="10">
        <v>0</v>
      </c>
      <c r="T38" s="9">
        <f t="shared" si="8"/>
        <v>78.652799799000007</v>
      </c>
      <c r="U38" s="10">
        <v>133.87990040399998</v>
      </c>
      <c r="V38" s="10">
        <v>0</v>
      </c>
      <c r="W38" s="9">
        <f t="shared" si="9"/>
        <v>133.87990040399998</v>
      </c>
      <c r="X38" s="10">
        <v>77.738677532000011</v>
      </c>
      <c r="Y38" s="10">
        <v>0</v>
      </c>
      <c r="Z38" s="9">
        <f t="shared" si="10"/>
        <v>77.738677532000011</v>
      </c>
      <c r="AA38" s="10">
        <v>93.75429951400001</v>
      </c>
      <c r="AB38" s="10">
        <v>0</v>
      </c>
      <c r="AC38" s="9">
        <f t="shared" si="11"/>
        <v>93.75429951400001</v>
      </c>
      <c r="AD38" s="10">
        <v>57.152638241999995</v>
      </c>
      <c r="AE38" s="10">
        <v>0</v>
      </c>
      <c r="AF38" s="9">
        <f t="shared" si="12"/>
        <v>57.152638241999995</v>
      </c>
      <c r="AG38" s="10">
        <v>76.336970430000008</v>
      </c>
      <c r="AH38" s="10">
        <v>0</v>
      </c>
      <c r="AI38" s="9">
        <f t="shared" si="13"/>
        <v>76.336970430000008</v>
      </c>
      <c r="AJ38" s="10">
        <v>74.374942276999988</v>
      </c>
      <c r="AK38" s="10">
        <v>0</v>
      </c>
      <c r="AL38" s="9">
        <f t="shared" si="14"/>
        <v>74.374942276999988</v>
      </c>
      <c r="AM38" s="10">
        <v>68.955904548000007</v>
      </c>
      <c r="AN38" s="10">
        <v>0</v>
      </c>
      <c r="AO38" s="9">
        <f t="shared" si="15"/>
        <v>68.955904548000007</v>
      </c>
    </row>
    <row r="39" spans="1:41" x14ac:dyDescent="0.3">
      <c r="A39" s="4">
        <v>35</v>
      </c>
      <c r="B39" s="2" t="s">
        <v>36</v>
      </c>
      <c r="C39" s="8">
        <f t="shared" si="1"/>
        <v>367.60305451099998</v>
      </c>
      <c r="D39" s="8">
        <f t="shared" si="2"/>
        <v>0</v>
      </c>
      <c r="E39" s="8">
        <f t="shared" si="3"/>
        <v>367.60305451099998</v>
      </c>
      <c r="F39" s="9">
        <v>56.478212778999996</v>
      </c>
      <c r="G39" s="9">
        <v>0</v>
      </c>
      <c r="H39" s="9">
        <f t="shared" si="4"/>
        <v>56.478212778999996</v>
      </c>
      <c r="I39" s="9">
        <v>25.807436785</v>
      </c>
      <c r="J39" s="10">
        <v>0</v>
      </c>
      <c r="K39" s="9">
        <f t="shared" si="5"/>
        <v>25.807436785</v>
      </c>
      <c r="L39" s="13">
        <v>26.39</v>
      </c>
      <c r="M39" s="10">
        <v>0</v>
      </c>
      <c r="N39" s="9">
        <f t="shared" si="6"/>
        <v>26.39</v>
      </c>
      <c r="O39" s="10">
        <v>28.184690628999995</v>
      </c>
      <c r="P39" s="10">
        <v>0</v>
      </c>
      <c r="Q39" s="9">
        <f t="shared" si="7"/>
        <v>28.184690628999995</v>
      </c>
      <c r="R39" s="10">
        <v>24.427072113000001</v>
      </c>
      <c r="S39" s="10">
        <v>0</v>
      </c>
      <c r="T39" s="9">
        <f t="shared" si="8"/>
        <v>24.427072113000001</v>
      </c>
      <c r="U39" s="10">
        <v>25.188868721999995</v>
      </c>
      <c r="V39" s="10">
        <v>0</v>
      </c>
      <c r="W39" s="9">
        <f t="shared" si="9"/>
        <v>25.188868721999995</v>
      </c>
      <c r="X39" s="10">
        <v>26.994069444000001</v>
      </c>
      <c r="Y39" s="10">
        <v>0</v>
      </c>
      <c r="Z39" s="9">
        <f t="shared" si="10"/>
        <v>26.994069444000001</v>
      </c>
      <c r="AA39" s="10">
        <v>24.575945728000001</v>
      </c>
      <c r="AB39" s="10">
        <v>0</v>
      </c>
      <c r="AC39" s="9">
        <f t="shared" si="11"/>
        <v>24.575945728000001</v>
      </c>
      <c r="AD39" s="10">
        <v>28.118211281000001</v>
      </c>
      <c r="AE39" s="10">
        <v>0</v>
      </c>
      <c r="AF39" s="9">
        <f t="shared" si="12"/>
        <v>28.118211281000001</v>
      </c>
      <c r="AG39" s="10">
        <v>32.290394737999996</v>
      </c>
      <c r="AH39" s="10">
        <v>0</v>
      </c>
      <c r="AI39" s="9">
        <f t="shared" si="13"/>
        <v>32.290394737999996</v>
      </c>
      <c r="AJ39" s="10">
        <v>37.285112046000002</v>
      </c>
      <c r="AK39" s="10">
        <v>0</v>
      </c>
      <c r="AL39" s="9">
        <f t="shared" si="14"/>
        <v>37.285112046000002</v>
      </c>
      <c r="AM39" s="10">
        <v>31.863040245999997</v>
      </c>
      <c r="AN39" s="10">
        <v>0</v>
      </c>
      <c r="AO39" s="9">
        <f t="shared" si="15"/>
        <v>31.863040245999997</v>
      </c>
    </row>
    <row r="40" spans="1:41" x14ac:dyDescent="0.3">
      <c r="A40" s="4">
        <v>36</v>
      </c>
      <c r="B40" s="2" t="s">
        <v>30</v>
      </c>
      <c r="C40" s="8">
        <f t="shared" si="1"/>
        <v>22733.003668284004</v>
      </c>
      <c r="D40" s="8">
        <f t="shared" si="2"/>
        <v>0</v>
      </c>
      <c r="E40" s="8">
        <f t="shared" si="3"/>
        <v>22733.003668284004</v>
      </c>
      <c r="F40" s="9">
        <v>1973.0021449869998</v>
      </c>
      <c r="G40" s="9">
        <v>0</v>
      </c>
      <c r="H40" s="9">
        <f t="shared" si="4"/>
        <v>1973.0021449869998</v>
      </c>
      <c r="I40" s="9">
        <v>1603.3898584879996</v>
      </c>
      <c r="J40" s="10">
        <v>0</v>
      </c>
      <c r="K40" s="9">
        <f t="shared" si="5"/>
        <v>1603.3898584879996</v>
      </c>
      <c r="L40" s="13">
        <v>1784.5</v>
      </c>
      <c r="M40" s="10">
        <v>0</v>
      </c>
      <c r="N40" s="9">
        <f t="shared" si="6"/>
        <v>1784.5</v>
      </c>
      <c r="O40" s="10">
        <v>1950.4593634139999</v>
      </c>
      <c r="P40" s="10">
        <v>0</v>
      </c>
      <c r="Q40" s="9">
        <f t="shared" si="7"/>
        <v>1950.4593634139999</v>
      </c>
      <c r="R40" s="10">
        <v>1916.2010087289998</v>
      </c>
      <c r="S40" s="10">
        <v>0</v>
      </c>
      <c r="T40" s="9">
        <f t="shared" si="8"/>
        <v>1916.2010087289998</v>
      </c>
      <c r="U40" s="10">
        <v>1878.0656476270003</v>
      </c>
      <c r="V40" s="10">
        <v>0</v>
      </c>
      <c r="W40" s="9">
        <f t="shared" si="9"/>
        <v>1878.0656476270003</v>
      </c>
      <c r="X40" s="10">
        <v>2110.9436778310001</v>
      </c>
      <c r="Y40" s="10">
        <v>0</v>
      </c>
      <c r="Z40" s="9">
        <f t="shared" si="10"/>
        <v>2110.9436778310001</v>
      </c>
      <c r="AA40" s="10">
        <v>2110.5654469809997</v>
      </c>
      <c r="AB40" s="10">
        <v>0</v>
      </c>
      <c r="AC40" s="9">
        <f t="shared" si="11"/>
        <v>2110.5654469809997</v>
      </c>
      <c r="AD40" s="10">
        <v>1650.8183956930002</v>
      </c>
      <c r="AE40" s="10">
        <v>0</v>
      </c>
      <c r="AF40" s="9">
        <f t="shared" si="12"/>
        <v>1650.8183956930002</v>
      </c>
      <c r="AG40" s="10">
        <v>2020.8283848919998</v>
      </c>
      <c r="AH40" s="10">
        <v>0</v>
      </c>
      <c r="AI40" s="9">
        <f t="shared" si="13"/>
        <v>2020.8283848919998</v>
      </c>
      <c r="AJ40" s="10">
        <v>1870.7991319299999</v>
      </c>
      <c r="AK40" s="10">
        <v>0</v>
      </c>
      <c r="AL40" s="9">
        <f t="shared" si="14"/>
        <v>1870.7991319299999</v>
      </c>
      <c r="AM40" s="10">
        <v>1863.4306077120002</v>
      </c>
      <c r="AN40" s="10">
        <v>0</v>
      </c>
      <c r="AO40" s="9">
        <f t="shared" si="15"/>
        <v>1863.4306077120002</v>
      </c>
    </row>
    <row r="41" spans="1:41" x14ac:dyDescent="0.3">
      <c r="A41" s="4">
        <v>37</v>
      </c>
      <c r="B41" s="2" t="s">
        <v>31</v>
      </c>
      <c r="C41" s="8">
        <f t="shared" si="1"/>
        <v>18813.463342284998</v>
      </c>
      <c r="D41" s="8">
        <f t="shared" si="2"/>
        <v>0</v>
      </c>
      <c r="E41" s="8">
        <f t="shared" si="3"/>
        <v>18813.463342284998</v>
      </c>
      <c r="F41" s="9">
        <v>1930.9460219080001</v>
      </c>
      <c r="G41" s="9">
        <v>0</v>
      </c>
      <c r="H41" s="9">
        <f t="shared" si="4"/>
        <v>1930.9460219080001</v>
      </c>
      <c r="I41" s="9">
        <v>1356.979166395</v>
      </c>
      <c r="J41" s="10">
        <v>0</v>
      </c>
      <c r="K41" s="9">
        <f t="shared" si="5"/>
        <v>1356.979166395</v>
      </c>
      <c r="L41" s="13">
        <v>1268.83</v>
      </c>
      <c r="M41" s="10">
        <v>0</v>
      </c>
      <c r="N41" s="9">
        <f t="shared" si="6"/>
        <v>1268.83</v>
      </c>
      <c r="O41" s="10">
        <v>1539.0238977239999</v>
      </c>
      <c r="P41" s="10">
        <v>0</v>
      </c>
      <c r="Q41" s="9">
        <f t="shared" si="7"/>
        <v>1539.0238977239999</v>
      </c>
      <c r="R41" s="10">
        <v>1554.5392256540001</v>
      </c>
      <c r="S41" s="10">
        <v>0</v>
      </c>
      <c r="T41" s="9">
        <f t="shared" si="8"/>
        <v>1554.5392256540001</v>
      </c>
      <c r="U41" s="10">
        <v>1502.0091908680001</v>
      </c>
      <c r="V41" s="10">
        <v>0</v>
      </c>
      <c r="W41" s="9">
        <f t="shared" si="9"/>
        <v>1502.0091908680001</v>
      </c>
      <c r="X41" s="10">
        <v>1602.8042200090001</v>
      </c>
      <c r="Y41" s="10">
        <v>0</v>
      </c>
      <c r="Z41" s="9">
        <f t="shared" si="10"/>
        <v>1602.8042200090001</v>
      </c>
      <c r="AA41" s="10">
        <v>1630.0967031769999</v>
      </c>
      <c r="AB41" s="10">
        <v>0</v>
      </c>
      <c r="AC41" s="9">
        <f t="shared" si="11"/>
        <v>1630.0967031769999</v>
      </c>
      <c r="AD41" s="10">
        <v>1430.7231331130001</v>
      </c>
      <c r="AE41" s="10">
        <v>0</v>
      </c>
      <c r="AF41" s="9">
        <f t="shared" si="12"/>
        <v>1430.7231331130001</v>
      </c>
      <c r="AG41" s="10">
        <v>1694.428431129</v>
      </c>
      <c r="AH41" s="10">
        <v>0</v>
      </c>
      <c r="AI41" s="9">
        <f t="shared" si="13"/>
        <v>1694.428431129</v>
      </c>
      <c r="AJ41" s="10">
        <v>1687.636414541</v>
      </c>
      <c r="AK41" s="10">
        <v>0</v>
      </c>
      <c r="AL41" s="9">
        <f t="shared" si="14"/>
        <v>1687.636414541</v>
      </c>
      <c r="AM41" s="10">
        <v>1615.4469377670002</v>
      </c>
      <c r="AN41" s="10">
        <v>0</v>
      </c>
      <c r="AO41" s="9">
        <f t="shared" si="15"/>
        <v>1615.4469377670002</v>
      </c>
    </row>
    <row r="42" spans="1:41" x14ac:dyDescent="0.3">
      <c r="A42" s="4">
        <v>38</v>
      </c>
      <c r="B42" s="2" t="s">
        <v>38</v>
      </c>
      <c r="C42" s="8">
        <f t="shared" si="1"/>
        <v>464.20261664999998</v>
      </c>
      <c r="D42" s="8">
        <f t="shared" si="2"/>
        <v>0</v>
      </c>
      <c r="E42" s="8">
        <f t="shared" si="3"/>
        <v>464.20261664999998</v>
      </c>
      <c r="F42" s="9">
        <v>25.165528669</v>
      </c>
      <c r="G42" s="9">
        <v>0</v>
      </c>
      <c r="H42" s="9">
        <f t="shared" si="4"/>
        <v>25.165528669</v>
      </c>
      <c r="I42" s="9">
        <v>16.579622262000001</v>
      </c>
      <c r="J42" s="10">
        <v>0</v>
      </c>
      <c r="K42" s="9">
        <f t="shared" si="5"/>
        <v>16.579622262000001</v>
      </c>
      <c r="L42" s="13">
        <v>34.08</v>
      </c>
      <c r="M42" s="10">
        <v>0</v>
      </c>
      <c r="N42" s="9">
        <f t="shared" si="6"/>
        <v>34.08</v>
      </c>
      <c r="O42" s="10">
        <v>52.415102591</v>
      </c>
      <c r="P42" s="10">
        <v>0</v>
      </c>
      <c r="Q42" s="9">
        <f t="shared" si="7"/>
        <v>52.415102591</v>
      </c>
      <c r="R42" s="10">
        <v>52.385856069999996</v>
      </c>
      <c r="S42" s="10">
        <v>0</v>
      </c>
      <c r="T42" s="9">
        <f t="shared" si="8"/>
        <v>52.385856069999996</v>
      </c>
      <c r="U42" s="10">
        <v>51.390439399000002</v>
      </c>
      <c r="V42" s="10">
        <v>0</v>
      </c>
      <c r="W42" s="9">
        <f t="shared" si="9"/>
        <v>51.390439399000002</v>
      </c>
      <c r="X42" s="10">
        <v>67.950346048</v>
      </c>
      <c r="Y42" s="10">
        <v>0</v>
      </c>
      <c r="Z42" s="9">
        <f t="shared" si="10"/>
        <v>67.950346048</v>
      </c>
      <c r="AA42" s="10">
        <v>51.449147061999994</v>
      </c>
      <c r="AB42" s="10">
        <v>0</v>
      </c>
      <c r="AC42" s="9">
        <f t="shared" si="11"/>
        <v>51.449147061999994</v>
      </c>
      <c r="AD42" s="10">
        <v>36.815392027999998</v>
      </c>
      <c r="AE42" s="10">
        <v>0</v>
      </c>
      <c r="AF42" s="9">
        <f t="shared" si="12"/>
        <v>36.815392027999998</v>
      </c>
      <c r="AG42" s="10">
        <v>38.856186644999994</v>
      </c>
      <c r="AH42" s="10">
        <v>0</v>
      </c>
      <c r="AI42" s="9">
        <f t="shared" si="13"/>
        <v>38.856186644999994</v>
      </c>
      <c r="AJ42" s="10">
        <v>18.637651848999997</v>
      </c>
      <c r="AK42" s="10">
        <v>0</v>
      </c>
      <c r="AL42" s="9">
        <f t="shared" si="14"/>
        <v>18.637651848999997</v>
      </c>
      <c r="AM42" s="10">
        <v>18.477344027000001</v>
      </c>
      <c r="AN42" s="10">
        <v>0</v>
      </c>
      <c r="AO42" s="9">
        <f t="shared" si="15"/>
        <v>18.477344027000001</v>
      </c>
    </row>
    <row r="43" spans="1:41" x14ac:dyDescent="0.3">
      <c r="A43" s="4">
        <v>97</v>
      </c>
      <c r="B43" s="2" t="s">
        <v>32</v>
      </c>
      <c r="C43" s="8">
        <f t="shared" si="1"/>
        <v>727.31015789700007</v>
      </c>
      <c r="D43" s="8">
        <f t="shared" si="2"/>
        <v>0</v>
      </c>
      <c r="E43" s="8">
        <f t="shared" si="3"/>
        <v>727.31015789700007</v>
      </c>
      <c r="F43" s="9">
        <v>60.791831113000001</v>
      </c>
      <c r="G43" s="9">
        <v>0</v>
      </c>
      <c r="H43" s="9">
        <f t="shared" si="4"/>
        <v>60.791831113000001</v>
      </c>
      <c r="I43" s="9">
        <v>49.264260789999994</v>
      </c>
      <c r="J43" s="10">
        <v>0</v>
      </c>
      <c r="K43" s="9">
        <f t="shared" si="5"/>
        <v>49.264260789999994</v>
      </c>
      <c r="L43" s="13">
        <v>47.54</v>
      </c>
      <c r="M43" s="10">
        <v>0</v>
      </c>
      <c r="N43" s="9">
        <f t="shared" si="6"/>
        <v>47.54</v>
      </c>
      <c r="O43" s="10">
        <v>80.878043476000002</v>
      </c>
      <c r="P43" s="10">
        <v>0</v>
      </c>
      <c r="Q43" s="9">
        <f t="shared" si="7"/>
        <v>80.878043476000002</v>
      </c>
      <c r="R43" s="10">
        <v>53.214775441999997</v>
      </c>
      <c r="S43" s="10">
        <v>0</v>
      </c>
      <c r="T43" s="9">
        <f t="shared" si="8"/>
        <v>53.214775441999997</v>
      </c>
      <c r="U43" s="10">
        <v>51.559430051999996</v>
      </c>
      <c r="V43" s="10">
        <v>0</v>
      </c>
      <c r="W43" s="9">
        <f t="shared" si="9"/>
        <v>51.559430051999996</v>
      </c>
      <c r="X43" s="10">
        <v>48.113749001000002</v>
      </c>
      <c r="Y43" s="10">
        <v>0</v>
      </c>
      <c r="Z43" s="9">
        <f t="shared" si="10"/>
        <v>48.113749001000002</v>
      </c>
      <c r="AA43" s="10">
        <v>37.994998942999999</v>
      </c>
      <c r="AB43" s="10">
        <v>0</v>
      </c>
      <c r="AC43" s="9">
        <f t="shared" si="11"/>
        <v>37.994998942999999</v>
      </c>
      <c r="AD43" s="10">
        <v>54.189774573999998</v>
      </c>
      <c r="AE43" s="10">
        <v>0</v>
      </c>
      <c r="AF43" s="9">
        <f t="shared" si="12"/>
        <v>54.189774573999998</v>
      </c>
      <c r="AG43" s="10">
        <v>79.618696233000009</v>
      </c>
      <c r="AH43" s="10">
        <v>0</v>
      </c>
      <c r="AI43" s="9">
        <f t="shared" si="13"/>
        <v>79.618696233000009</v>
      </c>
      <c r="AJ43" s="10">
        <v>78.637020824000004</v>
      </c>
      <c r="AK43" s="10">
        <v>0</v>
      </c>
      <c r="AL43" s="9">
        <f t="shared" si="14"/>
        <v>78.637020824000004</v>
      </c>
      <c r="AM43" s="10">
        <v>85.507577448999996</v>
      </c>
      <c r="AN43" s="10">
        <v>0</v>
      </c>
      <c r="AO43" s="9">
        <f t="shared" si="15"/>
        <v>85.507577448999996</v>
      </c>
    </row>
    <row r="44" spans="1:41" x14ac:dyDescent="0.3">
      <c r="A44" s="5"/>
      <c r="B44" s="6" t="s">
        <v>46</v>
      </c>
      <c r="C44" s="11">
        <f>SUM(C6:C43)</f>
        <v>457405.90093078796</v>
      </c>
      <c r="D44" s="11">
        <f t="shared" ref="D44" si="16">SUM(D6:D43)</f>
        <v>0</v>
      </c>
      <c r="E44" s="11">
        <f>SUM(E6:E43)</f>
        <v>457405.90093078796</v>
      </c>
      <c r="F44" s="11">
        <f t="shared" ref="F44:N44" si="17">SUM(F6:F43)</f>
        <v>41599.741324936003</v>
      </c>
      <c r="G44" s="11">
        <f t="shared" si="17"/>
        <v>0</v>
      </c>
      <c r="H44" s="11">
        <f t="shared" si="17"/>
        <v>41599.741324936003</v>
      </c>
      <c r="I44" s="11">
        <f t="shared" si="17"/>
        <v>32733.396355913996</v>
      </c>
      <c r="J44" s="11">
        <f t="shared" si="17"/>
        <v>0</v>
      </c>
      <c r="K44" s="11">
        <f t="shared" si="17"/>
        <v>32733.396355913996</v>
      </c>
      <c r="L44" s="11">
        <f t="shared" si="17"/>
        <v>33548.15</v>
      </c>
      <c r="M44" s="14">
        <f t="shared" si="17"/>
        <v>0</v>
      </c>
      <c r="N44" s="11">
        <f t="shared" si="17"/>
        <v>33548.15</v>
      </c>
      <c r="O44" s="11">
        <v>37820.247442043998</v>
      </c>
      <c r="P44" s="14">
        <f t="shared" ref="P44:R44" si="18">SUM(P6:P43)</f>
        <v>0</v>
      </c>
      <c r="Q44" s="11">
        <f t="shared" si="18"/>
        <v>37820.247442044005</v>
      </c>
      <c r="R44" s="11">
        <f t="shared" si="18"/>
        <v>36947.275323973998</v>
      </c>
      <c r="S44" s="14">
        <f t="shared" ref="S44" si="19">SUM(S6:S43)</f>
        <v>0</v>
      </c>
      <c r="T44" s="11">
        <f t="shared" ref="T44:AB44" si="20">SUM(T6:T43)</f>
        <v>36947.275323973998</v>
      </c>
      <c r="U44" s="11">
        <f t="shared" ref="U44:Z44" si="21">SUM(U6:U43)</f>
        <v>35644.478850745996</v>
      </c>
      <c r="V44" s="14">
        <f t="shared" si="21"/>
        <v>0</v>
      </c>
      <c r="W44" s="11">
        <f t="shared" si="21"/>
        <v>35644.478850745996</v>
      </c>
      <c r="X44" s="11">
        <f t="shared" si="21"/>
        <v>42568.232824931001</v>
      </c>
      <c r="Y44" s="14">
        <f t="shared" si="21"/>
        <v>0</v>
      </c>
      <c r="Z44" s="11">
        <f t="shared" si="21"/>
        <v>42568.232824931001</v>
      </c>
      <c r="AA44" s="11">
        <f t="shared" si="20"/>
        <v>43790.513359043005</v>
      </c>
      <c r="AB44" s="14">
        <f t="shared" si="20"/>
        <v>0</v>
      </c>
      <c r="AC44" s="11">
        <f t="shared" ref="AC44:AE44" si="22">SUM(AC6:AC43)</f>
        <v>43790.513359043005</v>
      </c>
      <c r="AD44" s="11">
        <f t="shared" si="22"/>
        <v>34856.026197082007</v>
      </c>
      <c r="AE44" s="14">
        <f t="shared" si="22"/>
        <v>0</v>
      </c>
      <c r="AF44" s="11">
        <f t="shared" ref="AF44:AH44" si="23">SUM(AF6:AF43)</f>
        <v>34856.026197082007</v>
      </c>
      <c r="AG44" s="11">
        <f t="shared" si="23"/>
        <v>41446.050231221991</v>
      </c>
      <c r="AH44" s="14">
        <f t="shared" si="23"/>
        <v>0</v>
      </c>
      <c r="AI44" s="11">
        <f t="shared" ref="AI44:AK44" si="24">SUM(AI6:AI43)</f>
        <v>41446.050231221991</v>
      </c>
      <c r="AJ44" s="11">
        <f t="shared" si="24"/>
        <v>39635.450793886994</v>
      </c>
      <c r="AK44" s="14">
        <f t="shared" si="24"/>
        <v>0</v>
      </c>
      <c r="AL44" s="11">
        <f t="shared" ref="AL44:AN44" si="25">SUM(AL6:AL43)</f>
        <v>39635.450793886994</v>
      </c>
      <c r="AM44" s="11">
        <f t="shared" si="25"/>
        <v>36816.338227009001</v>
      </c>
      <c r="AN44" s="14">
        <f t="shared" si="25"/>
        <v>0</v>
      </c>
      <c r="AO44" s="11">
        <f t="shared" ref="AO44" si="26">SUM(AO6:AO43)</f>
        <v>36816.338227009001</v>
      </c>
    </row>
  </sheetData>
  <mergeCells count="15">
    <mergeCell ref="AM4:AO4"/>
    <mergeCell ref="AJ4:AL4"/>
    <mergeCell ref="A1:C1"/>
    <mergeCell ref="A3:B3"/>
    <mergeCell ref="F4:H4"/>
    <mergeCell ref="I4:K4"/>
    <mergeCell ref="C4:E4"/>
    <mergeCell ref="AG4:AI4"/>
    <mergeCell ref="AD4:AF4"/>
    <mergeCell ref="AA4:AC4"/>
    <mergeCell ref="R4:T4"/>
    <mergeCell ref="L4:N4"/>
    <mergeCell ref="O4:Q4"/>
    <mergeCell ref="U4:W4"/>
    <mergeCell ref="X4:Z4"/>
  </mergeCells>
  <pageMargins left="0.23622047244094491" right="0.23622047244094491" top="0.74803149606299213" bottom="0.7480314960629921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Settlement_2024-25</vt:lpstr>
      <vt:lpstr>'Settlement_2024-25'!Print_Titles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Krishan Pal Singh</cp:lastModifiedBy>
  <cp:revision/>
  <cp:lastPrinted>2024-02-29T07:41:23Z</cp:lastPrinted>
  <dcterms:created xsi:type="dcterms:W3CDTF">2019-11-01T02:37:37Z</dcterms:created>
  <dcterms:modified xsi:type="dcterms:W3CDTF">2025-12-26T07:00:39Z</dcterms:modified>
  <cp:category/>
  <dc:identifier/>
  <cp:contentStatus/>
  <dc:language/>
  <cp:version/>
</cp:coreProperties>
</file>