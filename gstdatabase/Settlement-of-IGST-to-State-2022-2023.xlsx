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 24\GST Statistics Downloads 31ts Jul 24\Downloads\New Settlement\"/>
    </mc:Choice>
  </mc:AlternateContent>
  <xr:revisionPtr revIDLastSave="0" documentId="13_ncr:1_{96BAB54C-B7B8-45FA-B1A4-72D01325F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_2022-2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4" i="7" l="1"/>
  <c r="AO43" i="7"/>
  <c r="AO42" i="7"/>
  <c r="AO41" i="7"/>
  <c r="AO40" i="7"/>
  <c r="AO39" i="7"/>
  <c r="AO38" i="7"/>
  <c r="AO37" i="7"/>
  <c r="AO36" i="7"/>
  <c r="AO35" i="7"/>
  <c r="AO34" i="7"/>
  <c r="AO33" i="7"/>
  <c r="AO32" i="7"/>
  <c r="AO31" i="7"/>
  <c r="AO30" i="7"/>
  <c r="AO29" i="7"/>
  <c r="AO28" i="7"/>
  <c r="AO27" i="7"/>
  <c r="AO26" i="7"/>
  <c r="AO25" i="7"/>
  <c r="AO24" i="7"/>
  <c r="AO23" i="7"/>
  <c r="AO22" i="7"/>
  <c r="AO21" i="7"/>
  <c r="AO20" i="7"/>
  <c r="AO19" i="7"/>
  <c r="AO18" i="7"/>
  <c r="AO17" i="7"/>
  <c r="AO16" i="7"/>
  <c r="AO15" i="7"/>
  <c r="AO14" i="7"/>
  <c r="AO13" i="7"/>
  <c r="AO12" i="7"/>
  <c r="AO11" i="7"/>
  <c r="AO10" i="7"/>
  <c r="AO9" i="7"/>
  <c r="AO8" i="7"/>
  <c r="AO7" i="7"/>
  <c r="AO45" i="7" s="1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45" i="7" s="1"/>
  <c r="AL8" i="7"/>
  <c r="AL7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45" i="7" s="1"/>
  <c r="AF7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45" i="7" s="1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45" i="7" s="1"/>
  <c r="Z8" i="7"/>
  <c r="Z7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45" i="7" s="1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45" i="7" s="1"/>
  <c r="T7" i="7"/>
  <c r="Q44" i="7"/>
  <c r="Q43" i="7"/>
  <c r="Q42" i="7"/>
  <c r="Q41" i="7"/>
  <c r="Q40" i="7"/>
  <c r="E40" i="7" s="1"/>
  <c r="Q39" i="7"/>
  <c r="Q38" i="7"/>
  <c r="E38" i="7" s="1"/>
  <c r="Q37" i="7"/>
  <c r="Q36" i="7"/>
  <c r="Q35" i="7"/>
  <c r="Q34" i="7"/>
  <c r="Q33" i="7"/>
  <c r="Q32" i="7"/>
  <c r="E32" i="7" s="1"/>
  <c r="Q31" i="7"/>
  <c r="Q30" i="7"/>
  <c r="E30" i="7" s="1"/>
  <c r="Q29" i="7"/>
  <c r="Q28" i="7"/>
  <c r="Q27" i="7"/>
  <c r="Q26" i="7"/>
  <c r="Q25" i="7"/>
  <c r="Q24" i="7"/>
  <c r="E24" i="7" s="1"/>
  <c r="Q23" i="7"/>
  <c r="Q22" i="7"/>
  <c r="E22" i="7" s="1"/>
  <c r="Q21" i="7"/>
  <c r="Q20" i="7"/>
  <c r="Q19" i="7"/>
  <c r="Q18" i="7"/>
  <c r="Q17" i="7"/>
  <c r="Q16" i="7"/>
  <c r="E16" i="7" s="1"/>
  <c r="Q15" i="7"/>
  <c r="Q14" i="7"/>
  <c r="E14" i="7" s="1"/>
  <c r="Q13" i="7"/>
  <c r="Q12" i="7"/>
  <c r="Q11" i="7"/>
  <c r="Q10" i="7"/>
  <c r="Q9" i="7"/>
  <c r="Q8" i="7"/>
  <c r="E8" i="7" s="1"/>
  <c r="Q7" i="7"/>
  <c r="Q45" i="7" s="1"/>
  <c r="N44" i="7"/>
  <c r="N43" i="7"/>
  <c r="N42" i="7"/>
  <c r="N41" i="7"/>
  <c r="N40" i="7"/>
  <c r="N39" i="7"/>
  <c r="N38" i="7"/>
  <c r="N37" i="7"/>
  <c r="E37" i="7" s="1"/>
  <c r="N36" i="7"/>
  <c r="N35" i="7"/>
  <c r="N34" i="7"/>
  <c r="N33" i="7"/>
  <c r="E33" i="7" s="1"/>
  <c r="N32" i="7"/>
  <c r="N31" i="7"/>
  <c r="N30" i="7"/>
  <c r="N29" i="7"/>
  <c r="E29" i="7" s="1"/>
  <c r="N28" i="7"/>
  <c r="N27" i="7"/>
  <c r="N26" i="7"/>
  <c r="N25" i="7"/>
  <c r="E25" i="7" s="1"/>
  <c r="N24" i="7"/>
  <c r="N23" i="7"/>
  <c r="N22" i="7"/>
  <c r="N21" i="7"/>
  <c r="E21" i="7" s="1"/>
  <c r="N20" i="7"/>
  <c r="N19" i="7"/>
  <c r="N18" i="7"/>
  <c r="N17" i="7"/>
  <c r="E17" i="7" s="1"/>
  <c r="N16" i="7"/>
  <c r="N15" i="7"/>
  <c r="N14" i="7"/>
  <c r="N13" i="7"/>
  <c r="E13" i="7" s="1"/>
  <c r="N12" i="7"/>
  <c r="N11" i="7"/>
  <c r="N10" i="7"/>
  <c r="N9" i="7"/>
  <c r="E9" i="7" s="1"/>
  <c r="N8" i="7"/>
  <c r="N7" i="7"/>
  <c r="K44" i="7"/>
  <c r="E44" i="7" s="1"/>
  <c r="K43" i="7"/>
  <c r="E43" i="7" s="1"/>
  <c r="K42" i="7"/>
  <c r="K41" i="7"/>
  <c r="K40" i="7"/>
  <c r="K39" i="7"/>
  <c r="K38" i="7"/>
  <c r="K37" i="7"/>
  <c r="K36" i="7"/>
  <c r="E36" i="7" s="1"/>
  <c r="K35" i="7"/>
  <c r="E35" i="7" s="1"/>
  <c r="K34" i="7"/>
  <c r="E34" i="7" s="1"/>
  <c r="K33" i="7"/>
  <c r="K32" i="7"/>
  <c r="K31" i="7"/>
  <c r="K30" i="7"/>
  <c r="K29" i="7"/>
  <c r="K28" i="7"/>
  <c r="E28" i="7" s="1"/>
  <c r="K27" i="7"/>
  <c r="E27" i="7" s="1"/>
  <c r="K26" i="7"/>
  <c r="E26" i="7" s="1"/>
  <c r="K25" i="7"/>
  <c r="K24" i="7"/>
  <c r="K23" i="7"/>
  <c r="K22" i="7"/>
  <c r="K21" i="7"/>
  <c r="K20" i="7"/>
  <c r="E20" i="7" s="1"/>
  <c r="K19" i="7"/>
  <c r="E19" i="7" s="1"/>
  <c r="K18" i="7"/>
  <c r="E18" i="7" s="1"/>
  <c r="K17" i="7"/>
  <c r="K16" i="7"/>
  <c r="K15" i="7"/>
  <c r="K14" i="7"/>
  <c r="K13" i="7"/>
  <c r="K12" i="7"/>
  <c r="E12" i="7" s="1"/>
  <c r="K11" i="7"/>
  <c r="E11" i="7" s="1"/>
  <c r="K10" i="7"/>
  <c r="E10" i="7" s="1"/>
  <c r="K9" i="7"/>
  <c r="K8" i="7"/>
  <c r="K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7" i="7"/>
  <c r="H45" i="7" s="1"/>
  <c r="D44" i="7"/>
  <c r="C44" i="7"/>
  <c r="D43" i="7"/>
  <c r="C43" i="7"/>
  <c r="E42" i="7"/>
  <c r="D42" i="7"/>
  <c r="C42" i="7"/>
  <c r="D41" i="7"/>
  <c r="C41" i="7"/>
  <c r="D40" i="7"/>
  <c r="C40" i="7"/>
  <c r="E39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E31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E23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E15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D45" i="7" s="1"/>
  <c r="C7" i="7"/>
  <c r="AN45" i="7"/>
  <c r="AM45" i="7"/>
  <c r="AK45" i="7"/>
  <c r="AJ45" i="7"/>
  <c r="AI45" i="7"/>
  <c r="AH45" i="7"/>
  <c r="AG45" i="7"/>
  <c r="AE45" i="7"/>
  <c r="AD45" i="7"/>
  <c r="AB45" i="7"/>
  <c r="AA45" i="7"/>
  <c r="Y45" i="7"/>
  <c r="X45" i="7"/>
  <c r="V45" i="7"/>
  <c r="U45" i="7"/>
  <c r="S45" i="7"/>
  <c r="R45" i="7"/>
  <c r="P45" i="7"/>
  <c r="O45" i="7"/>
  <c r="M45" i="7"/>
  <c r="L45" i="7"/>
  <c r="K45" i="7"/>
  <c r="J45" i="7"/>
  <c r="I45" i="7"/>
  <c r="G45" i="7"/>
  <c r="F45" i="7"/>
  <c r="C45" i="7"/>
  <c r="N45" i="7" l="1"/>
  <c r="E41" i="7"/>
  <c r="E7" i="7"/>
  <c r="E45" i="7" l="1"/>
</calcChain>
</file>

<file path=xl/sharedStrings.xml><?xml version="1.0" encoding="utf-8"?>
<sst xmlns="http://schemas.openxmlformats.org/spreadsheetml/2006/main" count="84" uniqueCount="48">
  <si>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</si>
  <si>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</si>
  <si>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</si>
  <si>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</si>
  <si>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</si>
  <si>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</si>
  <si>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</si>
  <si>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</si>
  <si>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</si>
  <si>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</si>
  <si>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</si>
  <si>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</si>
  <si>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</si>
  <si>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</si>
  <si>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</si>
  <si>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</si>
  <si>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</si>
  <si>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</si>
  <si>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</si>
  <si>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</si>
  <si>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</si>
  <si>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</si>
  <si>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</si>
  <si>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</si>
  <si>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</si>
  <si>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</si>
  <si>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</si>
  <si>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</si>
  <si>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</si>
  <si>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</si>
  <si>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</si>
  <si>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</si>
  <si>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</si>
  <si>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Chhattisgarh</t>
  </si>
  <si>
    <t>Gujarat</t>
  </si>
  <si>
    <t>Maharashtra</t>
  </si>
  <si>
    <t>State Cd</t>
  </si>
  <si>
    <t>State</t>
  </si>
  <si>
    <t>(Rs. In Crore)</t>
  </si>
  <si>
    <t>SETTLEMENT OF IGST WITH STATES/UTs</t>
  </si>
  <si>
    <t>Ladakh</t>
  </si>
  <si>
    <t>FINANCIAL YEAR 2022-2023</t>
  </si>
  <si>
    <t>Andaman and Nicobar Island</t>
  </si>
  <si>
    <t>Total</t>
  </si>
  <si>
    <t>Regular Settlement</t>
  </si>
  <si>
    <t>Adhoc Settlement</t>
  </si>
  <si>
    <t>All India</t>
  </si>
  <si>
    <t>Financial Year (2022-23)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</si>
</sst>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1" applyFont="1" applyBorder="1" applyAlignment="1">
      <alignment horizontal="right" vertical="center"/>
    </xf>
    <xf numFmtId="164" fontId="2" fillId="0" borderId="1" xfId="1" applyFont="1" applyFill="1" applyBorder="1" applyAlignment="1">
      <alignment horizontal="right" vertical="center"/>
    </xf>
    <xf numFmtId="0" fontId="1" fillId="0" borderId="0" xfId="0" applyFont="1"/>
    <xf numFmtId="164" fontId="5" fillId="2" borderId="1" xfId="1" applyFont="1" applyFill="1" applyBorder="1" applyAlignment="1">
      <alignment horizontal="center" vertical="center" wrapText="1"/>
    </xf>
    <xf numFmtId="164" fontId="5" fillId="3" borderId="1" xfId="1" applyFont="1" applyFill="1" applyBorder="1" applyAlignment="1">
      <alignment horizontal="center" vertical="center" wrapText="1"/>
    </xf>
    <xf numFmtId="164" fontId="2" fillId="0" borderId="1" xfId="1" applyFont="1" applyBorder="1" applyAlignment="1">
      <alignment vertical="center"/>
    </xf>
    <xf numFmtId="164" fontId="2" fillId="2" borderId="1" xfId="1" applyFont="1" applyFill="1" applyBorder="1" applyAlignment="1">
      <alignment vertical="center"/>
    </xf>
    <xf numFmtId="164" fontId="0" fillId="0" borderId="1" xfId="1" applyFont="1" applyBorder="1"/>
    <xf numFmtId="164" fontId="8" fillId="0" borderId="1" xfId="1" applyFont="1" applyBorder="1"/>
    <xf numFmtId="164" fontId="4" fillId="0" borderId="1" xfId="1" applyFont="1" applyBorder="1"/>
    <xf numFmtId="164" fontId="6" fillId="2" borderId="1" xfId="1" applyFont="1" applyFill="1" applyBorder="1" applyAlignment="1">
      <alignment vertical="center"/>
    </xf>
    <xf numFmtId="0" fontId="7" fillId="0" borderId="1" xfId="1" applyNumberFormat="1" applyFont="1" applyBorder="1" applyAlignment="1">
      <alignment horizontal="right" vertical="center" wrapText="1"/>
    </xf>
    <xf numFmtId="0" fontId="2" fillId="0" borderId="1" xfId="1" applyNumberFormat="1" applyFont="1" applyBorder="1" applyAlignment="1">
      <alignment horizontal="right" vertical="center"/>
    </xf>
    <xf numFmtId="17" fontId="10" fillId="3" borderId="1" xfId="0" applyNumberFormat="1" applyFont="1" applyFill="1" applyBorder="1" applyAlignment="1">
      <alignment horizontal="center" vertical="center" wrapText="1"/>
    </xf>
    <xf numFmtId="17" fontId="10" fillId="3" borderId="2" xfId="0" applyNumberFormat="1" applyFont="1" applyFill="1" applyBorder="1" applyAlignment="1">
      <alignment horizontal="center" vertical="center" wrapText="1"/>
    </xf>
    <xf numFmtId="17" fontId="10" fillId="3" borderId="3" xfId="0" applyNumberFormat="1" applyFont="1" applyFill="1" applyBorder="1" applyAlignment="1">
      <alignment horizontal="center" vertical="center" wrapText="1"/>
    </xf>
    <xf numFmtId="17" fontId="10" fillId="3" borderId="4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5"/>
  <sheetViews>
    <sheetView tabSelected="1" zoomScale="73" zoomScaleNormal="100" workbookViewId="0">
      <selection activeCell="F16" sqref="F16"/>
    </sheetView>
  </sheetViews>
  <sheetFormatPr defaultColWidth="8.77734375" defaultRowHeight="14.4" x14ac:dyDescent="0.3"/>
  <cols>
    <col min="2" max="2" width="26" bestFit="1" customWidth="1"/>
    <col min="3" max="41" width="12.77734375" customWidth="1"/>
  </cols>
  <sheetData>
    <row r="1" spans="1:41" ht="22.95" customHeight="1" x14ac:dyDescent="0.35">
      <c r="A1" s="4" t="s">
        <v>39</v>
      </c>
      <c r="B1" s="4"/>
      <c r="C1" s="4"/>
      <c r="D1" s="4"/>
      <c r="E1" s="4"/>
      <c r="F1" s="4"/>
      <c r="I1" s="4"/>
      <c r="L1" s="4"/>
    </row>
    <row r="2" spans="1:41" ht="22.95" customHeight="1" x14ac:dyDescent="0.35">
      <c r="A2" s="1"/>
      <c r="B2" s="1"/>
      <c r="C2" s="1"/>
      <c r="D2" s="1"/>
      <c r="E2" s="1"/>
      <c r="F2" s="1"/>
      <c r="I2" s="1"/>
      <c r="L2" s="1"/>
    </row>
    <row r="3" spans="1:41" ht="22.95" customHeight="1" x14ac:dyDescent="0.35">
      <c r="A3" s="4" t="s">
        <v>41</v>
      </c>
      <c r="B3" s="4"/>
      <c r="C3" s="1" t="s">
        <v>38</v>
      </c>
      <c r="D3" s="4"/>
      <c r="E3" s="4"/>
      <c r="F3" s="1"/>
      <c r="I3" s="1"/>
      <c r="L3" s="1"/>
    </row>
    <row r="5" spans="1:41" ht="31.95" customHeight="1" x14ac:dyDescent="0.3">
      <c r="C5" s="19" t="s">
        <v>47</v>
      </c>
      <c r="D5" s="20"/>
      <c r="E5" s="21"/>
      <c r="F5" s="16">
        <v>44652</v>
      </c>
      <c r="G5" s="17"/>
      <c r="H5" s="18"/>
      <c r="I5" s="16">
        <v>44682</v>
      </c>
      <c r="J5" s="17"/>
      <c r="K5" s="18"/>
      <c r="L5" s="16">
        <v>44713</v>
      </c>
      <c r="M5" s="17"/>
      <c r="N5" s="18"/>
      <c r="O5" s="15">
        <v>44743</v>
      </c>
      <c r="P5" s="15"/>
      <c r="Q5" s="15"/>
      <c r="R5" s="15">
        <v>44774</v>
      </c>
      <c r="S5" s="15"/>
      <c r="T5" s="15"/>
      <c r="U5" s="15">
        <v>44805</v>
      </c>
      <c r="V5" s="15"/>
      <c r="W5" s="15"/>
      <c r="X5" s="15">
        <v>44835</v>
      </c>
      <c r="Y5" s="15"/>
      <c r="Z5" s="15"/>
      <c r="AA5" s="15">
        <v>44866</v>
      </c>
      <c r="AB5" s="15"/>
      <c r="AC5" s="15"/>
      <c r="AD5" s="15">
        <v>44896</v>
      </c>
      <c r="AE5" s="15"/>
      <c r="AF5" s="15"/>
      <c r="AG5" s="15">
        <v>44927</v>
      </c>
      <c r="AH5" s="15"/>
      <c r="AI5" s="15"/>
      <c r="AJ5" s="15">
        <v>44958</v>
      </c>
      <c r="AK5" s="15"/>
      <c r="AL5" s="15"/>
      <c r="AM5" s="15">
        <v>44986</v>
      </c>
      <c r="AN5" s="15"/>
      <c r="AO5" s="15"/>
    </row>
    <row r="6" spans="1:41" ht="28.8" x14ac:dyDescent="0.3">
      <c r="A6" s="5" t="s">
        <v>36</v>
      </c>
      <c r="B6" s="5" t="s">
        <v>37</v>
      </c>
      <c r="C6" s="5" t="s">
        <v>44</v>
      </c>
      <c r="D6" s="5" t="s">
        <v>45</v>
      </c>
      <c r="E6" s="5" t="s">
        <v>43</v>
      </c>
      <c r="F6" s="6" t="s">
        <v>44</v>
      </c>
      <c r="G6" s="6" t="s">
        <v>45</v>
      </c>
      <c r="H6" s="6" t="s">
        <v>43</v>
      </c>
      <c r="I6" s="6" t="s">
        <v>44</v>
      </c>
      <c r="J6" s="6" t="s">
        <v>45</v>
      </c>
      <c r="K6" s="6" t="s">
        <v>43</v>
      </c>
      <c r="L6" s="6" t="s">
        <v>44</v>
      </c>
      <c r="M6" s="6" t="s">
        <v>45</v>
      </c>
      <c r="N6" s="6" t="s">
        <v>43</v>
      </c>
      <c r="O6" s="6" t="s">
        <v>44</v>
      </c>
      <c r="P6" s="6" t="s">
        <v>45</v>
      </c>
      <c r="Q6" s="6" t="s">
        <v>43</v>
      </c>
      <c r="R6" s="6" t="s">
        <v>44</v>
      </c>
      <c r="S6" s="6" t="s">
        <v>45</v>
      </c>
      <c r="T6" s="6" t="s">
        <v>43</v>
      </c>
      <c r="U6" s="6" t="s">
        <v>44</v>
      </c>
      <c r="V6" s="6" t="s">
        <v>45</v>
      </c>
      <c r="W6" s="6" t="s">
        <v>43</v>
      </c>
      <c r="X6" s="6" t="s">
        <v>44</v>
      </c>
      <c r="Y6" s="6" t="s">
        <v>45</v>
      </c>
      <c r="Z6" s="6" t="s">
        <v>43</v>
      </c>
      <c r="AA6" s="6" t="s">
        <v>44</v>
      </c>
      <c r="AB6" s="6" t="s">
        <v>45</v>
      </c>
      <c r="AC6" s="6" t="s">
        <v>43</v>
      </c>
      <c r="AD6" s="6" t="s">
        <v>44</v>
      </c>
      <c r="AE6" s="6" t="s">
        <v>45</v>
      </c>
      <c r="AF6" s="6" t="s">
        <v>43</v>
      </c>
      <c r="AG6" s="6" t="s">
        <v>44</v>
      </c>
      <c r="AH6" s="6" t="s">
        <v>45</v>
      </c>
      <c r="AI6" s="6" t="s">
        <v>43</v>
      </c>
      <c r="AJ6" s="6" t="s">
        <v>44</v>
      </c>
      <c r="AK6" s="6" t="s">
        <v>45</v>
      </c>
      <c r="AL6" s="6" t="s">
        <v>43</v>
      </c>
      <c r="AM6" s="6" t="s">
        <v>44</v>
      </c>
      <c r="AN6" s="6" t="s">
        <v>45</v>
      </c>
      <c r="AO6" s="6" t="s">
        <v>43</v>
      </c>
    </row>
    <row r="7" spans="1:41" x14ac:dyDescent="0.3">
      <c r="A7" s="13">
        <v>1</v>
      </c>
      <c r="B7" s="7" t="s">
        <v>0</v>
      </c>
      <c r="C7" s="8">
        <f>F7+I7+L7+O7+R7+U7+X7+AA7+AD7+AG7+AJ7+AM7</f>
        <v>4643.8038230974998</v>
      </c>
      <c r="D7" s="8">
        <f t="shared" ref="D7:E22" si="0">G7+J7+M7+P7+S7+V7+Y7+AB7+AE7+AH7+AK7+AN7</f>
        <v>270.84429360000001</v>
      </c>
      <c r="E7" s="8">
        <f t="shared" si="0"/>
        <v>4914.6481166975</v>
      </c>
      <c r="F7" s="2">
        <v>429.40035147599997</v>
      </c>
      <c r="G7" s="9">
        <v>0</v>
      </c>
      <c r="H7" s="9">
        <f>F7+G7</f>
        <v>429.40035147599997</v>
      </c>
      <c r="I7" s="2">
        <v>340.74741549099991</v>
      </c>
      <c r="J7" s="9">
        <v>0</v>
      </c>
      <c r="K7" s="9">
        <f>I7+J7</f>
        <v>340.74741549099991</v>
      </c>
      <c r="L7" s="2">
        <v>360.83231975000001</v>
      </c>
      <c r="M7" s="9">
        <v>160.55242860000001</v>
      </c>
      <c r="N7" s="9">
        <f>L7+M7</f>
        <v>521.38474835</v>
      </c>
      <c r="O7" s="2">
        <v>385.163401695</v>
      </c>
      <c r="P7" s="9">
        <v>0</v>
      </c>
      <c r="Q7" s="9">
        <f>O7+P7</f>
        <v>385.163401695</v>
      </c>
      <c r="R7" s="2">
        <v>361.000180559</v>
      </c>
      <c r="S7" s="9">
        <v>0</v>
      </c>
      <c r="T7" s="9">
        <f>R7+S7</f>
        <v>361.000180559</v>
      </c>
      <c r="U7" s="2">
        <v>361.92057264399995</v>
      </c>
      <c r="V7" s="9">
        <v>0</v>
      </c>
      <c r="W7" s="9">
        <f>U7+V7</f>
        <v>361.92057264399995</v>
      </c>
      <c r="X7" s="2">
        <v>442.34529728950002</v>
      </c>
      <c r="Y7" s="9">
        <v>130.84429359999999</v>
      </c>
      <c r="Z7" s="9">
        <f>X7+Y7</f>
        <v>573.18959088949998</v>
      </c>
      <c r="AA7" s="2">
        <v>398.68605901400008</v>
      </c>
      <c r="AB7" s="9">
        <v>0</v>
      </c>
      <c r="AC7" s="9">
        <f>AA7+AB7</f>
        <v>398.68605901400008</v>
      </c>
      <c r="AD7" s="10">
        <v>363.79176309000007</v>
      </c>
      <c r="AE7" s="9">
        <v>0</v>
      </c>
      <c r="AF7" s="9">
        <f>AD7+AE7</f>
        <v>363.79176309000007</v>
      </c>
      <c r="AG7" s="9">
        <v>426.44919089100006</v>
      </c>
      <c r="AH7" s="9">
        <v>0</v>
      </c>
      <c r="AI7" s="9">
        <f>AG7+AH7</f>
        <v>426.44919089100006</v>
      </c>
      <c r="AJ7" s="9">
        <v>369.39436709100005</v>
      </c>
      <c r="AK7" s="9">
        <v>0</v>
      </c>
      <c r="AL7" s="9">
        <f>AJ7+AK7</f>
        <v>369.39436709100005</v>
      </c>
      <c r="AM7" s="10">
        <v>404.072904107</v>
      </c>
      <c r="AN7" s="9">
        <v>-20.552428599999999</v>
      </c>
      <c r="AO7" s="9">
        <f>AM7+AN7</f>
        <v>383.52047550700001</v>
      </c>
    </row>
    <row r="8" spans="1:41" x14ac:dyDescent="0.3">
      <c r="A8" s="13">
        <v>2</v>
      </c>
      <c r="B8" s="7" t="s">
        <v>1</v>
      </c>
      <c r="C8" s="8">
        <f t="shared" ref="C8:E44" si="1">F8+I8+L8+O8+R8+U8+X8+AA8+AD8+AG8+AJ8+AM8</f>
        <v>2976.4737417510005</v>
      </c>
      <c r="D8" s="8">
        <f t="shared" si="0"/>
        <v>213.44066480000001</v>
      </c>
      <c r="E8" s="8">
        <f t="shared" si="0"/>
        <v>3189.9144065510009</v>
      </c>
      <c r="F8" s="2">
        <v>302.22857239999996</v>
      </c>
      <c r="G8" s="9">
        <v>0</v>
      </c>
      <c r="H8" s="9">
        <f t="shared" ref="H8:H44" si="2">F8+G8</f>
        <v>302.22857239999996</v>
      </c>
      <c r="I8" s="2">
        <v>242.84763858799997</v>
      </c>
      <c r="J8" s="9">
        <v>0</v>
      </c>
      <c r="K8" s="9">
        <f t="shared" ref="K8:K44" si="3">I8+J8</f>
        <v>242.84763858799997</v>
      </c>
      <c r="L8" s="2">
        <v>206.56840785499998</v>
      </c>
      <c r="M8" s="9">
        <v>123.883736</v>
      </c>
      <c r="N8" s="9">
        <f t="shared" ref="N8:N44" si="4">L8+M8</f>
        <v>330.45214385499997</v>
      </c>
      <c r="O8" s="2">
        <v>297.45483441700003</v>
      </c>
      <c r="P8" s="9">
        <v>0</v>
      </c>
      <c r="Q8" s="9">
        <f t="shared" ref="Q8:Q44" si="5">O8+P8</f>
        <v>297.45483441700003</v>
      </c>
      <c r="R8" s="2">
        <v>234.54288405500003</v>
      </c>
      <c r="S8" s="9">
        <v>0</v>
      </c>
      <c r="T8" s="9">
        <f t="shared" ref="T8:T44" si="6">R8+S8</f>
        <v>234.54288405500003</v>
      </c>
      <c r="U8" s="2">
        <v>204.84053115899999</v>
      </c>
      <c r="V8" s="9">
        <v>0</v>
      </c>
      <c r="W8" s="9">
        <f t="shared" ref="W8:W44" si="7">U8+V8</f>
        <v>204.84053115899999</v>
      </c>
      <c r="X8" s="2">
        <v>306.31995826599996</v>
      </c>
      <c r="Y8" s="9">
        <v>100.9606648</v>
      </c>
      <c r="Z8" s="9">
        <f t="shared" ref="Z8:Z44" si="8">X8+Y8</f>
        <v>407.28062306599998</v>
      </c>
      <c r="AA8" s="2">
        <v>263.38181856700004</v>
      </c>
      <c r="AB8" s="9">
        <v>0</v>
      </c>
      <c r="AC8" s="9">
        <f t="shared" ref="AC8:AC44" si="9">AA8+AB8</f>
        <v>263.38181856700004</v>
      </c>
      <c r="AD8" s="10">
        <v>184.10337478</v>
      </c>
      <c r="AE8" s="9">
        <v>0</v>
      </c>
      <c r="AF8" s="9">
        <f t="shared" ref="AF8:AF44" si="10">AD8+AE8</f>
        <v>184.10337478</v>
      </c>
      <c r="AG8" s="9">
        <v>303.59425056099997</v>
      </c>
      <c r="AH8" s="9">
        <v>0</v>
      </c>
      <c r="AI8" s="9">
        <f t="shared" ref="AI8:AI44" si="11">AG8+AH8</f>
        <v>303.59425056099997</v>
      </c>
      <c r="AJ8" s="9">
        <v>205.47370179000001</v>
      </c>
      <c r="AK8" s="9">
        <v>0</v>
      </c>
      <c r="AL8" s="9">
        <f t="shared" ref="AL8:AL44" si="12">AJ8+AK8</f>
        <v>205.47370179000001</v>
      </c>
      <c r="AM8" s="10">
        <v>225.11776931299997</v>
      </c>
      <c r="AN8" s="9">
        <v>-11.403736</v>
      </c>
      <c r="AO8" s="9">
        <f t="shared" ref="AO8:AO44" si="13">AM8+AN8</f>
        <v>213.71403331299996</v>
      </c>
    </row>
    <row r="9" spans="1:41" x14ac:dyDescent="0.3">
      <c r="A9" s="13">
        <v>3</v>
      </c>
      <c r="B9" s="7" t="s">
        <v>2</v>
      </c>
      <c r="C9" s="8">
        <f t="shared" si="1"/>
        <v>10845.197974977498</v>
      </c>
      <c r="D9" s="8">
        <f t="shared" si="0"/>
        <v>863.23912849999999</v>
      </c>
      <c r="E9" s="8">
        <f t="shared" si="0"/>
        <v>11708.437103477498</v>
      </c>
      <c r="F9" s="2">
        <v>947.10213647500018</v>
      </c>
      <c r="G9" s="9">
        <v>0</v>
      </c>
      <c r="H9" s="9">
        <f t="shared" si="2"/>
        <v>947.10213647500018</v>
      </c>
      <c r="I9" s="2">
        <v>747.087365159</v>
      </c>
      <c r="J9" s="9">
        <v>0</v>
      </c>
      <c r="K9" s="9">
        <f t="shared" si="3"/>
        <v>747.087365159</v>
      </c>
      <c r="L9" s="2">
        <v>750.22264684200013</v>
      </c>
      <c r="M9" s="9">
        <v>504.3040158</v>
      </c>
      <c r="N9" s="9">
        <f t="shared" si="4"/>
        <v>1254.5266626420002</v>
      </c>
      <c r="O9" s="2">
        <v>784.05294553800002</v>
      </c>
      <c r="P9" s="9">
        <v>0</v>
      </c>
      <c r="Q9" s="9">
        <f t="shared" si="5"/>
        <v>784.05294553800002</v>
      </c>
      <c r="R9" s="2">
        <v>794.34781433400008</v>
      </c>
      <c r="S9" s="9">
        <v>0</v>
      </c>
      <c r="T9" s="9">
        <f t="shared" si="6"/>
        <v>794.34781433400008</v>
      </c>
      <c r="U9" s="2">
        <v>788.68035205399997</v>
      </c>
      <c r="V9" s="9">
        <v>0</v>
      </c>
      <c r="W9" s="9">
        <f t="shared" si="7"/>
        <v>788.68035205399997</v>
      </c>
      <c r="X9" s="2">
        <v>1141.9764604235002</v>
      </c>
      <c r="Y9" s="9">
        <v>410.98912849999999</v>
      </c>
      <c r="Z9" s="9">
        <f t="shared" si="8"/>
        <v>1552.9655889235</v>
      </c>
      <c r="AA9" s="2">
        <v>881.4038731789999</v>
      </c>
      <c r="AB9" s="9">
        <v>0</v>
      </c>
      <c r="AC9" s="9">
        <f t="shared" si="9"/>
        <v>881.4038731789999</v>
      </c>
      <c r="AD9" s="10">
        <v>848.89030332699986</v>
      </c>
      <c r="AE9" s="9">
        <v>0</v>
      </c>
      <c r="AF9" s="9">
        <f t="shared" si="10"/>
        <v>848.89030332699986</v>
      </c>
      <c r="AG9" s="9">
        <v>1035.133266648</v>
      </c>
      <c r="AH9" s="9">
        <v>0</v>
      </c>
      <c r="AI9" s="9">
        <f t="shared" si="11"/>
        <v>1035.133266648</v>
      </c>
      <c r="AJ9" s="9">
        <v>1100.39748932</v>
      </c>
      <c r="AK9" s="9">
        <v>0</v>
      </c>
      <c r="AL9" s="9">
        <f t="shared" si="12"/>
        <v>1100.39748932</v>
      </c>
      <c r="AM9" s="10">
        <v>1025.9033216779999</v>
      </c>
      <c r="AN9" s="9">
        <v>-52.054015800000002</v>
      </c>
      <c r="AO9" s="9">
        <f t="shared" si="13"/>
        <v>973.84930587799988</v>
      </c>
    </row>
    <row r="10" spans="1:41" x14ac:dyDescent="0.3">
      <c r="A10" s="13">
        <v>4</v>
      </c>
      <c r="B10" s="7" t="s">
        <v>3</v>
      </c>
      <c r="C10" s="8">
        <f t="shared" si="1"/>
        <v>1409.6810946730002</v>
      </c>
      <c r="D10" s="8">
        <f t="shared" si="0"/>
        <v>83.373562400000012</v>
      </c>
      <c r="E10" s="8">
        <f t="shared" si="0"/>
        <v>1493.0546570730003</v>
      </c>
      <c r="F10" s="2">
        <v>114.52155706000002</v>
      </c>
      <c r="G10" s="9">
        <v>0</v>
      </c>
      <c r="H10" s="9">
        <f t="shared" si="2"/>
        <v>114.52155706000002</v>
      </c>
      <c r="I10" s="2">
        <v>107.93194733800001</v>
      </c>
      <c r="J10" s="9">
        <v>0</v>
      </c>
      <c r="K10" s="9">
        <f t="shared" si="3"/>
        <v>107.93194733800001</v>
      </c>
      <c r="L10" s="2">
        <v>96.341687287999989</v>
      </c>
      <c r="M10" s="9">
        <v>49.159975299999999</v>
      </c>
      <c r="N10" s="9">
        <f t="shared" si="4"/>
        <v>145.50166258799999</v>
      </c>
      <c r="O10" s="2">
        <v>113.82103596900001</v>
      </c>
      <c r="P10" s="9">
        <v>0</v>
      </c>
      <c r="Q10" s="9">
        <f t="shared" si="5"/>
        <v>113.82103596900001</v>
      </c>
      <c r="R10" s="2">
        <v>113.5660944</v>
      </c>
      <c r="S10" s="9">
        <v>0</v>
      </c>
      <c r="T10" s="9">
        <f t="shared" si="6"/>
        <v>113.5660944</v>
      </c>
      <c r="U10" s="2">
        <v>104.11342030499999</v>
      </c>
      <c r="V10" s="9">
        <v>0</v>
      </c>
      <c r="W10" s="9">
        <f t="shared" si="7"/>
        <v>104.11342030499999</v>
      </c>
      <c r="X10" s="2">
        <v>134.40324537500001</v>
      </c>
      <c r="Y10" s="9">
        <v>40.063562400000002</v>
      </c>
      <c r="Z10" s="9">
        <f t="shared" si="8"/>
        <v>174.46680777500001</v>
      </c>
      <c r="AA10" s="2">
        <v>137.05770119799999</v>
      </c>
      <c r="AB10" s="9">
        <v>0</v>
      </c>
      <c r="AC10" s="9">
        <f t="shared" si="9"/>
        <v>137.05770119799999</v>
      </c>
      <c r="AD10" s="10">
        <v>117.69535816900003</v>
      </c>
      <c r="AE10" s="9">
        <v>0</v>
      </c>
      <c r="AF10" s="9">
        <f t="shared" si="10"/>
        <v>117.69535816900003</v>
      </c>
      <c r="AG10" s="9">
        <v>126.82116138500001</v>
      </c>
      <c r="AH10" s="9">
        <v>0</v>
      </c>
      <c r="AI10" s="9">
        <f t="shared" si="11"/>
        <v>126.82116138500001</v>
      </c>
      <c r="AJ10" s="9">
        <v>127.793228572</v>
      </c>
      <c r="AK10" s="9">
        <v>0</v>
      </c>
      <c r="AL10" s="9">
        <f t="shared" si="12"/>
        <v>127.793228572</v>
      </c>
      <c r="AM10" s="10">
        <v>115.61465761399998</v>
      </c>
      <c r="AN10" s="9">
        <v>-5.8499752999999997</v>
      </c>
      <c r="AO10" s="9">
        <f t="shared" si="13"/>
        <v>109.76468231399998</v>
      </c>
    </row>
    <row r="11" spans="1:41" x14ac:dyDescent="0.3">
      <c r="A11" s="13">
        <v>5</v>
      </c>
      <c r="B11" s="7" t="s">
        <v>4</v>
      </c>
      <c r="C11" s="8">
        <f t="shared" si="1"/>
        <v>2444.5548646590005</v>
      </c>
      <c r="D11" s="8">
        <f t="shared" si="0"/>
        <v>295.89607139999998</v>
      </c>
      <c r="E11" s="8">
        <f t="shared" si="0"/>
        <v>2740.4509360590005</v>
      </c>
      <c r="F11" s="2">
        <v>177.80440932300002</v>
      </c>
      <c r="G11" s="9">
        <v>0</v>
      </c>
      <c r="H11" s="9">
        <f t="shared" si="2"/>
        <v>177.80440932300002</v>
      </c>
      <c r="I11" s="2">
        <v>175.12611674100003</v>
      </c>
      <c r="J11" s="9">
        <v>0</v>
      </c>
      <c r="K11" s="9">
        <f t="shared" si="3"/>
        <v>175.12611674100003</v>
      </c>
      <c r="L11" s="2">
        <v>164.93671000300006</v>
      </c>
      <c r="M11" s="9">
        <v>166.9966201</v>
      </c>
      <c r="N11" s="9">
        <f t="shared" si="4"/>
        <v>331.93333010300006</v>
      </c>
      <c r="O11" s="2">
        <v>235.01617149300003</v>
      </c>
      <c r="P11" s="9">
        <v>0</v>
      </c>
      <c r="Q11" s="9">
        <f t="shared" si="5"/>
        <v>235.01617149300003</v>
      </c>
      <c r="R11" s="2">
        <v>234.21295061399994</v>
      </c>
      <c r="S11" s="9">
        <v>0</v>
      </c>
      <c r="T11" s="9">
        <f t="shared" si="6"/>
        <v>234.21295061399994</v>
      </c>
      <c r="U11" s="2">
        <v>127.03647802400002</v>
      </c>
      <c r="V11" s="9">
        <v>0</v>
      </c>
      <c r="W11" s="9">
        <f t="shared" si="7"/>
        <v>127.03647802400002</v>
      </c>
      <c r="X11" s="2">
        <v>264.65993221100001</v>
      </c>
      <c r="Y11" s="9">
        <v>136.0960714</v>
      </c>
      <c r="Z11" s="9">
        <f t="shared" si="8"/>
        <v>400.75600361099998</v>
      </c>
      <c r="AA11" s="2">
        <v>256.61596363400002</v>
      </c>
      <c r="AB11" s="9">
        <v>0</v>
      </c>
      <c r="AC11" s="9">
        <f t="shared" si="9"/>
        <v>256.61596363400002</v>
      </c>
      <c r="AD11" s="10">
        <v>225.431944867</v>
      </c>
      <c r="AE11" s="9">
        <v>0</v>
      </c>
      <c r="AF11" s="9">
        <f t="shared" si="10"/>
        <v>225.431944867</v>
      </c>
      <c r="AG11" s="9">
        <v>243.22281632299999</v>
      </c>
      <c r="AH11" s="9">
        <v>0</v>
      </c>
      <c r="AI11" s="9">
        <f t="shared" si="11"/>
        <v>243.22281632299999</v>
      </c>
      <c r="AJ11" s="9">
        <v>198.53202904500003</v>
      </c>
      <c r="AK11" s="9">
        <v>0</v>
      </c>
      <c r="AL11" s="9">
        <f t="shared" si="12"/>
        <v>198.53202904500003</v>
      </c>
      <c r="AM11" s="10">
        <v>141.95934238100006</v>
      </c>
      <c r="AN11" s="9">
        <v>-7.1966200999999899</v>
      </c>
      <c r="AO11" s="9">
        <f t="shared" si="13"/>
        <v>134.76272228100007</v>
      </c>
    </row>
    <row r="12" spans="1:41" x14ac:dyDescent="0.3">
      <c r="A12" s="13">
        <v>6</v>
      </c>
      <c r="B12" s="7" t="s">
        <v>5</v>
      </c>
      <c r="C12" s="8">
        <f t="shared" si="1"/>
        <v>11828.860825848999</v>
      </c>
      <c r="D12" s="8">
        <f t="shared" si="0"/>
        <v>883.60151590000009</v>
      </c>
      <c r="E12" s="8">
        <f t="shared" si="0"/>
        <v>12712.462341748998</v>
      </c>
      <c r="F12" s="2">
        <v>1078.8020430080001</v>
      </c>
      <c r="G12" s="9">
        <v>0</v>
      </c>
      <c r="H12" s="9">
        <f t="shared" si="2"/>
        <v>1078.8020430080001</v>
      </c>
      <c r="I12" s="2">
        <v>703.11799780300032</v>
      </c>
      <c r="J12" s="9">
        <v>0</v>
      </c>
      <c r="K12" s="9">
        <f t="shared" si="3"/>
        <v>703.11799780300032</v>
      </c>
      <c r="L12" s="2">
        <v>836.45751569899983</v>
      </c>
      <c r="M12" s="9">
        <v>512.95764440000005</v>
      </c>
      <c r="N12" s="9">
        <f t="shared" si="4"/>
        <v>1349.4151600989999</v>
      </c>
      <c r="O12" s="2">
        <v>913.81508191299997</v>
      </c>
      <c r="P12" s="9">
        <v>0</v>
      </c>
      <c r="Q12" s="9">
        <f t="shared" si="5"/>
        <v>913.81508191299997</v>
      </c>
      <c r="R12" s="2">
        <v>713.43103001499992</v>
      </c>
      <c r="S12" s="9">
        <v>0</v>
      </c>
      <c r="T12" s="9">
        <f t="shared" si="6"/>
        <v>713.43103001499992</v>
      </c>
      <c r="U12" s="2">
        <v>1047.3257506849998</v>
      </c>
      <c r="V12" s="9">
        <v>0</v>
      </c>
      <c r="W12" s="9">
        <f t="shared" si="7"/>
        <v>1047.3257506849998</v>
      </c>
      <c r="X12" s="2">
        <v>1313.4947461429999</v>
      </c>
      <c r="Y12" s="9">
        <v>418.04151589999998</v>
      </c>
      <c r="Z12" s="9">
        <f t="shared" si="8"/>
        <v>1731.5362620429999</v>
      </c>
      <c r="AA12" s="2">
        <v>1074.7897762970001</v>
      </c>
      <c r="AB12" s="9">
        <v>0</v>
      </c>
      <c r="AC12" s="9">
        <f t="shared" si="9"/>
        <v>1074.7897762970001</v>
      </c>
      <c r="AD12" s="10">
        <v>1001.256683241</v>
      </c>
      <c r="AE12" s="9">
        <v>0</v>
      </c>
      <c r="AF12" s="9">
        <f t="shared" si="10"/>
        <v>1001.256683241</v>
      </c>
      <c r="AG12" s="9">
        <v>1237.3183478800004</v>
      </c>
      <c r="AH12" s="9">
        <v>0</v>
      </c>
      <c r="AI12" s="9">
        <f t="shared" si="11"/>
        <v>1237.3183478800004</v>
      </c>
      <c r="AJ12" s="9">
        <v>975.08173555700012</v>
      </c>
      <c r="AK12" s="9">
        <v>0</v>
      </c>
      <c r="AL12" s="9">
        <f t="shared" si="12"/>
        <v>975.08173555700012</v>
      </c>
      <c r="AM12" s="10">
        <v>933.97011760800001</v>
      </c>
      <c r="AN12" s="9">
        <v>-47.397644399999997</v>
      </c>
      <c r="AO12" s="9">
        <f t="shared" si="13"/>
        <v>886.57247320800002</v>
      </c>
    </row>
    <row r="13" spans="1:41" x14ac:dyDescent="0.3">
      <c r="A13" s="13">
        <v>7</v>
      </c>
      <c r="B13" s="7" t="s">
        <v>6</v>
      </c>
      <c r="C13" s="8">
        <f t="shared" si="1"/>
        <v>13627.743132936999</v>
      </c>
      <c r="D13" s="8">
        <f t="shared" si="0"/>
        <v>968.45594170000004</v>
      </c>
      <c r="E13" s="8">
        <f t="shared" si="0"/>
        <v>14596.199074637001</v>
      </c>
      <c r="F13" s="2">
        <v>1319.3097268880001</v>
      </c>
      <c r="G13" s="9">
        <v>0</v>
      </c>
      <c r="H13" s="9">
        <f t="shared" si="2"/>
        <v>1319.3097268880001</v>
      </c>
      <c r="I13" s="2">
        <v>1024.3771050329999</v>
      </c>
      <c r="J13" s="9">
        <v>0</v>
      </c>
      <c r="K13" s="9">
        <f t="shared" si="3"/>
        <v>1024.3771050329999</v>
      </c>
      <c r="L13" s="2">
        <v>800.3851263170003</v>
      </c>
      <c r="M13" s="9">
        <v>565.24765560000003</v>
      </c>
      <c r="N13" s="9">
        <f t="shared" si="4"/>
        <v>1365.6327819170003</v>
      </c>
      <c r="O13" s="2">
        <v>1001.402777999</v>
      </c>
      <c r="P13" s="9">
        <v>0</v>
      </c>
      <c r="Q13" s="9">
        <f t="shared" si="5"/>
        <v>1001.402777999</v>
      </c>
      <c r="R13" s="2">
        <v>1027.111686038</v>
      </c>
      <c r="S13" s="9">
        <v>0</v>
      </c>
      <c r="T13" s="9">
        <f t="shared" si="6"/>
        <v>1027.111686038</v>
      </c>
      <c r="U13" s="2">
        <v>1067.0346116200001</v>
      </c>
      <c r="V13" s="9">
        <v>0</v>
      </c>
      <c r="W13" s="9">
        <f t="shared" si="7"/>
        <v>1067.0346116200001</v>
      </c>
      <c r="X13" s="2">
        <v>1461.8217183710001</v>
      </c>
      <c r="Y13" s="9">
        <v>460.65594170000003</v>
      </c>
      <c r="Z13" s="9">
        <f t="shared" si="8"/>
        <v>1922.4776600710002</v>
      </c>
      <c r="AA13" s="2">
        <v>1279.23747596</v>
      </c>
      <c r="AB13" s="9">
        <v>0</v>
      </c>
      <c r="AC13" s="9">
        <f t="shared" si="9"/>
        <v>1279.23747596</v>
      </c>
      <c r="AD13" s="10">
        <v>1183.0070102560001</v>
      </c>
      <c r="AE13" s="9">
        <v>0</v>
      </c>
      <c r="AF13" s="9">
        <f t="shared" si="10"/>
        <v>1183.0070102560001</v>
      </c>
      <c r="AG13" s="9">
        <v>1241.4901975670002</v>
      </c>
      <c r="AH13" s="9">
        <v>0</v>
      </c>
      <c r="AI13" s="9">
        <f t="shared" si="11"/>
        <v>1241.4901975670002</v>
      </c>
      <c r="AJ13" s="9">
        <v>1092.957341136</v>
      </c>
      <c r="AK13" s="9">
        <v>0</v>
      </c>
      <c r="AL13" s="9">
        <f t="shared" si="12"/>
        <v>1092.957341136</v>
      </c>
      <c r="AM13" s="10">
        <v>1129.6083557519999</v>
      </c>
      <c r="AN13" s="9">
        <v>-57.447655599999997</v>
      </c>
      <c r="AO13" s="9">
        <f t="shared" si="13"/>
        <v>1072.1607001519999</v>
      </c>
    </row>
    <row r="14" spans="1:41" x14ac:dyDescent="0.3">
      <c r="A14" s="13">
        <v>8</v>
      </c>
      <c r="B14" s="7" t="s">
        <v>7</v>
      </c>
      <c r="C14" s="8">
        <f t="shared" si="1"/>
        <v>18341.436581616999</v>
      </c>
      <c r="D14" s="8">
        <f t="shared" si="0"/>
        <v>963.45944660000009</v>
      </c>
      <c r="E14" s="8">
        <f t="shared" si="0"/>
        <v>19304.896028217001</v>
      </c>
      <c r="F14" s="2">
        <v>1581.3106002559998</v>
      </c>
      <c r="G14" s="9">
        <v>0</v>
      </c>
      <c r="H14" s="9">
        <f t="shared" si="2"/>
        <v>1581.3106002559998</v>
      </c>
      <c r="I14" s="2">
        <v>1325.1702233259998</v>
      </c>
      <c r="J14" s="9">
        <v>0</v>
      </c>
      <c r="K14" s="9">
        <f t="shared" si="3"/>
        <v>1325.1702233259998</v>
      </c>
      <c r="L14" s="2">
        <v>1291.7975790559999</v>
      </c>
      <c r="M14" s="9">
        <v>577.95191890000001</v>
      </c>
      <c r="N14" s="9">
        <f t="shared" si="4"/>
        <v>1869.7494979559999</v>
      </c>
      <c r="O14" s="2">
        <v>1415.2588274990001</v>
      </c>
      <c r="P14" s="9">
        <v>0</v>
      </c>
      <c r="Q14" s="9">
        <f t="shared" si="5"/>
        <v>1415.2588274990001</v>
      </c>
      <c r="R14" s="2">
        <v>1358.7747083690003</v>
      </c>
      <c r="S14" s="9">
        <v>0</v>
      </c>
      <c r="T14" s="9">
        <f t="shared" si="6"/>
        <v>1358.7747083690003</v>
      </c>
      <c r="U14" s="2">
        <v>1241.748237387</v>
      </c>
      <c r="V14" s="9">
        <v>0</v>
      </c>
      <c r="W14" s="9">
        <f t="shared" si="7"/>
        <v>1241.748237387</v>
      </c>
      <c r="X14" s="2">
        <v>1755.0300307579998</v>
      </c>
      <c r="Y14" s="9">
        <v>471.00944659999999</v>
      </c>
      <c r="Z14" s="9">
        <f t="shared" si="8"/>
        <v>2226.0394773579997</v>
      </c>
      <c r="AA14" s="2">
        <v>1616.5592346609997</v>
      </c>
      <c r="AB14" s="9">
        <v>0</v>
      </c>
      <c r="AC14" s="9">
        <f t="shared" si="9"/>
        <v>1616.5592346609997</v>
      </c>
      <c r="AD14" s="10">
        <v>1712.5696059729999</v>
      </c>
      <c r="AE14" s="9">
        <v>0</v>
      </c>
      <c r="AF14" s="9">
        <f t="shared" si="10"/>
        <v>1712.5696059729999</v>
      </c>
      <c r="AG14" s="9">
        <v>1784.4314164580003</v>
      </c>
      <c r="AH14" s="9">
        <v>0</v>
      </c>
      <c r="AI14" s="9">
        <f t="shared" si="11"/>
        <v>1784.4314164580003</v>
      </c>
      <c r="AJ14" s="9">
        <v>1576.8300080319998</v>
      </c>
      <c r="AK14" s="9">
        <v>0</v>
      </c>
      <c r="AL14" s="9">
        <f t="shared" si="12"/>
        <v>1576.8300080319998</v>
      </c>
      <c r="AM14" s="10">
        <v>1681.9561098419997</v>
      </c>
      <c r="AN14" s="9">
        <v>-85.501918900000007</v>
      </c>
      <c r="AO14" s="9">
        <f t="shared" si="13"/>
        <v>1596.4541909419997</v>
      </c>
    </row>
    <row r="15" spans="1:41" x14ac:dyDescent="0.3">
      <c r="A15" s="13">
        <v>9</v>
      </c>
      <c r="B15" s="7" t="s">
        <v>8</v>
      </c>
      <c r="C15" s="8">
        <f t="shared" si="1"/>
        <v>36674.522838006502</v>
      </c>
      <c r="D15" s="8">
        <f t="shared" si="0"/>
        <v>1879.5302072000002</v>
      </c>
      <c r="E15" s="8">
        <f t="shared" si="0"/>
        <v>38554.0530452065</v>
      </c>
      <c r="F15" s="3">
        <v>3338.0110542870002</v>
      </c>
      <c r="G15" s="9">
        <v>0</v>
      </c>
      <c r="H15" s="9">
        <f t="shared" si="2"/>
        <v>3338.0110542870002</v>
      </c>
      <c r="I15" s="3">
        <v>2923.570951139</v>
      </c>
      <c r="J15" s="9">
        <v>0</v>
      </c>
      <c r="K15" s="9">
        <f t="shared" si="3"/>
        <v>2923.570951139</v>
      </c>
      <c r="L15" s="3">
        <v>3007.2217892419999</v>
      </c>
      <c r="M15" s="9">
        <v>1124.4193588000001</v>
      </c>
      <c r="N15" s="9">
        <f t="shared" si="4"/>
        <v>4131.6411480420002</v>
      </c>
      <c r="O15" s="3">
        <v>2936.1132527109994</v>
      </c>
      <c r="P15" s="9">
        <v>0</v>
      </c>
      <c r="Q15" s="9">
        <f t="shared" si="5"/>
        <v>2936.1132527109994</v>
      </c>
      <c r="R15" s="3">
        <v>2676.5314644619998</v>
      </c>
      <c r="S15" s="9">
        <v>0</v>
      </c>
      <c r="T15" s="9">
        <f t="shared" si="6"/>
        <v>2676.5314644619998</v>
      </c>
      <c r="U15" s="3">
        <v>2691.8548509769998</v>
      </c>
      <c r="V15" s="9">
        <v>0</v>
      </c>
      <c r="W15" s="9">
        <f t="shared" si="7"/>
        <v>2691.8548509769998</v>
      </c>
      <c r="X15" s="3">
        <v>3137.7425280745001</v>
      </c>
      <c r="Y15" s="9">
        <v>916.36020719999999</v>
      </c>
      <c r="Z15" s="9">
        <f t="shared" si="8"/>
        <v>4054.1027352745</v>
      </c>
      <c r="AA15" s="3">
        <v>3143.5835651899997</v>
      </c>
      <c r="AB15" s="9">
        <v>0</v>
      </c>
      <c r="AC15" s="9">
        <f t="shared" si="9"/>
        <v>3143.5835651899997</v>
      </c>
      <c r="AD15" s="10">
        <v>3259.3595483599997</v>
      </c>
      <c r="AE15" s="9">
        <v>0</v>
      </c>
      <c r="AF15" s="9">
        <f t="shared" si="10"/>
        <v>3259.3595483599997</v>
      </c>
      <c r="AG15" s="9">
        <v>3324.6145301720003</v>
      </c>
      <c r="AH15" s="9">
        <v>0</v>
      </c>
      <c r="AI15" s="9">
        <f t="shared" si="11"/>
        <v>3324.6145301720003</v>
      </c>
      <c r="AJ15" s="9">
        <v>3061.0673527900003</v>
      </c>
      <c r="AK15" s="9">
        <v>0</v>
      </c>
      <c r="AL15" s="9">
        <f t="shared" si="12"/>
        <v>3061.0673527900003</v>
      </c>
      <c r="AM15" s="10">
        <v>3174.8519506019998</v>
      </c>
      <c r="AN15" s="9">
        <v>-161.24935880000001</v>
      </c>
      <c r="AO15" s="9">
        <f t="shared" si="13"/>
        <v>3013.6025918019996</v>
      </c>
    </row>
    <row r="16" spans="1:41" x14ac:dyDescent="0.3">
      <c r="A16" s="14">
        <v>10</v>
      </c>
      <c r="B16" s="7" t="s">
        <v>9</v>
      </c>
      <c r="C16" s="8">
        <f t="shared" si="1"/>
        <v>15105.491687940001</v>
      </c>
      <c r="D16" s="8">
        <f t="shared" si="0"/>
        <v>707.06723570000008</v>
      </c>
      <c r="E16" s="8">
        <f t="shared" si="0"/>
        <v>15812.558923640001</v>
      </c>
      <c r="F16" s="2">
        <v>1289.9924005350001</v>
      </c>
      <c r="G16" s="9">
        <v>0</v>
      </c>
      <c r="H16" s="9">
        <f t="shared" si="2"/>
        <v>1289.9924005350001</v>
      </c>
      <c r="I16" s="2">
        <v>1211.5318188740002</v>
      </c>
      <c r="J16" s="9">
        <v>0</v>
      </c>
      <c r="K16" s="9">
        <f t="shared" si="3"/>
        <v>1211.5318188740002</v>
      </c>
      <c r="L16" s="2">
        <v>1316.49729024</v>
      </c>
      <c r="M16" s="9">
        <v>424.94840040000003</v>
      </c>
      <c r="N16" s="9">
        <f t="shared" si="4"/>
        <v>1741.4456906400001</v>
      </c>
      <c r="O16" s="2">
        <v>1346.630927965</v>
      </c>
      <c r="P16" s="9">
        <v>0</v>
      </c>
      <c r="Q16" s="9">
        <f t="shared" si="5"/>
        <v>1346.630927965</v>
      </c>
      <c r="R16" s="2">
        <v>1176.428580126</v>
      </c>
      <c r="S16" s="9">
        <v>0</v>
      </c>
      <c r="T16" s="9">
        <f t="shared" si="6"/>
        <v>1176.428580126</v>
      </c>
      <c r="U16" s="2">
        <v>1135.634132359</v>
      </c>
      <c r="V16" s="9">
        <v>0</v>
      </c>
      <c r="W16" s="9">
        <f t="shared" si="7"/>
        <v>1135.634132359</v>
      </c>
      <c r="X16" s="2">
        <v>1382.0032024079999</v>
      </c>
      <c r="Y16" s="9">
        <v>346.31723570000003</v>
      </c>
      <c r="Z16" s="9">
        <f t="shared" si="8"/>
        <v>1728.320438108</v>
      </c>
      <c r="AA16" s="2">
        <v>1299.5629285670002</v>
      </c>
      <c r="AB16" s="9">
        <v>0</v>
      </c>
      <c r="AC16" s="9">
        <f t="shared" si="9"/>
        <v>1299.5629285670002</v>
      </c>
      <c r="AD16" s="10">
        <v>1094.762653085</v>
      </c>
      <c r="AE16" s="9">
        <v>0</v>
      </c>
      <c r="AF16" s="9">
        <f t="shared" si="10"/>
        <v>1094.762653085</v>
      </c>
      <c r="AG16" s="9">
        <v>1331.8254820870002</v>
      </c>
      <c r="AH16" s="9">
        <v>0</v>
      </c>
      <c r="AI16" s="9">
        <f t="shared" si="11"/>
        <v>1331.8254820870002</v>
      </c>
      <c r="AJ16" s="9">
        <v>1256.4137639620001</v>
      </c>
      <c r="AK16" s="9">
        <v>0</v>
      </c>
      <c r="AL16" s="9">
        <f t="shared" si="12"/>
        <v>1256.4137639620001</v>
      </c>
      <c r="AM16" s="10">
        <v>1264.208507732</v>
      </c>
      <c r="AN16" s="9">
        <v>-64.198400399999997</v>
      </c>
      <c r="AO16" s="9">
        <f t="shared" si="13"/>
        <v>1200.010107332</v>
      </c>
    </row>
    <row r="17" spans="1:41" x14ac:dyDescent="0.3">
      <c r="A17" s="14">
        <v>11</v>
      </c>
      <c r="B17" s="7" t="s">
        <v>10</v>
      </c>
      <c r="C17" s="8">
        <f t="shared" si="1"/>
        <v>523.94759554050006</v>
      </c>
      <c r="D17" s="8">
        <f t="shared" si="0"/>
        <v>12.942285799999999</v>
      </c>
      <c r="E17" s="8">
        <f t="shared" si="0"/>
        <v>536.88988134049998</v>
      </c>
      <c r="F17" s="2">
        <v>53.968592934</v>
      </c>
      <c r="G17" s="9">
        <v>0</v>
      </c>
      <c r="H17" s="9">
        <f t="shared" si="2"/>
        <v>53.968592934</v>
      </c>
      <c r="I17" s="2">
        <v>37.242360273999999</v>
      </c>
      <c r="J17" s="9">
        <v>0</v>
      </c>
      <c r="K17" s="9">
        <f t="shared" si="3"/>
        <v>37.242360273999999</v>
      </c>
      <c r="L17" s="2">
        <v>38.083138761999997</v>
      </c>
      <c r="M17" s="9">
        <v>8.2853890999999997</v>
      </c>
      <c r="N17" s="9">
        <f t="shared" si="4"/>
        <v>46.368527861999993</v>
      </c>
      <c r="O17" s="2">
        <v>45.314826136000001</v>
      </c>
      <c r="P17" s="9">
        <v>0</v>
      </c>
      <c r="Q17" s="9">
        <f t="shared" si="5"/>
        <v>45.314826136000001</v>
      </c>
      <c r="R17" s="2">
        <v>38.772977773000001</v>
      </c>
      <c r="S17" s="9">
        <v>0</v>
      </c>
      <c r="T17" s="9">
        <f t="shared" si="6"/>
        <v>38.772977773000001</v>
      </c>
      <c r="U17" s="2">
        <v>30.334857757000005</v>
      </c>
      <c r="V17" s="9">
        <v>0</v>
      </c>
      <c r="W17" s="9">
        <f t="shared" si="7"/>
        <v>30.334857757000005</v>
      </c>
      <c r="X17" s="2">
        <v>50.146544855499997</v>
      </c>
      <c r="Y17" s="9">
        <v>6.7522858000000001</v>
      </c>
      <c r="Z17" s="9">
        <f t="shared" si="8"/>
        <v>56.898830655499999</v>
      </c>
      <c r="AA17" s="2">
        <v>46.513837976000005</v>
      </c>
      <c r="AB17" s="9">
        <v>0</v>
      </c>
      <c r="AC17" s="9">
        <f t="shared" si="9"/>
        <v>46.513837976000005</v>
      </c>
      <c r="AD17" s="10">
        <v>45.729683704999999</v>
      </c>
      <c r="AE17" s="9">
        <v>0</v>
      </c>
      <c r="AF17" s="9">
        <f t="shared" si="10"/>
        <v>45.729683704999999</v>
      </c>
      <c r="AG17" s="9">
        <v>52.533567084000005</v>
      </c>
      <c r="AH17" s="9">
        <v>0</v>
      </c>
      <c r="AI17" s="9">
        <f t="shared" si="11"/>
        <v>52.533567084000005</v>
      </c>
      <c r="AJ17" s="9">
        <v>45.240392451999995</v>
      </c>
      <c r="AK17" s="9">
        <v>0</v>
      </c>
      <c r="AL17" s="9">
        <f t="shared" si="12"/>
        <v>45.240392451999995</v>
      </c>
      <c r="AM17" s="10">
        <v>40.066815832000003</v>
      </c>
      <c r="AN17" s="9">
        <v>-2.0953890999999998</v>
      </c>
      <c r="AO17" s="9">
        <f t="shared" si="13"/>
        <v>37.971426732000005</v>
      </c>
    </row>
    <row r="18" spans="1:41" x14ac:dyDescent="0.3">
      <c r="A18" s="14">
        <v>12</v>
      </c>
      <c r="B18" s="7" t="s">
        <v>11</v>
      </c>
      <c r="C18" s="8">
        <f t="shared" si="1"/>
        <v>1117.9565086120001</v>
      </c>
      <c r="D18" s="8">
        <f t="shared" si="0"/>
        <v>10.302387399999997</v>
      </c>
      <c r="E18" s="8">
        <f t="shared" si="0"/>
        <v>1128.2588960119999</v>
      </c>
      <c r="F18" s="2">
        <v>104.87562925</v>
      </c>
      <c r="G18" s="9">
        <v>0</v>
      </c>
      <c r="H18" s="9">
        <f t="shared" si="2"/>
        <v>104.87562925</v>
      </c>
      <c r="I18" s="2">
        <v>96.253198948999994</v>
      </c>
      <c r="J18" s="9">
        <v>0</v>
      </c>
      <c r="K18" s="9">
        <f t="shared" si="3"/>
        <v>96.253198948999994</v>
      </c>
      <c r="L18" s="2">
        <v>97.337050117999993</v>
      </c>
      <c r="M18" s="9">
        <v>8.6536285999999993</v>
      </c>
      <c r="N18" s="9">
        <f t="shared" si="4"/>
        <v>105.990678718</v>
      </c>
      <c r="O18" s="2">
        <v>83.432069486999993</v>
      </c>
      <c r="P18" s="9">
        <v>0</v>
      </c>
      <c r="Q18" s="9">
        <f t="shared" si="5"/>
        <v>83.432069486999993</v>
      </c>
      <c r="R18" s="2">
        <v>81.47160482000001</v>
      </c>
      <c r="S18" s="9">
        <v>0</v>
      </c>
      <c r="T18" s="9">
        <f t="shared" si="6"/>
        <v>81.47160482000001</v>
      </c>
      <c r="U18" s="2">
        <v>80.914598928000004</v>
      </c>
      <c r="V18" s="9">
        <v>0</v>
      </c>
      <c r="W18" s="9">
        <f t="shared" si="7"/>
        <v>80.914598928000004</v>
      </c>
      <c r="X18" s="2">
        <v>89.10654835199999</v>
      </c>
      <c r="Y18" s="9">
        <v>7.0523873999999998</v>
      </c>
      <c r="Z18" s="9">
        <f t="shared" si="8"/>
        <v>96.158935751999991</v>
      </c>
      <c r="AA18" s="2">
        <v>97.624426463999995</v>
      </c>
      <c r="AB18" s="9">
        <v>0</v>
      </c>
      <c r="AC18" s="9">
        <f t="shared" si="9"/>
        <v>97.624426463999995</v>
      </c>
      <c r="AD18" s="10">
        <v>84.85966921699999</v>
      </c>
      <c r="AE18" s="9">
        <v>0</v>
      </c>
      <c r="AF18" s="9">
        <f t="shared" si="10"/>
        <v>84.85966921699999</v>
      </c>
      <c r="AG18" s="9">
        <v>104.42337217000001</v>
      </c>
      <c r="AH18" s="9">
        <v>0</v>
      </c>
      <c r="AI18" s="9">
        <f t="shared" si="11"/>
        <v>104.42337217000001</v>
      </c>
      <c r="AJ18" s="9">
        <v>91.590205733999994</v>
      </c>
      <c r="AK18" s="9">
        <v>0</v>
      </c>
      <c r="AL18" s="9">
        <f t="shared" si="12"/>
        <v>91.590205733999994</v>
      </c>
      <c r="AM18" s="10">
        <v>106.06813512299999</v>
      </c>
      <c r="AN18" s="9">
        <v>-5.4036286000000002</v>
      </c>
      <c r="AO18" s="9">
        <f t="shared" si="13"/>
        <v>100.66450652299999</v>
      </c>
    </row>
    <row r="19" spans="1:41" x14ac:dyDescent="0.3">
      <c r="A19" s="14">
        <v>13</v>
      </c>
      <c r="B19" s="7" t="s">
        <v>12</v>
      </c>
      <c r="C19" s="8">
        <f t="shared" si="1"/>
        <v>721.59871243700013</v>
      </c>
      <c r="D19" s="8">
        <f t="shared" si="0"/>
        <v>12.702387399999999</v>
      </c>
      <c r="E19" s="8">
        <f t="shared" si="0"/>
        <v>734.30109983699992</v>
      </c>
      <c r="F19" s="2">
        <v>65.527083051999995</v>
      </c>
      <c r="G19" s="9">
        <v>0</v>
      </c>
      <c r="H19" s="9">
        <f t="shared" si="2"/>
        <v>65.527083051999995</v>
      </c>
      <c r="I19" s="2">
        <v>59.045443910999992</v>
      </c>
      <c r="J19" s="9">
        <v>0</v>
      </c>
      <c r="K19" s="9">
        <f t="shared" si="3"/>
        <v>59.045443910999992</v>
      </c>
      <c r="L19" s="2">
        <v>55.846047161000001</v>
      </c>
      <c r="M19" s="9">
        <v>8.6536285999999993</v>
      </c>
      <c r="N19" s="9">
        <f t="shared" si="4"/>
        <v>64.499675761000006</v>
      </c>
      <c r="O19" s="2">
        <v>56.118483004999995</v>
      </c>
      <c r="P19" s="9">
        <v>0</v>
      </c>
      <c r="Q19" s="9">
        <f t="shared" si="5"/>
        <v>56.118483004999995</v>
      </c>
      <c r="R19" s="2">
        <v>62.397832719000007</v>
      </c>
      <c r="S19" s="9">
        <v>0</v>
      </c>
      <c r="T19" s="9">
        <f t="shared" si="6"/>
        <v>62.397832719000007</v>
      </c>
      <c r="U19" s="2">
        <v>56.462345623000004</v>
      </c>
      <c r="V19" s="9">
        <v>0</v>
      </c>
      <c r="W19" s="9">
        <f t="shared" si="7"/>
        <v>56.462345623000004</v>
      </c>
      <c r="X19" s="2">
        <v>66.117045477000005</v>
      </c>
      <c r="Y19" s="9">
        <v>7.0523873999999998</v>
      </c>
      <c r="Z19" s="9">
        <f t="shared" si="8"/>
        <v>73.169432877000006</v>
      </c>
      <c r="AA19" s="2">
        <v>57.741261401999999</v>
      </c>
      <c r="AB19" s="9">
        <v>0</v>
      </c>
      <c r="AC19" s="9">
        <f t="shared" si="9"/>
        <v>57.741261401999999</v>
      </c>
      <c r="AD19" s="10">
        <v>60.639382139999995</v>
      </c>
      <c r="AE19" s="9">
        <v>0</v>
      </c>
      <c r="AF19" s="9">
        <f t="shared" si="10"/>
        <v>60.639382139999995</v>
      </c>
      <c r="AG19" s="9">
        <v>68.004130727999993</v>
      </c>
      <c r="AH19" s="9">
        <v>0</v>
      </c>
      <c r="AI19" s="9">
        <f t="shared" si="11"/>
        <v>68.004130727999993</v>
      </c>
      <c r="AJ19" s="9">
        <v>55.568702450000004</v>
      </c>
      <c r="AK19" s="9">
        <v>0</v>
      </c>
      <c r="AL19" s="9">
        <f t="shared" si="12"/>
        <v>55.568702450000004</v>
      </c>
      <c r="AM19" s="10">
        <v>58.130954768999992</v>
      </c>
      <c r="AN19" s="9">
        <v>-3.0036285999999999</v>
      </c>
      <c r="AO19" s="9">
        <f t="shared" si="13"/>
        <v>55.127326168999993</v>
      </c>
    </row>
    <row r="20" spans="1:41" x14ac:dyDescent="0.3">
      <c r="A20" s="14">
        <v>14</v>
      </c>
      <c r="B20" s="7" t="s">
        <v>13</v>
      </c>
      <c r="C20" s="8">
        <f t="shared" si="1"/>
        <v>1098.1001444305</v>
      </c>
      <c r="D20" s="8">
        <f t="shared" si="0"/>
        <v>16.253200100000001</v>
      </c>
      <c r="E20" s="8">
        <f t="shared" si="0"/>
        <v>1114.3533445305002</v>
      </c>
      <c r="F20" s="2">
        <v>86.926401431999992</v>
      </c>
      <c r="G20" s="9">
        <v>0</v>
      </c>
      <c r="H20" s="9">
        <f t="shared" si="2"/>
        <v>86.926401431999992</v>
      </c>
      <c r="I20" s="2">
        <v>96.711207120999987</v>
      </c>
      <c r="J20" s="9">
        <v>0</v>
      </c>
      <c r="K20" s="9">
        <f t="shared" si="3"/>
        <v>96.711207120999987</v>
      </c>
      <c r="L20" s="2">
        <v>88.735401468999996</v>
      </c>
      <c r="M20" s="9">
        <v>11.599544699999999</v>
      </c>
      <c r="N20" s="9">
        <f t="shared" si="4"/>
        <v>100.33494616899999</v>
      </c>
      <c r="O20" s="2">
        <v>85.356539288999997</v>
      </c>
      <c r="P20" s="9">
        <v>0</v>
      </c>
      <c r="Q20" s="9">
        <f t="shared" si="5"/>
        <v>85.356539288999997</v>
      </c>
      <c r="R20" s="2">
        <v>79.624366050999981</v>
      </c>
      <c r="S20" s="9">
        <v>0</v>
      </c>
      <c r="T20" s="9">
        <f t="shared" si="6"/>
        <v>79.624366050999981</v>
      </c>
      <c r="U20" s="2">
        <v>86.00512105</v>
      </c>
      <c r="V20" s="9">
        <v>0</v>
      </c>
      <c r="W20" s="9">
        <f t="shared" si="7"/>
        <v>86.00512105</v>
      </c>
      <c r="X20" s="2">
        <v>98.283348408500004</v>
      </c>
      <c r="Y20" s="9">
        <v>9.4532001000000001</v>
      </c>
      <c r="Z20" s="9">
        <f t="shared" si="8"/>
        <v>107.73654850850001</v>
      </c>
      <c r="AA20" s="2">
        <v>87.10841235700002</v>
      </c>
      <c r="AB20" s="9">
        <v>0</v>
      </c>
      <c r="AC20" s="9">
        <f t="shared" si="9"/>
        <v>87.10841235700002</v>
      </c>
      <c r="AD20" s="10">
        <v>96.065166465999994</v>
      </c>
      <c r="AE20" s="9">
        <v>0</v>
      </c>
      <c r="AF20" s="9">
        <f t="shared" si="10"/>
        <v>96.065166465999994</v>
      </c>
      <c r="AG20" s="9">
        <v>102.72051634500001</v>
      </c>
      <c r="AH20" s="9">
        <v>0</v>
      </c>
      <c r="AI20" s="9">
        <f t="shared" si="11"/>
        <v>102.72051634500001</v>
      </c>
      <c r="AJ20" s="9">
        <v>97.401563961000008</v>
      </c>
      <c r="AK20" s="9">
        <v>0</v>
      </c>
      <c r="AL20" s="9">
        <f t="shared" si="12"/>
        <v>97.401563961000008</v>
      </c>
      <c r="AM20" s="10">
        <v>93.16210048100001</v>
      </c>
      <c r="AN20" s="9">
        <v>-4.7995447000000002</v>
      </c>
      <c r="AO20" s="9">
        <f t="shared" si="13"/>
        <v>88.362555781000012</v>
      </c>
    </row>
    <row r="21" spans="1:41" x14ac:dyDescent="0.3">
      <c r="A21" s="14">
        <v>15</v>
      </c>
      <c r="B21" s="7" t="s">
        <v>14</v>
      </c>
      <c r="C21" s="8">
        <f t="shared" si="1"/>
        <v>652.7151111925001</v>
      </c>
      <c r="D21" s="8">
        <f t="shared" si="0"/>
        <v>8.8417777999999991</v>
      </c>
      <c r="E21" s="8">
        <f t="shared" si="0"/>
        <v>661.55688899250003</v>
      </c>
      <c r="F21" s="2">
        <v>63.014402881000009</v>
      </c>
      <c r="G21" s="9">
        <v>0</v>
      </c>
      <c r="H21" s="9">
        <f t="shared" si="2"/>
        <v>63.014402881000009</v>
      </c>
      <c r="I21" s="2">
        <v>55.138263120000005</v>
      </c>
      <c r="J21" s="9">
        <v>0</v>
      </c>
      <c r="K21" s="9">
        <f t="shared" si="3"/>
        <v>55.138263120000005</v>
      </c>
      <c r="L21" s="2">
        <v>56.276901889000001</v>
      </c>
      <c r="M21" s="9">
        <v>6.4441914999999996</v>
      </c>
      <c r="N21" s="9">
        <f t="shared" si="4"/>
        <v>62.721093389000004</v>
      </c>
      <c r="O21" s="2">
        <v>46.406171325999999</v>
      </c>
      <c r="P21" s="9">
        <v>0</v>
      </c>
      <c r="Q21" s="9">
        <f t="shared" si="5"/>
        <v>46.406171325999999</v>
      </c>
      <c r="R21" s="2">
        <v>49.641392371999999</v>
      </c>
      <c r="S21" s="9">
        <v>0</v>
      </c>
      <c r="T21" s="9">
        <f t="shared" si="6"/>
        <v>49.641392371999999</v>
      </c>
      <c r="U21" s="2">
        <v>48.486333265999995</v>
      </c>
      <c r="V21" s="9">
        <v>0</v>
      </c>
      <c r="W21" s="9">
        <f t="shared" si="7"/>
        <v>48.486333265999995</v>
      </c>
      <c r="X21" s="2">
        <v>51.832606040500004</v>
      </c>
      <c r="Y21" s="9">
        <v>5.2517778000000002</v>
      </c>
      <c r="Z21" s="9">
        <f t="shared" si="8"/>
        <v>57.084383840500003</v>
      </c>
      <c r="AA21" s="2">
        <v>56.690386259</v>
      </c>
      <c r="AB21" s="9">
        <v>0</v>
      </c>
      <c r="AC21" s="9">
        <f t="shared" si="9"/>
        <v>56.690386259</v>
      </c>
      <c r="AD21" s="10">
        <v>52.853225689000006</v>
      </c>
      <c r="AE21" s="9">
        <v>0</v>
      </c>
      <c r="AF21" s="9">
        <f t="shared" si="10"/>
        <v>52.853225689000006</v>
      </c>
      <c r="AG21" s="9">
        <v>58.096854478000012</v>
      </c>
      <c r="AH21" s="9">
        <v>0</v>
      </c>
      <c r="AI21" s="9">
        <f t="shared" si="11"/>
        <v>58.096854478000012</v>
      </c>
      <c r="AJ21" s="9">
        <v>58.33931783100001</v>
      </c>
      <c r="AK21" s="9">
        <v>0</v>
      </c>
      <c r="AL21" s="9">
        <f t="shared" si="12"/>
        <v>58.33931783100001</v>
      </c>
      <c r="AM21" s="10">
        <v>55.939256041000007</v>
      </c>
      <c r="AN21" s="9">
        <v>-2.8541915000000002</v>
      </c>
      <c r="AO21" s="9">
        <f t="shared" si="13"/>
        <v>53.085064541000008</v>
      </c>
    </row>
    <row r="22" spans="1:41" x14ac:dyDescent="0.3">
      <c r="A22" s="14">
        <v>16</v>
      </c>
      <c r="B22" s="7" t="s">
        <v>15</v>
      </c>
      <c r="C22" s="8">
        <f t="shared" si="1"/>
        <v>982.49836199499998</v>
      </c>
      <c r="D22" s="8">
        <f t="shared" si="0"/>
        <v>44.367314499999999</v>
      </c>
      <c r="E22" s="8">
        <f t="shared" si="0"/>
        <v>1026.8656764949999</v>
      </c>
      <c r="F22" s="2">
        <v>87.512732725000006</v>
      </c>
      <c r="G22" s="9">
        <v>0</v>
      </c>
      <c r="H22" s="9">
        <f t="shared" si="2"/>
        <v>87.512732725000006</v>
      </c>
      <c r="I22" s="2">
        <v>73.708278847999992</v>
      </c>
      <c r="J22" s="9">
        <v>0</v>
      </c>
      <c r="K22" s="9">
        <f t="shared" si="3"/>
        <v>73.708278847999992</v>
      </c>
      <c r="L22" s="2">
        <v>71.572083120000002</v>
      </c>
      <c r="M22" s="9">
        <v>26.513245099999999</v>
      </c>
      <c r="N22" s="9">
        <f t="shared" si="4"/>
        <v>98.085328220000008</v>
      </c>
      <c r="O22" s="2">
        <v>80.161332931999993</v>
      </c>
      <c r="P22" s="9">
        <v>0</v>
      </c>
      <c r="Q22" s="9">
        <f t="shared" si="5"/>
        <v>80.161332931999993</v>
      </c>
      <c r="R22" s="2">
        <v>74.816525056000003</v>
      </c>
      <c r="S22" s="9">
        <v>0</v>
      </c>
      <c r="T22" s="9">
        <f t="shared" si="6"/>
        <v>74.816525056000003</v>
      </c>
      <c r="U22" s="2">
        <v>74.744500114000004</v>
      </c>
      <c r="V22" s="9">
        <v>0</v>
      </c>
      <c r="W22" s="9">
        <f t="shared" si="7"/>
        <v>74.744500114000004</v>
      </c>
      <c r="X22" s="2">
        <v>93.290018325000005</v>
      </c>
      <c r="Y22" s="9">
        <v>21.607314500000001</v>
      </c>
      <c r="Z22" s="9">
        <f t="shared" si="8"/>
        <v>114.89733282500001</v>
      </c>
      <c r="AA22" s="2">
        <v>78.199589840000002</v>
      </c>
      <c r="AB22" s="9">
        <v>0</v>
      </c>
      <c r="AC22" s="9">
        <f t="shared" si="9"/>
        <v>78.199589840000002</v>
      </c>
      <c r="AD22" s="10">
        <v>79.812881791999985</v>
      </c>
      <c r="AE22" s="9">
        <v>0</v>
      </c>
      <c r="AF22" s="9">
        <f t="shared" si="10"/>
        <v>79.812881791999985</v>
      </c>
      <c r="AG22" s="9">
        <v>108.90936904000002</v>
      </c>
      <c r="AH22" s="9">
        <v>0</v>
      </c>
      <c r="AI22" s="9">
        <f t="shared" si="11"/>
        <v>108.90936904000002</v>
      </c>
      <c r="AJ22" s="9">
        <v>86.193062534999996</v>
      </c>
      <c r="AK22" s="9">
        <v>0</v>
      </c>
      <c r="AL22" s="9">
        <f t="shared" si="12"/>
        <v>86.193062534999996</v>
      </c>
      <c r="AM22" s="10">
        <v>73.577987667999992</v>
      </c>
      <c r="AN22" s="9">
        <v>-3.7532451</v>
      </c>
      <c r="AO22" s="9">
        <f t="shared" si="13"/>
        <v>69.824742567999991</v>
      </c>
    </row>
    <row r="23" spans="1:41" x14ac:dyDescent="0.3">
      <c r="A23" s="14">
        <v>17</v>
      </c>
      <c r="B23" s="7" t="s">
        <v>16</v>
      </c>
      <c r="C23" s="8">
        <f t="shared" si="1"/>
        <v>964.95877375400005</v>
      </c>
      <c r="D23" s="8">
        <f t="shared" si="1"/>
        <v>35.165892300000003</v>
      </c>
      <c r="E23" s="8">
        <f t="shared" si="1"/>
        <v>1000.1246660539999</v>
      </c>
      <c r="F23" s="2">
        <v>84.488631483000006</v>
      </c>
      <c r="G23" s="9">
        <v>0</v>
      </c>
      <c r="H23" s="9">
        <f t="shared" si="2"/>
        <v>84.488631483000006</v>
      </c>
      <c r="I23" s="2">
        <v>74.853454908999993</v>
      </c>
      <c r="J23" s="9">
        <v>0</v>
      </c>
      <c r="K23" s="9">
        <f t="shared" si="3"/>
        <v>74.853454908999993</v>
      </c>
      <c r="L23" s="2">
        <v>79.705997931999988</v>
      </c>
      <c r="M23" s="9">
        <v>21.357891899999998</v>
      </c>
      <c r="N23" s="9">
        <f t="shared" si="4"/>
        <v>101.06388983199999</v>
      </c>
      <c r="O23" s="2">
        <v>77.849227569999996</v>
      </c>
      <c r="P23" s="9">
        <v>0</v>
      </c>
      <c r="Q23" s="9">
        <f t="shared" si="5"/>
        <v>77.849227569999996</v>
      </c>
      <c r="R23" s="2">
        <v>67.950150979000014</v>
      </c>
      <c r="S23" s="9">
        <v>0</v>
      </c>
      <c r="T23" s="9">
        <f t="shared" si="6"/>
        <v>67.950150979000014</v>
      </c>
      <c r="U23" s="2">
        <v>76.848672833999998</v>
      </c>
      <c r="V23" s="9">
        <v>0</v>
      </c>
      <c r="W23" s="9">
        <f t="shared" si="7"/>
        <v>76.848672833999998</v>
      </c>
      <c r="X23" s="2">
        <v>74.490333066000019</v>
      </c>
      <c r="Y23" s="9">
        <v>17.405892300000001</v>
      </c>
      <c r="Z23" s="9">
        <f t="shared" si="8"/>
        <v>91.896225366000024</v>
      </c>
      <c r="AA23" s="2">
        <v>87.160826433999986</v>
      </c>
      <c r="AB23" s="9">
        <v>0</v>
      </c>
      <c r="AC23" s="9">
        <f t="shared" si="9"/>
        <v>87.160826433999986</v>
      </c>
      <c r="AD23" s="10">
        <v>84.976518921000007</v>
      </c>
      <c r="AE23" s="9">
        <v>0</v>
      </c>
      <c r="AF23" s="9">
        <f t="shared" si="10"/>
        <v>84.976518921000007</v>
      </c>
      <c r="AG23" s="9">
        <v>96.785188419000008</v>
      </c>
      <c r="AH23" s="9">
        <v>0</v>
      </c>
      <c r="AI23" s="9">
        <f t="shared" si="11"/>
        <v>96.785188419000008</v>
      </c>
      <c r="AJ23" s="9">
        <v>89.298761832999986</v>
      </c>
      <c r="AK23" s="9">
        <v>0</v>
      </c>
      <c r="AL23" s="9">
        <f t="shared" si="12"/>
        <v>89.298761832999986</v>
      </c>
      <c r="AM23" s="10">
        <v>70.551009374000003</v>
      </c>
      <c r="AN23" s="9">
        <v>-3.5978919</v>
      </c>
      <c r="AO23" s="9">
        <f t="shared" si="13"/>
        <v>66.95311747400001</v>
      </c>
    </row>
    <row r="24" spans="1:41" x14ac:dyDescent="0.3">
      <c r="A24" s="14">
        <v>18</v>
      </c>
      <c r="B24" s="7" t="s">
        <v>17</v>
      </c>
      <c r="C24" s="8">
        <f t="shared" si="1"/>
        <v>7097.4605972620002</v>
      </c>
      <c r="D24" s="8">
        <f t="shared" si="1"/>
        <v>332.3156209</v>
      </c>
      <c r="E24" s="8">
        <f t="shared" si="1"/>
        <v>7429.7762181620001</v>
      </c>
      <c r="F24" s="2">
        <v>523.54825534300005</v>
      </c>
      <c r="G24" s="9">
        <v>0</v>
      </c>
      <c r="H24" s="9">
        <f t="shared" si="2"/>
        <v>523.54825534300005</v>
      </c>
      <c r="I24" s="2">
        <v>570.10152684499997</v>
      </c>
      <c r="J24" s="9">
        <v>0</v>
      </c>
      <c r="K24" s="9">
        <f t="shared" si="3"/>
        <v>570.10152684499997</v>
      </c>
      <c r="L24" s="2">
        <v>526.48099620699998</v>
      </c>
      <c r="M24" s="9">
        <v>201.61113449999999</v>
      </c>
      <c r="N24" s="9">
        <f t="shared" si="4"/>
        <v>728.09213070700002</v>
      </c>
      <c r="O24" s="2">
        <v>498.95212760699997</v>
      </c>
      <c r="P24" s="9">
        <v>0</v>
      </c>
      <c r="Q24" s="9">
        <f t="shared" si="5"/>
        <v>498.95212760699997</v>
      </c>
      <c r="R24" s="2">
        <v>497.19506872799997</v>
      </c>
      <c r="S24" s="9">
        <v>0</v>
      </c>
      <c r="T24" s="9">
        <f t="shared" si="6"/>
        <v>497.19506872799997</v>
      </c>
      <c r="U24" s="2">
        <v>555.67004048399997</v>
      </c>
      <c r="V24" s="9">
        <v>0</v>
      </c>
      <c r="W24" s="9">
        <f t="shared" si="7"/>
        <v>555.67004048399997</v>
      </c>
      <c r="X24" s="2">
        <v>683.12625238199996</v>
      </c>
      <c r="Y24" s="9">
        <v>164.30562090000001</v>
      </c>
      <c r="Z24" s="9">
        <f t="shared" si="8"/>
        <v>847.43187328199997</v>
      </c>
      <c r="AA24" s="2">
        <v>607.56098366499998</v>
      </c>
      <c r="AB24" s="9">
        <v>0</v>
      </c>
      <c r="AC24" s="9">
        <f t="shared" si="9"/>
        <v>607.56098366499998</v>
      </c>
      <c r="AD24" s="10">
        <v>637.95920503899993</v>
      </c>
      <c r="AE24" s="9">
        <v>0</v>
      </c>
      <c r="AF24" s="9">
        <f t="shared" si="10"/>
        <v>637.95920503899993</v>
      </c>
      <c r="AG24" s="9">
        <v>684.18217408199996</v>
      </c>
      <c r="AH24" s="9">
        <v>0</v>
      </c>
      <c r="AI24" s="9">
        <f t="shared" si="11"/>
        <v>684.18217408199996</v>
      </c>
      <c r="AJ24" s="9">
        <v>650.88983126399989</v>
      </c>
      <c r="AK24" s="9">
        <v>0</v>
      </c>
      <c r="AL24" s="9">
        <f t="shared" si="12"/>
        <v>650.88983126399989</v>
      </c>
      <c r="AM24" s="10">
        <v>661.79413561599995</v>
      </c>
      <c r="AN24" s="9">
        <v>-33.601134500000001</v>
      </c>
      <c r="AO24" s="9">
        <f t="shared" si="13"/>
        <v>628.193001116</v>
      </c>
    </row>
    <row r="25" spans="1:41" x14ac:dyDescent="0.3">
      <c r="A25" s="14">
        <v>19</v>
      </c>
      <c r="B25" s="7" t="s">
        <v>18</v>
      </c>
      <c r="C25" s="8">
        <f t="shared" si="1"/>
        <v>16300.889956520499</v>
      </c>
      <c r="D25" s="8">
        <f t="shared" si="1"/>
        <v>1159.8567237</v>
      </c>
      <c r="E25" s="8">
        <f t="shared" si="1"/>
        <v>17460.746680220498</v>
      </c>
      <c r="F25" s="2">
        <v>1179.3966035579999</v>
      </c>
      <c r="G25" s="9">
        <v>0</v>
      </c>
      <c r="H25" s="9">
        <f t="shared" si="2"/>
        <v>1179.3966035579999</v>
      </c>
      <c r="I25" s="2">
        <v>1074.1501061949998</v>
      </c>
      <c r="J25" s="9">
        <v>0</v>
      </c>
      <c r="K25" s="9">
        <f t="shared" si="3"/>
        <v>1074.1501061949998</v>
      </c>
      <c r="L25" s="2">
        <v>1169.0490081589999</v>
      </c>
      <c r="M25" s="9">
        <v>676.82422859999997</v>
      </c>
      <c r="N25" s="9">
        <f t="shared" si="4"/>
        <v>1845.8732367589998</v>
      </c>
      <c r="O25" s="2">
        <v>1316.152217954</v>
      </c>
      <c r="P25" s="9">
        <v>0</v>
      </c>
      <c r="Q25" s="9">
        <f t="shared" si="5"/>
        <v>1316.152217954</v>
      </c>
      <c r="R25" s="2">
        <v>1204.209154185</v>
      </c>
      <c r="S25" s="9">
        <v>0</v>
      </c>
      <c r="T25" s="9">
        <f t="shared" si="6"/>
        <v>1204.209154185</v>
      </c>
      <c r="U25" s="2">
        <v>1338.9637079250001</v>
      </c>
      <c r="V25" s="9">
        <v>0</v>
      </c>
      <c r="W25" s="9">
        <f t="shared" si="7"/>
        <v>1338.9637079250001</v>
      </c>
      <c r="X25" s="2">
        <v>1728.6850432235001</v>
      </c>
      <c r="Y25" s="9">
        <v>551.58672369999999</v>
      </c>
      <c r="Z25" s="9">
        <f t="shared" si="8"/>
        <v>2280.2717669234999</v>
      </c>
      <c r="AA25" s="2">
        <v>1264.3787154480001</v>
      </c>
      <c r="AB25" s="9">
        <v>0</v>
      </c>
      <c r="AC25" s="9">
        <f t="shared" si="9"/>
        <v>1264.3787154480001</v>
      </c>
      <c r="AD25" s="10">
        <v>1631.4742732039999</v>
      </c>
      <c r="AE25" s="9">
        <v>0</v>
      </c>
      <c r="AF25" s="9">
        <f t="shared" si="10"/>
        <v>1631.4742732039999</v>
      </c>
      <c r="AG25" s="9">
        <v>1379.7491795749997</v>
      </c>
      <c r="AH25" s="9">
        <v>0</v>
      </c>
      <c r="AI25" s="9">
        <f t="shared" si="11"/>
        <v>1379.7491795749997</v>
      </c>
      <c r="AJ25" s="9">
        <v>1666.5200128669997</v>
      </c>
      <c r="AK25" s="9">
        <v>0</v>
      </c>
      <c r="AL25" s="9">
        <f t="shared" si="12"/>
        <v>1666.5200128669997</v>
      </c>
      <c r="AM25" s="10">
        <v>1348.1619342269998</v>
      </c>
      <c r="AN25" s="9">
        <v>-68.554228600000002</v>
      </c>
      <c r="AO25" s="9">
        <f t="shared" si="13"/>
        <v>1279.6077056269999</v>
      </c>
    </row>
    <row r="26" spans="1:41" x14ac:dyDescent="0.3">
      <c r="A26" s="14">
        <v>20</v>
      </c>
      <c r="B26" s="7" t="s">
        <v>19</v>
      </c>
      <c r="C26" s="8">
        <f t="shared" si="1"/>
        <v>3283.2635532039999</v>
      </c>
      <c r="D26" s="8">
        <f t="shared" si="1"/>
        <v>373.22958299999993</v>
      </c>
      <c r="E26" s="8">
        <f t="shared" si="1"/>
        <v>3656.4931362040006</v>
      </c>
      <c r="F26" s="2">
        <v>256.09816945899996</v>
      </c>
      <c r="G26" s="9">
        <v>0</v>
      </c>
      <c r="H26" s="9">
        <f t="shared" si="2"/>
        <v>256.09816945899996</v>
      </c>
      <c r="I26" s="2">
        <v>240.927663392</v>
      </c>
      <c r="J26" s="9">
        <v>0</v>
      </c>
      <c r="K26" s="9">
        <f t="shared" si="3"/>
        <v>240.927663392</v>
      </c>
      <c r="L26" s="2">
        <v>200.50000137299995</v>
      </c>
      <c r="M26" s="9">
        <v>215.9724756</v>
      </c>
      <c r="N26" s="9">
        <f t="shared" si="4"/>
        <v>416.47247697299997</v>
      </c>
      <c r="O26" s="2">
        <v>298.94263289600008</v>
      </c>
      <c r="P26" s="9">
        <v>0</v>
      </c>
      <c r="Q26" s="9">
        <f t="shared" si="5"/>
        <v>298.94263289600008</v>
      </c>
      <c r="R26" s="2">
        <v>253.05347735199996</v>
      </c>
      <c r="S26" s="9">
        <v>0</v>
      </c>
      <c r="T26" s="9">
        <f t="shared" si="6"/>
        <v>253.05347735199996</v>
      </c>
      <c r="U26" s="2">
        <v>205.93040501800004</v>
      </c>
      <c r="V26" s="9">
        <v>0</v>
      </c>
      <c r="W26" s="9">
        <f t="shared" si="7"/>
        <v>205.93040501800004</v>
      </c>
      <c r="X26" s="2">
        <v>269.4092932879999</v>
      </c>
      <c r="Y26" s="9">
        <v>176.00958299999999</v>
      </c>
      <c r="Z26" s="9">
        <f t="shared" si="8"/>
        <v>445.41887628799986</v>
      </c>
      <c r="AA26" s="2">
        <v>290.40056073099993</v>
      </c>
      <c r="AB26" s="9">
        <v>0</v>
      </c>
      <c r="AC26" s="9">
        <f t="shared" si="9"/>
        <v>290.40056073099993</v>
      </c>
      <c r="AD26" s="10">
        <v>247.89219725300003</v>
      </c>
      <c r="AE26" s="9">
        <v>0</v>
      </c>
      <c r="AF26" s="9">
        <f t="shared" si="10"/>
        <v>247.89219725300003</v>
      </c>
      <c r="AG26" s="9">
        <v>391.59689878900002</v>
      </c>
      <c r="AH26" s="9">
        <v>0</v>
      </c>
      <c r="AI26" s="9">
        <f t="shared" si="11"/>
        <v>391.59689878900002</v>
      </c>
      <c r="AJ26" s="9">
        <v>258.45447741800001</v>
      </c>
      <c r="AK26" s="9">
        <v>0</v>
      </c>
      <c r="AL26" s="9">
        <f t="shared" si="12"/>
        <v>258.45447741800001</v>
      </c>
      <c r="AM26" s="10">
        <v>370.05777623500001</v>
      </c>
      <c r="AN26" s="9">
        <v>-18.7524756</v>
      </c>
      <c r="AO26" s="9">
        <f t="shared" si="13"/>
        <v>351.30530063499998</v>
      </c>
    </row>
    <row r="27" spans="1:41" x14ac:dyDescent="0.3">
      <c r="A27" s="14">
        <v>21</v>
      </c>
      <c r="B27" s="7" t="s">
        <v>20</v>
      </c>
      <c r="C27" s="8">
        <f t="shared" si="1"/>
        <v>4715.6655060159992</v>
      </c>
      <c r="D27" s="8">
        <f t="shared" si="1"/>
        <v>646.11265739999988</v>
      </c>
      <c r="E27" s="8">
        <f t="shared" si="1"/>
        <v>5361.7781634160001</v>
      </c>
      <c r="F27" s="2">
        <v>63.13483771100001</v>
      </c>
      <c r="G27" s="9">
        <v>0</v>
      </c>
      <c r="H27" s="9">
        <f t="shared" si="2"/>
        <v>63.13483771100001</v>
      </c>
      <c r="I27" s="2">
        <v>163.36838647899998</v>
      </c>
      <c r="J27" s="9">
        <v>0</v>
      </c>
      <c r="K27" s="9">
        <f t="shared" si="3"/>
        <v>163.36838647899998</v>
      </c>
      <c r="L27" s="2">
        <v>212.36610599499997</v>
      </c>
      <c r="M27" s="9">
        <v>372.10602990000001</v>
      </c>
      <c r="N27" s="9">
        <f t="shared" si="4"/>
        <v>584.47213589499995</v>
      </c>
      <c r="O27" s="2">
        <v>383.97392005500001</v>
      </c>
      <c r="P27" s="9">
        <v>0</v>
      </c>
      <c r="Q27" s="9">
        <f t="shared" si="5"/>
        <v>383.97392005500001</v>
      </c>
      <c r="R27" s="2">
        <v>362.97255429400008</v>
      </c>
      <c r="S27" s="9">
        <v>0</v>
      </c>
      <c r="T27" s="9">
        <f t="shared" si="6"/>
        <v>362.97255429400008</v>
      </c>
      <c r="U27" s="2">
        <v>291.93142691800006</v>
      </c>
      <c r="V27" s="9">
        <v>0</v>
      </c>
      <c r="W27" s="9">
        <f t="shared" si="7"/>
        <v>291.93142691800006</v>
      </c>
      <c r="X27" s="2">
        <v>572.97508196900003</v>
      </c>
      <c r="Y27" s="9">
        <v>303.25265739999998</v>
      </c>
      <c r="Z27" s="9">
        <f t="shared" si="8"/>
        <v>876.22773936900001</v>
      </c>
      <c r="AA27" s="2">
        <v>439.97842648</v>
      </c>
      <c r="AB27" s="9">
        <v>0</v>
      </c>
      <c r="AC27" s="9">
        <f t="shared" si="9"/>
        <v>439.97842648</v>
      </c>
      <c r="AD27" s="10">
        <v>527.04395945099998</v>
      </c>
      <c r="AE27" s="9">
        <v>0</v>
      </c>
      <c r="AF27" s="9">
        <f t="shared" si="10"/>
        <v>527.04395945099998</v>
      </c>
      <c r="AG27" s="9">
        <v>617.00569526999993</v>
      </c>
      <c r="AH27" s="9">
        <v>0</v>
      </c>
      <c r="AI27" s="9">
        <f t="shared" si="11"/>
        <v>617.00569526999993</v>
      </c>
      <c r="AJ27" s="9">
        <v>506.58703180300006</v>
      </c>
      <c r="AK27" s="9">
        <v>0</v>
      </c>
      <c r="AL27" s="9">
        <f t="shared" si="12"/>
        <v>506.58703180300006</v>
      </c>
      <c r="AM27" s="10">
        <v>574.32807959100001</v>
      </c>
      <c r="AN27" s="9">
        <v>-29.2460299</v>
      </c>
      <c r="AO27" s="9">
        <f t="shared" si="13"/>
        <v>545.08204969099995</v>
      </c>
    </row>
    <row r="28" spans="1:41" x14ac:dyDescent="0.3">
      <c r="A28" s="14">
        <v>22</v>
      </c>
      <c r="B28" s="7" t="s">
        <v>33</v>
      </c>
      <c r="C28" s="8">
        <f t="shared" si="1"/>
        <v>3471.5274610010001</v>
      </c>
      <c r="D28" s="8">
        <f t="shared" si="1"/>
        <v>429.84837050000004</v>
      </c>
      <c r="E28" s="8">
        <f t="shared" si="1"/>
        <v>3901.375831501</v>
      </c>
      <c r="F28" s="2">
        <v>265.32533799999993</v>
      </c>
      <c r="G28" s="9">
        <v>0</v>
      </c>
      <c r="H28" s="9">
        <f t="shared" si="2"/>
        <v>265.32533799999993</v>
      </c>
      <c r="I28" s="2">
        <v>105.34772565300003</v>
      </c>
      <c r="J28" s="9">
        <v>0</v>
      </c>
      <c r="K28" s="9">
        <f t="shared" si="3"/>
        <v>105.34772565300003</v>
      </c>
      <c r="L28" s="2">
        <v>164.84660485299997</v>
      </c>
      <c r="M28" s="9">
        <v>247.82519360000001</v>
      </c>
      <c r="N28" s="9">
        <f t="shared" si="4"/>
        <v>412.67179845299995</v>
      </c>
      <c r="O28" s="2">
        <v>283.41883450000012</v>
      </c>
      <c r="P28" s="9">
        <v>0</v>
      </c>
      <c r="Q28" s="9">
        <f t="shared" si="5"/>
        <v>283.41883450000012</v>
      </c>
      <c r="R28" s="2">
        <v>246.29236180800004</v>
      </c>
      <c r="S28" s="9">
        <v>0</v>
      </c>
      <c r="T28" s="9">
        <f t="shared" si="6"/>
        <v>246.29236180800004</v>
      </c>
      <c r="U28" s="2">
        <v>230.98610014099992</v>
      </c>
      <c r="V28" s="9">
        <v>0</v>
      </c>
      <c r="W28" s="9">
        <f t="shared" si="7"/>
        <v>230.98610014099992</v>
      </c>
      <c r="X28" s="2">
        <v>361.97998354599997</v>
      </c>
      <c r="Y28" s="9">
        <v>201.96837049999999</v>
      </c>
      <c r="Z28" s="9">
        <f t="shared" si="8"/>
        <v>563.94835404599996</v>
      </c>
      <c r="AA28" s="2">
        <v>392.31272844699998</v>
      </c>
      <c r="AB28" s="9">
        <v>0</v>
      </c>
      <c r="AC28" s="9">
        <f t="shared" si="9"/>
        <v>392.31272844699998</v>
      </c>
      <c r="AD28" s="10">
        <v>416.02846176200006</v>
      </c>
      <c r="AE28" s="9">
        <v>0</v>
      </c>
      <c r="AF28" s="9">
        <f t="shared" si="10"/>
        <v>416.02846176200006</v>
      </c>
      <c r="AG28" s="9">
        <v>282.51237290699999</v>
      </c>
      <c r="AH28" s="9">
        <v>0</v>
      </c>
      <c r="AI28" s="9">
        <f t="shared" si="11"/>
        <v>282.51237290699999</v>
      </c>
      <c r="AJ28" s="9">
        <v>328.9483671700001</v>
      </c>
      <c r="AK28" s="9">
        <v>0</v>
      </c>
      <c r="AL28" s="9">
        <f t="shared" si="12"/>
        <v>328.9483671700001</v>
      </c>
      <c r="AM28" s="10">
        <v>393.52858221400004</v>
      </c>
      <c r="AN28" s="9">
        <v>-19.9451936</v>
      </c>
      <c r="AO28" s="9">
        <f t="shared" si="13"/>
        <v>373.58338861400006</v>
      </c>
    </row>
    <row r="29" spans="1:41" x14ac:dyDescent="0.3">
      <c r="A29" s="14">
        <v>23</v>
      </c>
      <c r="B29" s="7" t="s">
        <v>21</v>
      </c>
      <c r="C29" s="8">
        <f t="shared" si="1"/>
        <v>15975.295176183501</v>
      </c>
      <c r="D29" s="8">
        <f t="shared" si="1"/>
        <v>867.56243019999999</v>
      </c>
      <c r="E29" s="8">
        <f t="shared" si="1"/>
        <v>16842.857606383499</v>
      </c>
      <c r="F29" s="2">
        <v>1314.9695815819998</v>
      </c>
      <c r="G29" s="9">
        <v>0</v>
      </c>
      <c r="H29" s="9">
        <f t="shared" si="2"/>
        <v>1314.9695815819998</v>
      </c>
      <c r="I29" s="2">
        <v>1141.1659857210002</v>
      </c>
      <c r="J29" s="9">
        <v>0</v>
      </c>
      <c r="K29" s="9">
        <f t="shared" si="3"/>
        <v>1141.1659857210002</v>
      </c>
      <c r="L29" s="2">
        <v>1202.463421919</v>
      </c>
      <c r="M29" s="9">
        <v>516.27180009999995</v>
      </c>
      <c r="N29" s="9">
        <f t="shared" si="4"/>
        <v>1718.735222019</v>
      </c>
      <c r="O29" s="2">
        <v>1231.6478286250001</v>
      </c>
      <c r="P29" s="9">
        <v>0</v>
      </c>
      <c r="Q29" s="9">
        <f t="shared" si="5"/>
        <v>1231.6478286250001</v>
      </c>
      <c r="R29" s="2">
        <v>1068.0660516360001</v>
      </c>
      <c r="S29" s="9">
        <v>0</v>
      </c>
      <c r="T29" s="9">
        <f t="shared" si="6"/>
        <v>1068.0660516360001</v>
      </c>
      <c r="U29" s="2">
        <v>1026.9788600510001</v>
      </c>
      <c r="V29" s="9">
        <v>0</v>
      </c>
      <c r="W29" s="9">
        <f t="shared" si="7"/>
        <v>1026.9788600510001</v>
      </c>
      <c r="X29" s="2">
        <v>1388.0145022274999</v>
      </c>
      <c r="Y29" s="9">
        <v>420.7424302</v>
      </c>
      <c r="Z29" s="9">
        <f t="shared" si="8"/>
        <v>1808.7569324274998</v>
      </c>
      <c r="AA29" s="2">
        <v>1437.0832633160001</v>
      </c>
      <c r="AB29" s="9">
        <v>0</v>
      </c>
      <c r="AC29" s="9">
        <f t="shared" si="9"/>
        <v>1437.0832633160001</v>
      </c>
      <c r="AD29" s="10">
        <v>2150.412833589</v>
      </c>
      <c r="AE29" s="9">
        <v>0</v>
      </c>
      <c r="AF29" s="9">
        <f t="shared" si="10"/>
        <v>2150.412833589</v>
      </c>
      <c r="AG29" s="9">
        <v>1355.6551589859998</v>
      </c>
      <c r="AH29" s="9">
        <v>0</v>
      </c>
      <c r="AI29" s="9">
        <f t="shared" si="11"/>
        <v>1355.6551589859998</v>
      </c>
      <c r="AJ29" s="9">
        <v>1290.4502095070002</v>
      </c>
      <c r="AK29" s="9">
        <v>0</v>
      </c>
      <c r="AL29" s="9">
        <f t="shared" si="12"/>
        <v>1290.4502095070002</v>
      </c>
      <c r="AM29" s="10">
        <v>1368.3874790240002</v>
      </c>
      <c r="AN29" s="9">
        <v>-69.4518001</v>
      </c>
      <c r="AO29" s="9">
        <f t="shared" si="13"/>
        <v>1298.9356789240003</v>
      </c>
    </row>
    <row r="30" spans="1:41" x14ac:dyDescent="0.3">
      <c r="A30" s="14">
        <v>24</v>
      </c>
      <c r="B30" s="7" t="s">
        <v>34</v>
      </c>
      <c r="C30" s="8">
        <f t="shared" si="1"/>
        <v>18433.751749319501</v>
      </c>
      <c r="D30" s="8">
        <f t="shared" si="1"/>
        <v>1666.2480978999999</v>
      </c>
      <c r="E30" s="8">
        <f t="shared" si="1"/>
        <v>20099.9998472195</v>
      </c>
      <c r="F30" s="2">
        <v>1161.4769432729997</v>
      </c>
      <c r="G30" s="9">
        <v>0</v>
      </c>
      <c r="H30" s="9">
        <f t="shared" si="2"/>
        <v>1161.4769432729997</v>
      </c>
      <c r="I30" s="2">
        <v>1120.8774381149999</v>
      </c>
      <c r="J30" s="9">
        <v>0</v>
      </c>
      <c r="K30" s="9">
        <f t="shared" si="3"/>
        <v>1120.8774381149999</v>
      </c>
      <c r="L30" s="2">
        <v>1226.3086489450002</v>
      </c>
      <c r="M30" s="9">
        <v>971.78408019999995</v>
      </c>
      <c r="N30" s="9">
        <f t="shared" si="4"/>
        <v>2198.0927291450002</v>
      </c>
      <c r="O30" s="2">
        <v>1439.5202295399997</v>
      </c>
      <c r="P30" s="9">
        <v>0</v>
      </c>
      <c r="Q30" s="9">
        <f t="shared" si="5"/>
        <v>1439.5202295399997</v>
      </c>
      <c r="R30" s="2">
        <v>1237.6784922090001</v>
      </c>
      <c r="S30" s="9">
        <v>0</v>
      </c>
      <c r="T30" s="9">
        <f t="shared" si="6"/>
        <v>1237.6784922090001</v>
      </c>
      <c r="U30" s="2">
        <v>1332.9588864349998</v>
      </c>
      <c r="V30" s="9">
        <v>0</v>
      </c>
      <c r="W30" s="9">
        <f t="shared" si="7"/>
        <v>1332.9588864349998</v>
      </c>
      <c r="X30" s="2">
        <v>1909.9717628814999</v>
      </c>
      <c r="Y30" s="9">
        <v>791.96809789999998</v>
      </c>
      <c r="Z30" s="9">
        <f t="shared" si="8"/>
        <v>2701.9398607815001</v>
      </c>
      <c r="AA30" s="2">
        <v>1445.1980786279996</v>
      </c>
      <c r="AB30" s="9">
        <v>0</v>
      </c>
      <c r="AC30" s="9">
        <f t="shared" si="9"/>
        <v>1445.1980786279996</v>
      </c>
      <c r="AD30" s="10">
        <v>1788.8114303560001</v>
      </c>
      <c r="AE30" s="9">
        <v>0</v>
      </c>
      <c r="AF30" s="9">
        <f t="shared" si="10"/>
        <v>1788.8114303560001</v>
      </c>
      <c r="AG30" s="9">
        <v>1899.3494592869999</v>
      </c>
      <c r="AH30" s="9">
        <v>0</v>
      </c>
      <c r="AI30" s="9">
        <f t="shared" si="11"/>
        <v>1899.3494592869999</v>
      </c>
      <c r="AJ30" s="9">
        <v>1953.9429900150001</v>
      </c>
      <c r="AK30" s="9">
        <v>0</v>
      </c>
      <c r="AL30" s="9">
        <f t="shared" si="12"/>
        <v>1953.9429900150001</v>
      </c>
      <c r="AM30" s="10">
        <v>1917.6573896350003</v>
      </c>
      <c r="AN30" s="9">
        <v>-97.504080200000004</v>
      </c>
      <c r="AO30" s="9">
        <f t="shared" si="13"/>
        <v>1820.1533094350002</v>
      </c>
    </row>
    <row r="31" spans="1:41" x14ac:dyDescent="0.3">
      <c r="A31" s="14">
        <v>25</v>
      </c>
      <c r="B31" s="7" t="s">
        <v>22</v>
      </c>
      <c r="C31" s="8">
        <f t="shared" si="1"/>
        <v>0.94460383799999992</v>
      </c>
      <c r="D31" s="8">
        <f t="shared" si="1"/>
        <v>39.428256699999991</v>
      </c>
      <c r="E31" s="8">
        <f t="shared" si="1"/>
        <v>40.372860537999998</v>
      </c>
      <c r="F31" s="2">
        <v>8.2148212999999998E-2</v>
      </c>
      <c r="G31" s="9">
        <v>0</v>
      </c>
      <c r="H31" s="9">
        <f t="shared" si="2"/>
        <v>8.2148212999999998E-2</v>
      </c>
      <c r="I31" s="2">
        <v>5.0890128999999999E-2</v>
      </c>
      <c r="J31" s="9">
        <v>0</v>
      </c>
      <c r="K31" s="9">
        <f t="shared" si="3"/>
        <v>5.0890128999999999E-2</v>
      </c>
      <c r="L31" s="2">
        <v>5.1317115000000003E-2</v>
      </c>
      <c r="M31" s="9">
        <v>21.7261314</v>
      </c>
      <c r="N31" s="9">
        <f t="shared" si="4"/>
        <v>21.777448515</v>
      </c>
      <c r="O31" s="2">
        <v>0.15418923800000001</v>
      </c>
      <c r="P31" s="9">
        <v>0</v>
      </c>
      <c r="Q31" s="9">
        <f t="shared" si="5"/>
        <v>0.15418923800000001</v>
      </c>
      <c r="R31" s="2">
        <v>4.6760786999999998E-2</v>
      </c>
      <c r="S31" s="9">
        <v>0</v>
      </c>
      <c r="T31" s="9">
        <f t="shared" si="6"/>
        <v>4.6760786999999998E-2</v>
      </c>
      <c r="U31" s="2">
        <v>4.6744255999999998E-2</v>
      </c>
      <c r="V31" s="9">
        <v>0</v>
      </c>
      <c r="W31" s="9">
        <f t="shared" si="7"/>
        <v>4.6744255999999998E-2</v>
      </c>
      <c r="X31" s="2">
        <v>0.31865571300000001</v>
      </c>
      <c r="Y31" s="9">
        <v>17.705993899999999</v>
      </c>
      <c r="Z31" s="9">
        <f t="shared" si="8"/>
        <v>18.024649612999998</v>
      </c>
      <c r="AA31" s="2">
        <v>7.0274424000000002E-2</v>
      </c>
      <c r="AB31" s="9">
        <v>0</v>
      </c>
      <c r="AC31" s="9">
        <f t="shared" si="9"/>
        <v>7.0274424000000002E-2</v>
      </c>
      <c r="AD31" s="10">
        <v>4.7909283000000004E-2</v>
      </c>
      <c r="AE31" s="9">
        <v>0</v>
      </c>
      <c r="AF31" s="9">
        <f t="shared" si="10"/>
        <v>4.7909283000000004E-2</v>
      </c>
      <c r="AG31" s="9">
        <v>3.494746E-2</v>
      </c>
      <c r="AH31" s="9">
        <v>0</v>
      </c>
      <c r="AI31" s="9">
        <f t="shared" si="11"/>
        <v>3.494746E-2</v>
      </c>
      <c r="AJ31" s="9">
        <v>2.6237508000000003E-2</v>
      </c>
      <c r="AK31" s="9">
        <v>0</v>
      </c>
      <c r="AL31" s="9">
        <f t="shared" si="12"/>
        <v>2.6237508000000003E-2</v>
      </c>
      <c r="AM31" s="10">
        <v>1.4529712E-2</v>
      </c>
      <c r="AN31" s="9">
        <v>-3.8686000000005549E-3</v>
      </c>
      <c r="AO31" s="9">
        <f t="shared" si="13"/>
        <v>1.0661111999999445E-2</v>
      </c>
    </row>
    <row r="32" spans="1:41" x14ac:dyDescent="0.3">
      <c r="A32" s="14">
        <v>26</v>
      </c>
      <c r="B32" s="7" t="s">
        <v>23</v>
      </c>
      <c r="C32" s="8">
        <f t="shared" si="1"/>
        <v>455.93229387050002</v>
      </c>
      <c r="D32" s="8">
        <f t="shared" si="1"/>
        <v>44.987111299999995</v>
      </c>
      <c r="E32" s="8">
        <f t="shared" si="1"/>
        <v>500.9194051705</v>
      </c>
      <c r="F32" s="2">
        <v>55.140789988999998</v>
      </c>
      <c r="G32" s="9">
        <v>0</v>
      </c>
      <c r="H32" s="9">
        <f t="shared" si="2"/>
        <v>55.140789988999998</v>
      </c>
      <c r="I32" s="2">
        <v>45.279925857000002</v>
      </c>
      <c r="J32" s="9">
        <v>0</v>
      </c>
      <c r="K32" s="9">
        <f t="shared" si="3"/>
        <v>45.279925857000002</v>
      </c>
      <c r="L32" s="2">
        <v>-19.72703022</v>
      </c>
      <c r="M32" s="9">
        <v>25.7767661</v>
      </c>
      <c r="N32" s="9">
        <f t="shared" si="4"/>
        <v>6.0497358800000001</v>
      </c>
      <c r="O32" s="2">
        <v>32.328595555</v>
      </c>
      <c r="P32" s="9">
        <v>0</v>
      </c>
      <c r="Q32" s="9">
        <f t="shared" si="5"/>
        <v>32.328595555</v>
      </c>
      <c r="R32" s="2">
        <v>38.494483354999993</v>
      </c>
      <c r="S32" s="9">
        <v>0</v>
      </c>
      <c r="T32" s="9">
        <f t="shared" si="6"/>
        <v>38.494483354999993</v>
      </c>
      <c r="U32" s="2">
        <v>32.087096807000002</v>
      </c>
      <c r="V32" s="9">
        <v>0</v>
      </c>
      <c r="W32" s="9">
        <f t="shared" si="7"/>
        <v>32.087096807000002</v>
      </c>
      <c r="X32" s="2">
        <v>53.161991745500004</v>
      </c>
      <c r="Y32" s="9">
        <v>21.007111299999998</v>
      </c>
      <c r="Z32" s="9">
        <f t="shared" si="8"/>
        <v>74.169103045500009</v>
      </c>
      <c r="AA32" s="2">
        <v>35.892247178999995</v>
      </c>
      <c r="AB32" s="9">
        <v>0</v>
      </c>
      <c r="AC32" s="9">
        <f t="shared" si="9"/>
        <v>35.892247178999995</v>
      </c>
      <c r="AD32" s="10">
        <v>46.235150659000006</v>
      </c>
      <c r="AE32" s="9">
        <v>0</v>
      </c>
      <c r="AF32" s="9">
        <f t="shared" si="10"/>
        <v>46.235150659000006</v>
      </c>
      <c r="AG32" s="9">
        <v>66.962843628999991</v>
      </c>
      <c r="AH32" s="9">
        <v>0</v>
      </c>
      <c r="AI32" s="9">
        <f t="shared" si="11"/>
        <v>66.962843628999991</v>
      </c>
      <c r="AJ32" s="9">
        <v>34.460392753000001</v>
      </c>
      <c r="AK32" s="9">
        <v>0</v>
      </c>
      <c r="AL32" s="9">
        <f t="shared" si="12"/>
        <v>34.460392753000001</v>
      </c>
      <c r="AM32" s="10">
        <v>35.615806562000003</v>
      </c>
      <c r="AN32" s="9">
        <v>-1.7967660999999999</v>
      </c>
      <c r="AO32" s="9">
        <f t="shared" si="13"/>
        <v>33.819040462000004</v>
      </c>
    </row>
    <row r="33" spans="1:41" x14ac:dyDescent="0.3">
      <c r="A33" s="14">
        <v>27</v>
      </c>
      <c r="B33" s="7" t="s">
        <v>35</v>
      </c>
      <c r="C33" s="8">
        <f t="shared" si="1"/>
        <v>39726.630705519994</v>
      </c>
      <c r="D33" s="8">
        <f t="shared" si="1"/>
        <v>3531.4621522000002</v>
      </c>
      <c r="E33" s="8">
        <f t="shared" si="1"/>
        <v>43258.092857719996</v>
      </c>
      <c r="F33" s="2">
        <v>3023.6151313210003</v>
      </c>
      <c r="G33" s="9">
        <v>0</v>
      </c>
      <c r="H33" s="9">
        <f t="shared" si="2"/>
        <v>3023.6151313210003</v>
      </c>
      <c r="I33" s="2">
        <v>2443.2643268740003</v>
      </c>
      <c r="J33" s="9">
        <v>0</v>
      </c>
      <c r="K33" s="9">
        <f t="shared" si="3"/>
        <v>2443.2643268740003</v>
      </c>
      <c r="L33" s="2">
        <v>2770.8280799890003</v>
      </c>
      <c r="M33" s="9">
        <v>2037.6533565</v>
      </c>
      <c r="N33" s="9">
        <f t="shared" si="4"/>
        <v>4808.4814364890008</v>
      </c>
      <c r="O33" s="2">
        <v>3248.479928711999</v>
      </c>
      <c r="P33" s="9">
        <v>0</v>
      </c>
      <c r="Q33" s="9">
        <f t="shared" si="5"/>
        <v>3248.479928711999</v>
      </c>
      <c r="R33" s="2">
        <v>2958.8622716010004</v>
      </c>
      <c r="S33" s="9">
        <v>0</v>
      </c>
      <c r="T33" s="9">
        <f t="shared" si="6"/>
        <v>2958.8622716010004</v>
      </c>
      <c r="U33" s="2">
        <v>3144.9603839489996</v>
      </c>
      <c r="V33" s="9">
        <v>0</v>
      </c>
      <c r="W33" s="9">
        <f t="shared" si="7"/>
        <v>3144.9603839489996</v>
      </c>
      <c r="X33" s="2">
        <v>4113.9033346249998</v>
      </c>
      <c r="Y33" s="9">
        <v>1660.6121522000001</v>
      </c>
      <c r="Z33" s="9">
        <f t="shared" si="8"/>
        <v>5774.5154868250002</v>
      </c>
      <c r="AA33" s="2">
        <v>3241.3057171710002</v>
      </c>
      <c r="AB33" s="9">
        <v>0</v>
      </c>
      <c r="AC33" s="9">
        <f t="shared" si="9"/>
        <v>3241.3057171710002</v>
      </c>
      <c r="AD33" s="10">
        <v>3828.7477286810004</v>
      </c>
      <c r="AE33" s="9">
        <v>0</v>
      </c>
      <c r="AF33" s="9">
        <f t="shared" si="10"/>
        <v>3828.7477286810004</v>
      </c>
      <c r="AG33" s="9">
        <v>4149.4202771569999</v>
      </c>
      <c r="AH33" s="9">
        <v>0</v>
      </c>
      <c r="AI33" s="9">
        <f t="shared" si="11"/>
        <v>4149.4202771569999</v>
      </c>
      <c r="AJ33" s="9">
        <v>3520.8638466479997</v>
      </c>
      <c r="AK33" s="9">
        <v>0</v>
      </c>
      <c r="AL33" s="9">
        <f t="shared" si="12"/>
        <v>3520.8638466479997</v>
      </c>
      <c r="AM33" s="10">
        <v>3282.3796787919996</v>
      </c>
      <c r="AN33" s="9">
        <v>-166.80335650000001</v>
      </c>
      <c r="AO33" s="9">
        <f t="shared" si="13"/>
        <v>3115.5763222919995</v>
      </c>
    </row>
    <row r="34" spans="1:41" x14ac:dyDescent="0.3">
      <c r="A34" s="14">
        <v>29</v>
      </c>
      <c r="B34" s="7" t="s">
        <v>24</v>
      </c>
      <c r="C34" s="8">
        <f t="shared" si="1"/>
        <v>27976.733685984003</v>
      </c>
      <c r="D34" s="8">
        <f t="shared" si="1"/>
        <v>2089.6558081000003</v>
      </c>
      <c r="E34" s="8">
        <f t="shared" si="1"/>
        <v>30066.389494084004</v>
      </c>
      <c r="F34" s="2">
        <v>2099.7866083900003</v>
      </c>
      <c r="G34" s="9">
        <v>0</v>
      </c>
      <c r="H34" s="9">
        <f t="shared" si="2"/>
        <v>2099.7866083900003</v>
      </c>
      <c r="I34" s="2">
        <v>1852.8494525410003</v>
      </c>
      <c r="J34" s="9">
        <v>0</v>
      </c>
      <c r="K34" s="9">
        <f t="shared" si="3"/>
        <v>1852.8494525410003</v>
      </c>
      <c r="L34" s="2">
        <v>1967.0682029580003</v>
      </c>
      <c r="M34" s="9">
        <v>1217.215717</v>
      </c>
      <c r="N34" s="9">
        <f t="shared" si="4"/>
        <v>3184.2839199580003</v>
      </c>
      <c r="O34" s="2">
        <v>2309.4959255690005</v>
      </c>
      <c r="P34" s="9">
        <v>0</v>
      </c>
      <c r="Q34" s="9">
        <f t="shared" si="5"/>
        <v>2309.4959255690005</v>
      </c>
      <c r="R34" s="2">
        <v>2092.9288246240003</v>
      </c>
      <c r="S34" s="9">
        <v>0</v>
      </c>
      <c r="T34" s="9">
        <f t="shared" si="6"/>
        <v>2092.9288246240003</v>
      </c>
      <c r="U34" s="2">
        <v>2257.1853967439997</v>
      </c>
      <c r="V34" s="9">
        <v>0</v>
      </c>
      <c r="W34" s="9">
        <f t="shared" si="7"/>
        <v>2257.1853967439997</v>
      </c>
      <c r="X34" s="2">
        <v>2887.9288831590002</v>
      </c>
      <c r="Y34" s="9">
        <v>991.98580809999999</v>
      </c>
      <c r="Z34" s="9">
        <f t="shared" si="8"/>
        <v>3879.9146912590004</v>
      </c>
      <c r="AA34" s="2">
        <v>2366.3652858970004</v>
      </c>
      <c r="AB34" s="9">
        <v>0</v>
      </c>
      <c r="AC34" s="9">
        <f t="shared" si="9"/>
        <v>2366.3652858970004</v>
      </c>
      <c r="AD34" s="10">
        <v>2540.1465745189998</v>
      </c>
      <c r="AE34" s="9">
        <v>0</v>
      </c>
      <c r="AF34" s="9">
        <f t="shared" si="10"/>
        <v>2540.1465745189998</v>
      </c>
      <c r="AG34" s="9">
        <v>2795.6336852919999</v>
      </c>
      <c r="AH34" s="9">
        <v>0</v>
      </c>
      <c r="AI34" s="9">
        <f t="shared" si="11"/>
        <v>2795.6336852919999</v>
      </c>
      <c r="AJ34" s="9">
        <v>2454.2930647590001</v>
      </c>
      <c r="AK34" s="9">
        <v>0</v>
      </c>
      <c r="AL34" s="9">
        <f t="shared" si="12"/>
        <v>2454.2930647590001</v>
      </c>
      <c r="AM34" s="10">
        <v>2353.0517815320004</v>
      </c>
      <c r="AN34" s="9">
        <v>-119.545717</v>
      </c>
      <c r="AO34" s="9">
        <f t="shared" si="13"/>
        <v>2233.5060645320004</v>
      </c>
    </row>
    <row r="35" spans="1:41" x14ac:dyDescent="0.3">
      <c r="A35" s="14">
        <v>30</v>
      </c>
      <c r="B35" s="7" t="s">
        <v>25</v>
      </c>
      <c r="C35" s="8">
        <f t="shared" si="1"/>
        <v>1440.7728707534998</v>
      </c>
      <c r="D35" s="8">
        <f t="shared" si="1"/>
        <v>126.1302673</v>
      </c>
      <c r="E35" s="8">
        <f t="shared" si="1"/>
        <v>1566.9031380534998</v>
      </c>
      <c r="F35" s="2">
        <v>140.74639158300002</v>
      </c>
      <c r="G35" s="9">
        <v>0</v>
      </c>
      <c r="H35" s="9">
        <f t="shared" si="2"/>
        <v>140.74639158300002</v>
      </c>
      <c r="I35" s="2">
        <v>99.914223768999989</v>
      </c>
      <c r="J35" s="9">
        <v>0</v>
      </c>
      <c r="K35" s="9">
        <f t="shared" si="3"/>
        <v>99.914223768999989</v>
      </c>
      <c r="L35" s="2">
        <v>95.708726050999985</v>
      </c>
      <c r="M35" s="9">
        <v>73.463783300000003</v>
      </c>
      <c r="N35" s="9">
        <f t="shared" si="4"/>
        <v>169.17250935099997</v>
      </c>
      <c r="O35" s="2">
        <v>111.76802074000001</v>
      </c>
      <c r="P35" s="9">
        <v>0</v>
      </c>
      <c r="Q35" s="9">
        <f t="shared" si="5"/>
        <v>111.76802074000001</v>
      </c>
      <c r="R35" s="2">
        <v>111.41291422899999</v>
      </c>
      <c r="S35" s="9">
        <v>0</v>
      </c>
      <c r="T35" s="9">
        <f t="shared" si="6"/>
        <v>111.41291422899999</v>
      </c>
      <c r="U35" s="2">
        <v>80.247069579000012</v>
      </c>
      <c r="V35" s="9">
        <v>0</v>
      </c>
      <c r="W35" s="9">
        <f t="shared" si="7"/>
        <v>80.247069579000012</v>
      </c>
      <c r="X35" s="2">
        <v>131.65965615349998</v>
      </c>
      <c r="Y35" s="9">
        <v>59.870267300000002</v>
      </c>
      <c r="Z35" s="9">
        <f t="shared" si="8"/>
        <v>191.52992345349998</v>
      </c>
      <c r="AA35" s="2">
        <v>140.11855371500002</v>
      </c>
      <c r="AB35" s="9">
        <v>0</v>
      </c>
      <c r="AC35" s="9">
        <f t="shared" si="9"/>
        <v>140.11855371500002</v>
      </c>
      <c r="AD35" s="10">
        <v>118.28950541499998</v>
      </c>
      <c r="AE35" s="9">
        <v>0</v>
      </c>
      <c r="AF35" s="9">
        <f t="shared" si="10"/>
        <v>118.28950541499998</v>
      </c>
      <c r="AG35" s="9">
        <v>136.785042366</v>
      </c>
      <c r="AH35" s="9">
        <v>0</v>
      </c>
      <c r="AI35" s="9">
        <f t="shared" si="11"/>
        <v>136.785042366</v>
      </c>
      <c r="AJ35" s="9">
        <v>132.60968798800002</v>
      </c>
      <c r="AK35" s="9">
        <v>0</v>
      </c>
      <c r="AL35" s="9">
        <f t="shared" si="12"/>
        <v>132.60968798800002</v>
      </c>
      <c r="AM35" s="10">
        <v>141.51307916500002</v>
      </c>
      <c r="AN35" s="9">
        <v>-7.2037833000000102</v>
      </c>
      <c r="AO35" s="9">
        <f t="shared" si="13"/>
        <v>134.30929586500002</v>
      </c>
    </row>
    <row r="36" spans="1:41" x14ac:dyDescent="0.3">
      <c r="A36" s="14">
        <v>31</v>
      </c>
      <c r="B36" s="7" t="s">
        <v>26</v>
      </c>
      <c r="C36" s="8">
        <f t="shared" si="1"/>
        <v>37.134391500999996</v>
      </c>
      <c r="D36" s="8">
        <f t="shared" si="1"/>
        <v>0</v>
      </c>
      <c r="E36" s="8">
        <f t="shared" si="1"/>
        <v>37.134391500999996</v>
      </c>
      <c r="F36" s="2">
        <v>2.4354177579999998</v>
      </c>
      <c r="G36" s="9">
        <v>0</v>
      </c>
      <c r="H36" s="9">
        <f t="shared" si="2"/>
        <v>2.4354177579999998</v>
      </c>
      <c r="I36" s="2">
        <v>1.3735599830000003</v>
      </c>
      <c r="J36" s="9">
        <v>0</v>
      </c>
      <c r="K36" s="9">
        <f t="shared" si="3"/>
        <v>1.3735599830000003</v>
      </c>
      <c r="L36" s="2">
        <v>1.6879955100000001</v>
      </c>
      <c r="M36" s="9">
        <v>0</v>
      </c>
      <c r="N36" s="9">
        <f t="shared" si="4"/>
        <v>1.6879955100000001</v>
      </c>
      <c r="O36" s="2">
        <v>2.5629069189999996</v>
      </c>
      <c r="P36" s="9">
        <v>0</v>
      </c>
      <c r="Q36" s="9">
        <f t="shared" si="5"/>
        <v>2.5629069189999996</v>
      </c>
      <c r="R36" s="2">
        <v>1.3090417569999999</v>
      </c>
      <c r="S36" s="9">
        <v>0</v>
      </c>
      <c r="T36" s="9">
        <f t="shared" si="6"/>
        <v>1.3090417569999999</v>
      </c>
      <c r="U36" s="2">
        <v>1.2263741240000001</v>
      </c>
      <c r="V36" s="9">
        <v>0</v>
      </c>
      <c r="W36" s="9">
        <f t="shared" si="7"/>
        <v>1.2263741240000001</v>
      </c>
      <c r="X36" s="2">
        <v>1.87850125</v>
      </c>
      <c r="Y36" s="9">
        <v>0</v>
      </c>
      <c r="Z36" s="9">
        <f t="shared" si="8"/>
        <v>1.87850125</v>
      </c>
      <c r="AA36" s="2">
        <v>1.6112628789999999</v>
      </c>
      <c r="AB36" s="9">
        <v>0</v>
      </c>
      <c r="AC36" s="9">
        <f t="shared" si="9"/>
        <v>1.6112628789999999</v>
      </c>
      <c r="AD36" s="10">
        <v>1.517744054</v>
      </c>
      <c r="AE36" s="9">
        <v>0</v>
      </c>
      <c r="AF36" s="9">
        <f t="shared" si="10"/>
        <v>1.517744054</v>
      </c>
      <c r="AG36" s="9">
        <v>10.399214606000001</v>
      </c>
      <c r="AH36" s="9">
        <v>0</v>
      </c>
      <c r="AI36" s="9">
        <f t="shared" si="11"/>
        <v>10.399214606000001</v>
      </c>
      <c r="AJ36" s="9">
        <v>2.2747816169999999</v>
      </c>
      <c r="AK36" s="9">
        <v>0</v>
      </c>
      <c r="AL36" s="9">
        <f t="shared" si="12"/>
        <v>2.2747816169999999</v>
      </c>
      <c r="AM36" s="10">
        <v>8.8575910439999994</v>
      </c>
      <c r="AN36" s="9">
        <v>0</v>
      </c>
      <c r="AO36" s="9">
        <f t="shared" si="13"/>
        <v>8.8575910439999994</v>
      </c>
    </row>
    <row r="37" spans="1:41" x14ac:dyDescent="0.3">
      <c r="A37" s="14">
        <v>32</v>
      </c>
      <c r="B37" s="7" t="s">
        <v>27</v>
      </c>
      <c r="C37" s="8">
        <f t="shared" si="1"/>
        <v>15886.209430455501</v>
      </c>
      <c r="D37" s="8">
        <f t="shared" si="1"/>
        <v>960.14629730000001</v>
      </c>
      <c r="E37" s="8">
        <f t="shared" si="1"/>
        <v>16846.355727755501</v>
      </c>
      <c r="F37" s="2">
        <v>1356.6850435460001</v>
      </c>
      <c r="G37" s="9">
        <v>0</v>
      </c>
      <c r="H37" s="9">
        <f t="shared" si="2"/>
        <v>1356.6850435460001</v>
      </c>
      <c r="I37" s="2">
        <v>1156.1610113659999</v>
      </c>
      <c r="J37" s="9">
        <v>0</v>
      </c>
      <c r="K37" s="9">
        <f t="shared" si="3"/>
        <v>1156.1610113659999</v>
      </c>
      <c r="L37" s="2">
        <v>1221.7235213199999</v>
      </c>
      <c r="M37" s="9">
        <v>566.53649389999998</v>
      </c>
      <c r="N37" s="9">
        <f t="shared" si="4"/>
        <v>1788.2600152199998</v>
      </c>
      <c r="O37" s="2">
        <v>1227.6228149900001</v>
      </c>
      <c r="P37" s="9">
        <v>0</v>
      </c>
      <c r="Q37" s="9">
        <f t="shared" si="5"/>
        <v>1227.6228149900001</v>
      </c>
      <c r="R37" s="2">
        <v>1599.6557467820001</v>
      </c>
      <c r="S37" s="9">
        <v>0</v>
      </c>
      <c r="T37" s="9">
        <f t="shared" si="6"/>
        <v>1599.6557467820001</v>
      </c>
      <c r="U37" s="2">
        <v>1420.9536759940002</v>
      </c>
      <c r="V37" s="9">
        <v>0</v>
      </c>
      <c r="W37" s="9">
        <f t="shared" si="7"/>
        <v>1420.9536759940002</v>
      </c>
      <c r="X37" s="2">
        <v>1392.1975916675001</v>
      </c>
      <c r="Y37" s="9">
        <v>461.70629730000002</v>
      </c>
      <c r="Z37" s="9">
        <f t="shared" si="8"/>
        <v>1853.9038889675001</v>
      </c>
      <c r="AA37" s="2">
        <v>1218.355118298</v>
      </c>
      <c r="AB37" s="9">
        <v>0</v>
      </c>
      <c r="AC37" s="9">
        <f t="shared" si="9"/>
        <v>1218.355118298</v>
      </c>
      <c r="AD37" s="10">
        <v>1290.3169704200002</v>
      </c>
      <c r="AE37" s="9">
        <v>0</v>
      </c>
      <c r="AF37" s="9">
        <f t="shared" si="10"/>
        <v>1290.3169704200002</v>
      </c>
      <c r="AG37" s="9">
        <v>1326.3461055830001</v>
      </c>
      <c r="AH37" s="9">
        <v>0</v>
      </c>
      <c r="AI37" s="9">
        <f t="shared" si="11"/>
        <v>1326.3461055830001</v>
      </c>
      <c r="AJ37" s="9">
        <v>1335.4669440919997</v>
      </c>
      <c r="AK37" s="9">
        <v>0</v>
      </c>
      <c r="AL37" s="9">
        <f t="shared" si="12"/>
        <v>1335.4669440919997</v>
      </c>
      <c r="AM37" s="10">
        <v>1340.7248863970001</v>
      </c>
      <c r="AN37" s="9">
        <v>-68.096493899999999</v>
      </c>
      <c r="AO37" s="9">
        <f t="shared" si="13"/>
        <v>1272.628392497</v>
      </c>
    </row>
    <row r="38" spans="1:41" x14ac:dyDescent="0.3">
      <c r="A38" s="14">
        <v>33</v>
      </c>
      <c r="B38" s="7" t="s">
        <v>28</v>
      </c>
      <c r="C38" s="8">
        <f t="shared" si="1"/>
        <v>20008.367880822996</v>
      </c>
      <c r="D38" s="8">
        <f t="shared" si="1"/>
        <v>1730.7067331000001</v>
      </c>
      <c r="E38" s="8">
        <f t="shared" si="1"/>
        <v>21739.074613922996</v>
      </c>
      <c r="F38" s="2">
        <v>1679.7854177049996</v>
      </c>
      <c r="G38" s="9">
        <v>0</v>
      </c>
      <c r="H38" s="9">
        <f t="shared" si="2"/>
        <v>1679.7854177049996</v>
      </c>
      <c r="I38" s="2">
        <v>1529.0805270809999</v>
      </c>
      <c r="J38" s="9">
        <v>0</v>
      </c>
      <c r="K38" s="9">
        <f t="shared" si="3"/>
        <v>1529.0805270809999</v>
      </c>
      <c r="L38" s="2">
        <v>1652.1352718830001</v>
      </c>
      <c r="M38" s="9">
        <v>1003.084439</v>
      </c>
      <c r="N38" s="9">
        <f t="shared" si="4"/>
        <v>2655.2197108830001</v>
      </c>
      <c r="O38" s="2">
        <v>1558.4851439069998</v>
      </c>
      <c r="P38" s="9">
        <v>0</v>
      </c>
      <c r="Q38" s="9">
        <f t="shared" si="5"/>
        <v>1558.4851439069998</v>
      </c>
      <c r="R38" s="2">
        <v>1382.2844714820001</v>
      </c>
      <c r="S38" s="9">
        <v>0</v>
      </c>
      <c r="T38" s="9">
        <f t="shared" si="6"/>
        <v>1382.2844714820001</v>
      </c>
      <c r="U38" s="2">
        <v>1726.9849128150001</v>
      </c>
      <c r="V38" s="9">
        <v>0</v>
      </c>
      <c r="W38" s="9">
        <f t="shared" si="7"/>
        <v>1726.9849128150001</v>
      </c>
      <c r="X38" s="2">
        <v>2047.2652993519994</v>
      </c>
      <c r="Y38" s="9">
        <v>817.47673310000005</v>
      </c>
      <c r="Z38" s="9">
        <f t="shared" si="8"/>
        <v>2864.7420324519994</v>
      </c>
      <c r="AA38" s="2">
        <v>1548.9118739099999</v>
      </c>
      <c r="AB38" s="9">
        <v>0</v>
      </c>
      <c r="AC38" s="9">
        <f t="shared" si="9"/>
        <v>1548.9118739099999</v>
      </c>
      <c r="AD38" s="10">
        <v>1628.3290934239999</v>
      </c>
      <c r="AE38" s="9">
        <v>0</v>
      </c>
      <c r="AF38" s="9">
        <f t="shared" si="10"/>
        <v>1628.3290934239999</v>
      </c>
      <c r="AG38" s="9">
        <v>2114.5315712869997</v>
      </c>
      <c r="AH38" s="9">
        <v>0</v>
      </c>
      <c r="AI38" s="9">
        <f t="shared" si="11"/>
        <v>2114.5315712869997</v>
      </c>
      <c r="AJ38" s="9">
        <v>1371.432964245</v>
      </c>
      <c r="AK38" s="9">
        <v>0</v>
      </c>
      <c r="AL38" s="9">
        <f t="shared" si="12"/>
        <v>1371.432964245</v>
      </c>
      <c r="AM38" s="10">
        <v>1769.141333732</v>
      </c>
      <c r="AN38" s="9">
        <v>-89.854438999999999</v>
      </c>
      <c r="AO38" s="9">
        <f t="shared" si="13"/>
        <v>1679.2868947320001</v>
      </c>
    </row>
    <row r="39" spans="1:41" x14ac:dyDescent="0.3">
      <c r="A39" s="14">
        <v>34</v>
      </c>
      <c r="B39" s="7" t="s">
        <v>29</v>
      </c>
      <c r="C39" s="8">
        <f t="shared" si="1"/>
        <v>631.25494877500012</v>
      </c>
      <c r="D39" s="8">
        <f t="shared" si="1"/>
        <v>63.980159100000002</v>
      </c>
      <c r="E39" s="8">
        <f t="shared" si="1"/>
        <v>695.23510787500004</v>
      </c>
      <c r="F39" s="2">
        <v>55.438008637000003</v>
      </c>
      <c r="G39" s="9">
        <v>0</v>
      </c>
      <c r="H39" s="9">
        <f t="shared" si="2"/>
        <v>55.438008637000003</v>
      </c>
      <c r="I39" s="2">
        <v>44.845011337000003</v>
      </c>
      <c r="J39" s="9">
        <v>0</v>
      </c>
      <c r="K39" s="9">
        <f t="shared" si="3"/>
        <v>44.845011337000003</v>
      </c>
      <c r="L39" s="2">
        <v>52.959610382999998</v>
      </c>
      <c r="M39" s="9">
        <v>36.8239515</v>
      </c>
      <c r="N39" s="9">
        <f t="shared" si="4"/>
        <v>89.783561883000004</v>
      </c>
      <c r="O39" s="2">
        <v>53.117309621999993</v>
      </c>
      <c r="P39" s="9">
        <v>0</v>
      </c>
      <c r="Q39" s="9">
        <f t="shared" si="5"/>
        <v>53.117309621999993</v>
      </c>
      <c r="R39" s="2">
        <v>54.864411527000001</v>
      </c>
      <c r="S39" s="9">
        <v>0</v>
      </c>
      <c r="T39" s="9">
        <f t="shared" si="6"/>
        <v>54.864411527000001</v>
      </c>
      <c r="U39" s="2">
        <v>46.879415934999997</v>
      </c>
      <c r="V39" s="9">
        <v>0</v>
      </c>
      <c r="W39" s="9">
        <f t="shared" si="7"/>
        <v>46.879415934999997</v>
      </c>
      <c r="X39" s="2">
        <v>46.672804572999993</v>
      </c>
      <c r="Y39" s="9">
        <v>30.010159099999999</v>
      </c>
      <c r="Z39" s="9">
        <f t="shared" si="8"/>
        <v>76.682963672999989</v>
      </c>
      <c r="AA39" s="2">
        <v>60.311516300000001</v>
      </c>
      <c r="AB39" s="9">
        <v>0</v>
      </c>
      <c r="AC39" s="9">
        <f t="shared" si="9"/>
        <v>60.311516300000001</v>
      </c>
      <c r="AD39" s="10">
        <v>47.637076127000007</v>
      </c>
      <c r="AE39" s="9">
        <v>0</v>
      </c>
      <c r="AF39" s="9">
        <f t="shared" si="10"/>
        <v>47.637076127000007</v>
      </c>
      <c r="AG39" s="9">
        <v>52.732309085000011</v>
      </c>
      <c r="AH39" s="9">
        <v>0</v>
      </c>
      <c r="AI39" s="9">
        <f t="shared" si="11"/>
        <v>52.732309085000011</v>
      </c>
      <c r="AJ39" s="9">
        <v>58.689449196000005</v>
      </c>
      <c r="AK39" s="9">
        <v>0</v>
      </c>
      <c r="AL39" s="9">
        <f t="shared" si="12"/>
        <v>58.689449196000005</v>
      </c>
      <c r="AM39" s="10">
        <v>57.10802605300001</v>
      </c>
      <c r="AN39" s="9">
        <v>-2.8539515</v>
      </c>
      <c r="AO39" s="9">
        <f t="shared" si="13"/>
        <v>54.254074553000009</v>
      </c>
    </row>
    <row r="40" spans="1:41" x14ac:dyDescent="0.3">
      <c r="A40" s="14">
        <v>35</v>
      </c>
      <c r="B40" s="7" t="s">
        <v>42</v>
      </c>
      <c r="C40" s="8">
        <f t="shared" si="1"/>
        <v>295.10549170849998</v>
      </c>
      <c r="D40" s="8">
        <f t="shared" si="1"/>
        <v>5.3009650999999991</v>
      </c>
      <c r="E40" s="8">
        <f t="shared" si="1"/>
        <v>300.40645680849997</v>
      </c>
      <c r="F40" s="2">
        <v>23.651363927999999</v>
      </c>
      <c r="G40" s="9">
        <v>0</v>
      </c>
      <c r="H40" s="9">
        <f t="shared" si="2"/>
        <v>23.651363927999999</v>
      </c>
      <c r="I40" s="2">
        <v>20.792247729000003</v>
      </c>
      <c r="J40" s="9">
        <v>0</v>
      </c>
      <c r="K40" s="9">
        <f t="shared" si="3"/>
        <v>20.792247729000003</v>
      </c>
      <c r="L40" s="2">
        <v>22.785955789000003</v>
      </c>
      <c r="M40" s="9">
        <v>3.4982753999999998</v>
      </c>
      <c r="N40" s="9">
        <f t="shared" si="4"/>
        <v>26.284231189000003</v>
      </c>
      <c r="O40" s="2">
        <v>22.348906333999999</v>
      </c>
      <c r="P40" s="9">
        <v>0</v>
      </c>
      <c r="Q40" s="9">
        <f t="shared" si="5"/>
        <v>22.348906333999999</v>
      </c>
      <c r="R40" s="2">
        <v>31.667375016999994</v>
      </c>
      <c r="S40" s="9">
        <v>0</v>
      </c>
      <c r="T40" s="9">
        <f t="shared" si="6"/>
        <v>31.667375016999994</v>
      </c>
      <c r="U40" s="2">
        <v>21.459348523999999</v>
      </c>
      <c r="V40" s="9">
        <v>0</v>
      </c>
      <c r="W40" s="9">
        <f t="shared" si="7"/>
        <v>21.459348523999999</v>
      </c>
      <c r="X40" s="2">
        <v>25.8169198925</v>
      </c>
      <c r="Y40" s="9">
        <v>2.8509650999999998</v>
      </c>
      <c r="Z40" s="9">
        <f t="shared" si="8"/>
        <v>28.667884992499999</v>
      </c>
      <c r="AA40" s="2">
        <v>24.004783916999997</v>
      </c>
      <c r="AB40" s="9">
        <v>0</v>
      </c>
      <c r="AC40" s="9">
        <f t="shared" si="9"/>
        <v>24.004783916999997</v>
      </c>
      <c r="AD40" s="10">
        <v>32.210659514</v>
      </c>
      <c r="AE40" s="9">
        <v>0</v>
      </c>
      <c r="AF40" s="9">
        <f t="shared" si="10"/>
        <v>32.210659514</v>
      </c>
      <c r="AG40" s="9">
        <v>25.294869225999999</v>
      </c>
      <c r="AH40" s="9">
        <v>0</v>
      </c>
      <c r="AI40" s="9">
        <f t="shared" si="11"/>
        <v>25.294869225999999</v>
      </c>
      <c r="AJ40" s="9">
        <v>23.577836854000001</v>
      </c>
      <c r="AK40" s="9">
        <v>0</v>
      </c>
      <c r="AL40" s="9">
        <f t="shared" si="12"/>
        <v>23.577836854000001</v>
      </c>
      <c r="AM40" s="10">
        <v>21.495224984</v>
      </c>
      <c r="AN40" s="9">
        <v>-1.0482754000000001</v>
      </c>
      <c r="AO40" s="9">
        <f t="shared" si="13"/>
        <v>20.446949583999999</v>
      </c>
    </row>
    <row r="41" spans="1:41" x14ac:dyDescent="0.3">
      <c r="A41" s="14">
        <v>36</v>
      </c>
      <c r="B41" s="7" t="s">
        <v>30</v>
      </c>
      <c r="C41" s="8">
        <f t="shared" si="1"/>
        <v>20136.7818806305</v>
      </c>
      <c r="D41" s="8">
        <f t="shared" si="1"/>
        <v>889.65879730000006</v>
      </c>
      <c r="E41" s="8">
        <f t="shared" si="1"/>
        <v>21026.440677930495</v>
      </c>
      <c r="F41" s="2">
        <v>1498.5534947850003</v>
      </c>
      <c r="G41" s="9">
        <v>0</v>
      </c>
      <c r="H41" s="9">
        <f t="shared" si="2"/>
        <v>1498.5534947850003</v>
      </c>
      <c r="I41" s="2">
        <v>1343.9118765929998</v>
      </c>
      <c r="J41" s="9">
        <v>0</v>
      </c>
      <c r="K41" s="9">
        <f t="shared" si="3"/>
        <v>1343.9118765929998</v>
      </c>
      <c r="L41" s="2">
        <v>1423.614871748</v>
      </c>
      <c r="M41" s="9">
        <v>542.60092540000005</v>
      </c>
      <c r="N41" s="9">
        <f t="shared" si="4"/>
        <v>1966.2157971480001</v>
      </c>
      <c r="O41" s="2">
        <v>1514.3005392229998</v>
      </c>
      <c r="P41" s="9">
        <v>0</v>
      </c>
      <c r="Q41" s="9">
        <f t="shared" si="5"/>
        <v>1514.3005392229998</v>
      </c>
      <c r="R41" s="2">
        <v>1493.729668701</v>
      </c>
      <c r="S41" s="9">
        <v>0</v>
      </c>
      <c r="T41" s="9">
        <f t="shared" si="6"/>
        <v>1493.729668701</v>
      </c>
      <c r="U41" s="2">
        <v>1579.5284808739998</v>
      </c>
      <c r="V41" s="9">
        <v>0</v>
      </c>
      <c r="W41" s="9">
        <f t="shared" si="7"/>
        <v>1579.5284808739998</v>
      </c>
      <c r="X41" s="2">
        <v>1821.7898162264996</v>
      </c>
      <c r="Y41" s="9">
        <v>440.19879730000002</v>
      </c>
      <c r="Z41" s="9">
        <f t="shared" si="8"/>
        <v>2261.9886135264996</v>
      </c>
      <c r="AA41" s="2">
        <v>1770.7133397340001</v>
      </c>
      <c r="AB41" s="9">
        <v>0</v>
      </c>
      <c r="AC41" s="9">
        <f t="shared" si="9"/>
        <v>1770.7133397340001</v>
      </c>
      <c r="AD41" s="10">
        <v>2143.0675620070001</v>
      </c>
      <c r="AE41" s="9">
        <v>0</v>
      </c>
      <c r="AF41" s="9">
        <f t="shared" si="10"/>
        <v>2143.0675620070001</v>
      </c>
      <c r="AG41" s="9">
        <v>1827.6420752759996</v>
      </c>
      <c r="AH41" s="9">
        <v>0</v>
      </c>
      <c r="AI41" s="9">
        <f t="shared" si="11"/>
        <v>1827.6420752759996</v>
      </c>
      <c r="AJ41" s="9">
        <v>1887.6448763210003</v>
      </c>
      <c r="AK41" s="9">
        <v>0</v>
      </c>
      <c r="AL41" s="9">
        <f t="shared" si="12"/>
        <v>1887.6448763210003</v>
      </c>
      <c r="AM41" s="10">
        <v>1832.2852791419998</v>
      </c>
      <c r="AN41" s="9">
        <v>-93.1409254</v>
      </c>
      <c r="AO41" s="9">
        <f t="shared" si="13"/>
        <v>1739.1443537419998</v>
      </c>
    </row>
    <row r="42" spans="1:41" x14ac:dyDescent="0.3">
      <c r="A42" s="14">
        <v>37</v>
      </c>
      <c r="B42" s="7" t="s">
        <v>31</v>
      </c>
      <c r="C42" s="8">
        <f t="shared" si="1"/>
        <v>15207.480622586501</v>
      </c>
      <c r="D42" s="8">
        <f t="shared" si="1"/>
        <v>773.87891859999991</v>
      </c>
      <c r="E42" s="8">
        <f t="shared" si="1"/>
        <v>15981.359541186501</v>
      </c>
      <c r="F42" s="2">
        <v>1092.5677061439999</v>
      </c>
      <c r="G42" s="9">
        <v>0</v>
      </c>
      <c r="H42" s="9">
        <f t="shared" si="2"/>
        <v>1092.5677061439999</v>
      </c>
      <c r="I42" s="2">
        <v>847.08665327699987</v>
      </c>
      <c r="J42" s="9">
        <v>0</v>
      </c>
      <c r="K42" s="9">
        <f t="shared" si="3"/>
        <v>847.08665327699987</v>
      </c>
      <c r="L42" s="2">
        <v>961.32153155300011</v>
      </c>
      <c r="M42" s="9">
        <v>467.29594459999998</v>
      </c>
      <c r="N42" s="9">
        <f t="shared" si="4"/>
        <v>1428.6174761530001</v>
      </c>
      <c r="O42" s="2">
        <v>1281.948594982</v>
      </c>
      <c r="P42" s="9">
        <v>0</v>
      </c>
      <c r="Q42" s="9">
        <f t="shared" si="5"/>
        <v>1281.948594982</v>
      </c>
      <c r="R42" s="2">
        <v>1280.3454702980002</v>
      </c>
      <c r="S42" s="9">
        <v>0</v>
      </c>
      <c r="T42" s="9">
        <f t="shared" si="6"/>
        <v>1280.3454702980002</v>
      </c>
      <c r="U42" s="2">
        <v>1200.740097889</v>
      </c>
      <c r="V42" s="9">
        <v>0</v>
      </c>
      <c r="W42" s="9">
        <f t="shared" si="7"/>
        <v>1200.740097889</v>
      </c>
      <c r="X42" s="2">
        <v>1515.3816560055002</v>
      </c>
      <c r="Y42" s="9">
        <v>380.82891860000001</v>
      </c>
      <c r="Z42" s="9">
        <f t="shared" si="8"/>
        <v>1896.2105746055001</v>
      </c>
      <c r="AA42" s="2">
        <v>1322.7440938310001</v>
      </c>
      <c r="AB42" s="9">
        <v>0</v>
      </c>
      <c r="AC42" s="9">
        <f t="shared" si="9"/>
        <v>1322.7440938310001</v>
      </c>
      <c r="AD42" s="10">
        <v>1422.722116919</v>
      </c>
      <c r="AE42" s="9">
        <v>0</v>
      </c>
      <c r="AF42" s="9">
        <f t="shared" si="10"/>
        <v>1422.722116919</v>
      </c>
      <c r="AG42" s="9">
        <v>1795.3970343869998</v>
      </c>
      <c r="AH42" s="9">
        <v>0</v>
      </c>
      <c r="AI42" s="9">
        <f t="shared" si="11"/>
        <v>1795.3970343869998</v>
      </c>
      <c r="AJ42" s="9">
        <v>1025.3083452150001</v>
      </c>
      <c r="AK42" s="9">
        <v>0</v>
      </c>
      <c r="AL42" s="9">
        <f t="shared" si="12"/>
        <v>1025.3083452150001</v>
      </c>
      <c r="AM42" s="10">
        <v>1461.9173220859998</v>
      </c>
      <c r="AN42" s="9">
        <v>-74.245944600000001</v>
      </c>
      <c r="AO42" s="9">
        <f t="shared" si="13"/>
        <v>1387.6713774859998</v>
      </c>
    </row>
    <row r="43" spans="1:41" x14ac:dyDescent="0.3">
      <c r="A43" s="14">
        <v>38</v>
      </c>
      <c r="B43" s="7" t="s">
        <v>40</v>
      </c>
      <c r="C43" s="8">
        <f t="shared" si="1"/>
        <v>345.58317362150007</v>
      </c>
      <c r="D43" s="8">
        <f t="shared" si="1"/>
        <v>0</v>
      </c>
      <c r="E43" s="8">
        <f t="shared" si="1"/>
        <v>345.58317362150007</v>
      </c>
      <c r="F43" s="2">
        <v>19.932712650999999</v>
      </c>
      <c r="G43" s="9">
        <v>0</v>
      </c>
      <c r="H43" s="9">
        <f t="shared" si="2"/>
        <v>19.932712650999999</v>
      </c>
      <c r="I43" s="2">
        <v>14.623987981999999</v>
      </c>
      <c r="J43" s="9">
        <v>0</v>
      </c>
      <c r="K43" s="9">
        <f t="shared" si="3"/>
        <v>14.623987981999999</v>
      </c>
      <c r="L43" s="2">
        <v>27.010267710000001</v>
      </c>
      <c r="M43" s="9">
        <v>0</v>
      </c>
      <c r="N43" s="9">
        <f t="shared" si="4"/>
        <v>27.010267710000001</v>
      </c>
      <c r="O43" s="2">
        <v>39.295240453999995</v>
      </c>
      <c r="P43" s="9">
        <v>0</v>
      </c>
      <c r="Q43" s="9">
        <f t="shared" si="5"/>
        <v>39.295240453999995</v>
      </c>
      <c r="R43" s="2">
        <v>41.885777410000003</v>
      </c>
      <c r="S43" s="9">
        <v>0</v>
      </c>
      <c r="T43" s="9">
        <f t="shared" si="6"/>
        <v>41.885777410000003</v>
      </c>
      <c r="U43" s="2">
        <v>38.286027507</v>
      </c>
      <c r="V43" s="9">
        <v>0</v>
      </c>
      <c r="W43" s="9">
        <f t="shared" si="7"/>
        <v>38.286027507</v>
      </c>
      <c r="X43" s="2">
        <v>48.056751868500001</v>
      </c>
      <c r="Y43" s="9">
        <v>0</v>
      </c>
      <c r="Z43" s="9">
        <f t="shared" si="8"/>
        <v>48.056751868500001</v>
      </c>
      <c r="AA43" s="2">
        <v>37.359858996</v>
      </c>
      <c r="AB43" s="9">
        <v>0</v>
      </c>
      <c r="AC43" s="9">
        <f t="shared" si="9"/>
        <v>37.359858996</v>
      </c>
      <c r="AD43" s="10">
        <v>29.276022002999998</v>
      </c>
      <c r="AE43" s="9">
        <v>0</v>
      </c>
      <c r="AF43" s="9">
        <f t="shared" si="10"/>
        <v>29.276022002999998</v>
      </c>
      <c r="AG43" s="9">
        <v>24.432645635</v>
      </c>
      <c r="AH43" s="9">
        <v>0</v>
      </c>
      <c r="AI43" s="9">
        <f t="shared" si="11"/>
        <v>24.432645635</v>
      </c>
      <c r="AJ43" s="9">
        <v>14.04220441</v>
      </c>
      <c r="AK43" s="9">
        <v>0</v>
      </c>
      <c r="AL43" s="9">
        <f t="shared" si="12"/>
        <v>14.04220441</v>
      </c>
      <c r="AM43" s="10">
        <v>11.381676995000001</v>
      </c>
      <c r="AN43" s="9">
        <v>0</v>
      </c>
      <c r="AO43" s="9">
        <f t="shared" si="13"/>
        <v>11.381676995000001</v>
      </c>
    </row>
    <row r="44" spans="1:41" x14ac:dyDescent="0.3">
      <c r="A44" s="14">
        <v>97</v>
      </c>
      <c r="B44" s="7" t="s">
        <v>32</v>
      </c>
      <c r="C44" s="8">
        <f t="shared" si="1"/>
        <v>506.7937696445</v>
      </c>
      <c r="D44" s="8">
        <f t="shared" si="1"/>
        <v>0</v>
      </c>
      <c r="E44" s="8">
        <f t="shared" si="1"/>
        <v>506.7937696445</v>
      </c>
      <c r="F44" s="2">
        <v>25.213754099999999</v>
      </c>
      <c r="G44" s="9">
        <v>0</v>
      </c>
      <c r="H44" s="9">
        <f t="shared" si="2"/>
        <v>25.213754099999999</v>
      </c>
      <c r="I44" s="2">
        <v>13.0648932</v>
      </c>
      <c r="J44" s="9">
        <v>0</v>
      </c>
      <c r="K44" s="9">
        <f t="shared" si="3"/>
        <v>13.0648932</v>
      </c>
      <c r="L44" s="2">
        <v>36.838280900000001</v>
      </c>
      <c r="M44" s="9">
        <v>0</v>
      </c>
      <c r="N44" s="9">
        <f t="shared" si="4"/>
        <v>36.838280900000001</v>
      </c>
      <c r="O44" s="2">
        <v>16.532067900000001</v>
      </c>
      <c r="P44" s="9">
        <v>0</v>
      </c>
      <c r="Q44" s="9">
        <f t="shared" si="5"/>
        <v>16.532067900000001</v>
      </c>
      <c r="R44" s="2">
        <v>17.297996399999999</v>
      </c>
      <c r="S44" s="9">
        <v>0</v>
      </c>
      <c r="T44" s="9">
        <f t="shared" si="6"/>
        <v>17.297996399999999</v>
      </c>
      <c r="U44" s="2">
        <v>41.856411899999998</v>
      </c>
      <c r="V44" s="9">
        <v>0</v>
      </c>
      <c r="W44" s="9">
        <f t="shared" si="7"/>
        <v>41.856411899999998</v>
      </c>
      <c r="X44" s="2">
        <v>20.1467069395</v>
      </c>
      <c r="Y44" s="9">
        <v>0</v>
      </c>
      <c r="Z44" s="9">
        <f t="shared" si="8"/>
        <v>20.1467069395</v>
      </c>
      <c r="AA44" s="2">
        <v>31.350232379000001</v>
      </c>
      <c r="AB44" s="9">
        <v>0</v>
      </c>
      <c r="AC44" s="9">
        <f t="shared" si="9"/>
        <v>31.350232379000001</v>
      </c>
      <c r="AD44" s="10">
        <v>70.422612775000005</v>
      </c>
      <c r="AE44" s="9">
        <v>0</v>
      </c>
      <c r="AF44" s="9">
        <f t="shared" si="10"/>
        <v>70.422612775000005</v>
      </c>
      <c r="AG44" s="9">
        <v>41.620024268999998</v>
      </c>
      <c r="AH44" s="9">
        <v>0</v>
      </c>
      <c r="AI44" s="9">
        <f t="shared" si="11"/>
        <v>41.620024268999998</v>
      </c>
      <c r="AJ44" s="9">
        <v>49.723938222000001</v>
      </c>
      <c r="AK44" s="9">
        <v>0</v>
      </c>
      <c r="AL44" s="9">
        <f t="shared" si="12"/>
        <v>49.723938222000001</v>
      </c>
      <c r="AM44" s="10">
        <v>142.72685066</v>
      </c>
      <c r="AN44" s="9">
        <v>0</v>
      </c>
      <c r="AO44" s="9">
        <f t="shared" si="13"/>
        <v>142.72685066</v>
      </c>
    </row>
    <row r="45" spans="1:41" x14ac:dyDescent="0.3">
      <c r="A45" s="11"/>
      <c r="B45" s="12" t="s">
        <v>46</v>
      </c>
      <c r="C45" s="12">
        <f>SUM(C7:C44)</f>
        <v>335893.12152268755</v>
      </c>
      <c r="D45" s="12">
        <f>SUM(D7:D44)</f>
        <v>22999.992262799999</v>
      </c>
      <c r="E45" s="12">
        <f>SUM(E7:E44)</f>
        <v>358893.11378548754</v>
      </c>
      <c r="F45" s="12">
        <f t="shared" ref="F45:AO45" si="14">SUM(F7:F44)</f>
        <v>26962.380043140995</v>
      </c>
      <c r="G45" s="12">
        <f t="shared" si="14"/>
        <v>0</v>
      </c>
      <c r="H45" s="12">
        <f t="shared" si="14"/>
        <v>26962.380043140995</v>
      </c>
      <c r="I45" s="12">
        <f t="shared" si="14"/>
        <v>23122.698206741999</v>
      </c>
      <c r="J45" s="12">
        <f t="shared" si="14"/>
        <v>0</v>
      </c>
      <c r="K45" s="12">
        <f t="shared" si="14"/>
        <v>23122.698206741999</v>
      </c>
      <c r="L45" s="12">
        <f t="shared" si="14"/>
        <v>24234.839082882998</v>
      </c>
      <c r="M45" s="12">
        <f t="shared" si="14"/>
        <v>13499.999999999996</v>
      </c>
      <c r="N45" s="12">
        <f t="shared" si="14"/>
        <v>37734.839082883002</v>
      </c>
      <c r="O45" s="12">
        <f t="shared" si="14"/>
        <v>26774.415882266007</v>
      </c>
      <c r="P45" s="12">
        <f t="shared" si="14"/>
        <v>0</v>
      </c>
      <c r="Q45" s="12">
        <f t="shared" si="14"/>
        <v>26774.415882266007</v>
      </c>
      <c r="R45" s="12">
        <f t="shared" si="14"/>
        <v>25118.874616923997</v>
      </c>
      <c r="S45" s="12">
        <f t="shared" si="14"/>
        <v>0</v>
      </c>
      <c r="T45" s="12">
        <f t="shared" si="14"/>
        <v>25118.874616923997</v>
      </c>
      <c r="U45" s="12">
        <f t="shared" si="14"/>
        <v>25799.846230655003</v>
      </c>
      <c r="V45" s="12">
        <f t="shared" si="14"/>
        <v>0</v>
      </c>
      <c r="W45" s="12">
        <f t="shared" si="14"/>
        <v>25799.846230655003</v>
      </c>
      <c r="X45" s="12">
        <f t="shared" si="14"/>
        <v>32883.404052532504</v>
      </c>
      <c r="Y45" s="12">
        <f t="shared" si="14"/>
        <v>11000</v>
      </c>
      <c r="Z45" s="12">
        <f t="shared" si="14"/>
        <v>43883.404052532496</v>
      </c>
      <c r="AA45" s="12">
        <f t="shared" si="14"/>
        <v>28537.944052344003</v>
      </c>
      <c r="AB45" s="12">
        <f t="shared" si="14"/>
        <v>0</v>
      </c>
      <c r="AC45" s="12">
        <f t="shared" si="14"/>
        <v>28537.944052344003</v>
      </c>
      <c r="AD45" s="12">
        <f t="shared" si="14"/>
        <v>31094.393859531996</v>
      </c>
      <c r="AE45" s="12">
        <f t="shared" si="14"/>
        <v>0</v>
      </c>
      <c r="AF45" s="12">
        <f t="shared" si="14"/>
        <v>31094.393859531996</v>
      </c>
      <c r="AG45" s="12">
        <f t="shared" si="14"/>
        <v>32623.65724239</v>
      </c>
      <c r="AH45" s="12">
        <f t="shared" si="14"/>
        <v>0</v>
      </c>
      <c r="AI45" s="12">
        <f t="shared" si="14"/>
        <v>32623.65724239</v>
      </c>
      <c r="AJ45" s="12">
        <f t="shared" si="14"/>
        <v>29053.780513963004</v>
      </c>
      <c r="AK45" s="12">
        <f t="shared" si="14"/>
        <v>0</v>
      </c>
      <c r="AL45" s="12">
        <f t="shared" si="14"/>
        <v>29053.780513963004</v>
      </c>
      <c r="AM45" s="12">
        <f t="shared" si="14"/>
        <v>29686.887739315007</v>
      </c>
      <c r="AN45" s="12">
        <f t="shared" si="14"/>
        <v>-1500.0077371999998</v>
      </c>
      <c r="AO45" s="12">
        <f t="shared" si="14"/>
        <v>28186.880002115002</v>
      </c>
    </row>
  </sheetData>
  <sortState xmlns:xlrd2="http://schemas.microsoft.com/office/spreadsheetml/2017/richdata2" columnSort="1" ref="F1:AO45">
    <sortCondition ref="F5:AO5"/>
  </sortState>
  <mergeCells count="13"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settlement_2022-23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dcterms:created xsi:type="dcterms:W3CDTF">2019-11-01T02:37:37Z</dcterms:created>
  <dcterms:modified xsi:type="dcterms:W3CDTF">2024-08-03T02:15:36Z</dcterms:modified>
  <cp:category/>
  <dc:identifier/>
  <cp:contentStatus/>
  <dc:language/>
  <cp:version/>
</cp:coreProperties>
</file>