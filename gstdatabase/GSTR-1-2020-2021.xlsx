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1\"/>
    </mc:Choice>
  </mc:AlternateContent>
  <xr:revisionPtr revIDLastSave="0" documentId="13_ncr:1_{DC1D1DA9-464D-4CAC-AA87-0B1BDD82A7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48" i="1" l="1"/>
  <c r="AO48" i="1"/>
  <c r="BF48" i="1" l="1"/>
  <c r="BA48" i="1"/>
  <c r="AV48" i="1"/>
  <c r="AQ48" i="1"/>
  <c r="AL48" i="1"/>
  <c r="AG48" i="1"/>
  <c r="AB48" i="1"/>
  <c r="W48" i="1"/>
  <c r="R48" i="1"/>
  <c r="M48" i="1"/>
  <c r="H48" i="1"/>
  <c r="C48" i="1"/>
  <c r="BG48" i="1" l="1"/>
  <c r="BD48" i="1"/>
  <c r="BB48" i="1"/>
  <c r="AY48" i="1"/>
  <c r="AW48" i="1"/>
  <c r="AT48" i="1"/>
  <c r="AR48" i="1"/>
  <c r="AM48" i="1"/>
  <c r="AJ48" i="1"/>
  <c r="AH48" i="1"/>
  <c r="AE48" i="1"/>
  <c r="AC48" i="1"/>
  <c r="Z48" i="1"/>
  <c r="X48" i="1"/>
  <c r="U48" i="1"/>
  <c r="S48" i="1"/>
  <c r="P48" i="1"/>
  <c r="N48" i="1"/>
  <c r="K48" i="1"/>
  <c r="I48" i="1"/>
  <c r="F48" i="1"/>
  <c r="D48" i="1"/>
  <c r="AN48" i="1" l="1"/>
  <c r="T48" i="1"/>
  <c r="BC48" i="1"/>
  <c r="J48" i="1"/>
  <c r="AI48" i="1"/>
  <c r="O48" i="1"/>
  <c r="AX48" i="1"/>
  <c r="Y48" i="1"/>
  <c r="G48" i="1"/>
  <c r="E48" i="1"/>
  <c r="AA48" i="1"/>
  <c r="AF48" i="1"/>
  <c r="AD48" i="1"/>
  <c r="AU48" i="1"/>
  <c r="AZ48" i="1"/>
  <c r="BE48" i="1"/>
  <c r="AS48" i="1"/>
  <c r="AP48" i="1"/>
  <c r="AK48" i="1"/>
  <c r="V48" i="1"/>
  <c r="Q48" i="1"/>
  <c r="L48" i="1"/>
  <c r="BE11" i="1" l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G10" i="1"/>
  <c r="L10" i="1"/>
  <c r="Q10" i="1"/>
  <c r="V10" i="1"/>
  <c r="AA10" i="1"/>
  <c r="AF10" i="1"/>
  <c r="AK10" i="1"/>
  <c r="AP10" i="1"/>
  <c r="AU10" i="1"/>
  <c r="AZ10" i="1"/>
  <c r="BE10" i="1"/>
  <c r="BC10" i="1"/>
  <c r="AX10" i="1"/>
  <c r="AS10" i="1"/>
  <c r="AN10" i="1"/>
  <c r="AI10" i="1"/>
  <c r="AD10" i="1"/>
  <c r="Y10" i="1"/>
  <c r="T10" i="1"/>
  <c r="O10" i="1"/>
  <c r="J10" i="1"/>
  <c r="E10" i="1"/>
  <c r="BJ39" i="1" l="1"/>
  <c r="BH39" i="1"/>
  <c r="BH22" i="1"/>
  <c r="BJ22" i="1"/>
  <c r="BJ42" i="1"/>
  <c r="BH42" i="1"/>
  <c r="BJ33" i="1"/>
  <c r="BH33" i="1"/>
  <c r="BH46" i="1"/>
  <c r="BJ46" i="1"/>
  <c r="BH29" i="1"/>
  <c r="BJ29" i="1"/>
  <c r="BJ38" i="1"/>
  <c r="BH38" i="1"/>
  <c r="BJ13" i="1"/>
  <c r="BH13" i="1"/>
  <c r="BH17" i="1"/>
  <c r="BJ17" i="1"/>
  <c r="BH30" i="1"/>
  <c r="BJ30" i="1"/>
  <c r="BJ41" i="1"/>
  <c r="BH41" i="1"/>
  <c r="BJ32" i="1"/>
  <c r="BH32" i="1"/>
  <c r="BJ16" i="1"/>
  <c r="BH16" i="1"/>
  <c r="BH45" i="1"/>
  <c r="BJ45" i="1"/>
  <c r="BH37" i="1"/>
  <c r="BJ37" i="1"/>
  <c r="BH28" i="1"/>
  <c r="BJ28" i="1"/>
  <c r="BH12" i="1"/>
  <c r="BJ12" i="1"/>
  <c r="BJ21" i="1"/>
  <c r="BH21" i="1"/>
  <c r="BH25" i="1"/>
  <c r="BJ25" i="1"/>
  <c r="BJ20" i="1"/>
  <c r="BH20" i="1"/>
  <c r="BH24" i="1"/>
  <c r="BJ24" i="1"/>
  <c r="BJ43" i="1"/>
  <c r="BH43" i="1"/>
  <c r="BJ35" i="1"/>
  <c r="BH35" i="1"/>
  <c r="BJ26" i="1"/>
  <c r="BH26" i="1"/>
  <c r="BJ18" i="1"/>
  <c r="BH18" i="1"/>
  <c r="BH47" i="1"/>
  <c r="BJ47" i="1"/>
  <c r="BH14" i="1"/>
  <c r="BJ14" i="1"/>
  <c r="BJ40" i="1"/>
  <c r="BH40" i="1"/>
  <c r="BJ31" i="1"/>
  <c r="BH31" i="1"/>
  <c r="BJ23" i="1"/>
  <c r="BH23" i="1"/>
  <c r="BJ15" i="1"/>
  <c r="BH15" i="1"/>
  <c r="BH44" i="1"/>
  <c r="BJ44" i="1"/>
  <c r="BH36" i="1"/>
  <c r="BJ36" i="1"/>
  <c r="BH27" i="1"/>
  <c r="BJ27" i="1"/>
  <c r="BH19" i="1"/>
  <c r="BJ19" i="1"/>
  <c r="BH11" i="1"/>
  <c r="BJ11" i="1"/>
  <c r="BH10" i="1"/>
  <c r="BJ10" i="1"/>
  <c r="BH48" i="1" l="1"/>
  <c r="BJ48" i="1"/>
</calcChain>
</file>

<file path=xl/sharedStrings.xml><?xml version="1.0" encoding="utf-8"?>
<sst xmlns="http://schemas.openxmlformats.org/spreadsheetml/2006/main" count="138" uniqueCount="50">
  <si>
    <t>STATE WISE RETURN PERIOD WISE GSTR-1 FILING SUMMARY</t>
  </si>
  <si>
    <t>FINANCIAL YEAR 2020-2021</t>
  </si>
  <si>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</si>
  <si>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</si>
  <si>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</si>
  <si>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</si>
  <si>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</si>
  <si>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</si>
  <si>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</si>
  <si>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</si>
  <si>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</si>
  <si>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</si>
  <si>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</si>
  <si>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</si>
  <si>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</si>
  <si>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</si>
  <si>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</si>
  <si>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</si>
  <si>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</si>
  <si>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</si>
  <si>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</si>
  <si>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</si>
  <si>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</si>
  <si>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</si>
  <si>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</si>
  <si>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</si>
  <si>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</si>
  <si>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</si>
  <si>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</si>
  <si>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</si>
  <si>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</si>
  <si>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</si>
  <si>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</si>
  <si>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</si>
  <si>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</si>
  <si>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</si>
  <si>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</si>
  <si>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</si>
  <si>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</si>
  <si>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</si>
  <si>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</si>
  <si>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Grand Total</t>
  </si>
  <si>
    <t>*  State Code 97 represents  territories other than States/UTs</t>
  </si>
  <si>
    <t>-</t>
  </si>
  <si>
    <t>Chhattisgarh</t>
  </si>
  <si>
    <t>Gujarat</t>
  </si>
  <si>
    <t>Maharashtra</t>
  </si>
  <si>
    <t>Andaman and Nicobar Islands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</si>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</sst>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 * #,##0_ ;_ * \-#,##0_ ;_ * &quot;-&quot;??_ ;_ @_ "/>
    <numFmt numFmtId="167" formatCode="[&gt;=10000000]##\,##\,##\,##0;[&gt;=100000]\ ##\,##\,##0;##,##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/>
    <xf numFmtId="43" fontId="5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center"/>
    </xf>
    <xf numFmtId="0" fontId="3" fillId="3" borderId="0" xfId="0" applyFont="1" applyFill="1"/>
    <xf numFmtId="0" fontId="2" fillId="2" borderId="0" xfId="0" applyFont="1" applyFill="1" applyAlignment="1">
      <alignment horizontal="left"/>
    </xf>
    <xf numFmtId="0" fontId="0" fillId="0" borderId="1" xfId="0" applyBorder="1"/>
    <xf numFmtId="166" fontId="0" fillId="0" borderId="1" xfId="1" applyNumberFormat="1" applyFont="1" applyFill="1" applyBorder="1"/>
    <xf numFmtId="167" fontId="0" fillId="0" borderId="1" xfId="0" applyNumberFormat="1" applyBorder="1" applyAlignment="1">
      <alignment horizontal="right" vertical="top"/>
    </xf>
    <xf numFmtId="166" fontId="1" fillId="0" borderId="1" xfId="1" applyNumberForma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center" wrapText="1"/>
    </xf>
    <xf numFmtId="165" fontId="0" fillId="0" borderId="1" xfId="0" applyNumberFormat="1" applyBorder="1"/>
    <xf numFmtId="10" fontId="0" fillId="0" borderId="1" xfId="2" applyNumberFormat="1" applyFont="1" applyFill="1" applyBorder="1" applyAlignment="1">
      <alignment horizontal="right" vertical="center" wrapText="1"/>
    </xf>
    <xf numFmtId="0" fontId="0" fillId="0" borderId="6" xfId="0" applyBorder="1"/>
    <xf numFmtId="166" fontId="0" fillId="0" borderId="6" xfId="1" applyNumberFormat="1" applyFont="1" applyFill="1" applyBorder="1"/>
    <xf numFmtId="165" fontId="0" fillId="0" borderId="6" xfId="0" applyNumberFormat="1" applyBorder="1"/>
    <xf numFmtId="167" fontId="0" fillId="0" borderId="6" xfId="0" applyNumberFormat="1" applyBorder="1" applyAlignment="1">
      <alignment horizontal="right" vertical="top"/>
    </xf>
    <xf numFmtId="10" fontId="0" fillId="0" borderId="6" xfId="2" applyNumberFormat="1" applyFont="1" applyFill="1" applyBorder="1" applyAlignment="1">
      <alignment horizontal="right" vertical="center" wrapText="1"/>
    </xf>
    <xf numFmtId="166" fontId="1" fillId="0" borderId="6" xfId="1" applyNumberFormat="1" applyFill="1" applyBorder="1" applyAlignment="1">
      <alignment horizontal="right" vertical="top"/>
    </xf>
    <xf numFmtId="165" fontId="0" fillId="0" borderId="6" xfId="0" applyNumberFormat="1" applyBorder="1" applyAlignment="1">
      <alignment horizontal="right" vertical="center" wrapText="1"/>
    </xf>
    <xf numFmtId="165" fontId="2" fillId="2" borderId="1" xfId="0" applyNumberFormat="1" applyFont="1" applyFill="1" applyBorder="1"/>
    <xf numFmtId="10" fontId="2" fillId="2" borderId="1" xfId="2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165" fontId="3" fillId="2" borderId="1" xfId="0" applyNumberFormat="1" applyFont="1" applyFill="1" applyBorder="1" applyAlignment="1">
      <alignment horizontal="right" vertical="center" wrapText="1"/>
    </xf>
    <xf numFmtId="166" fontId="1" fillId="0" borderId="1" xfId="1" applyNumberFormat="1" applyFill="1" applyBorder="1" applyAlignment="1">
      <alignment horizontal="right" vertical="center" wrapText="1"/>
    </xf>
    <xf numFmtId="166" fontId="1" fillId="0" borderId="6" xfId="1" applyNumberFormat="1" applyFill="1" applyBorder="1" applyAlignment="1">
      <alignment horizontal="right" vertical="center" wrapText="1"/>
    </xf>
    <xf numFmtId="165" fontId="3" fillId="2" borderId="1" xfId="3" applyNumberFormat="1" applyFont="1" applyFill="1" applyBorder="1" applyAlignment="1">
      <alignment horizontal="center" vertical="center" wrapText="1"/>
    </xf>
    <xf numFmtId="0" fontId="0" fillId="0" borderId="1" xfId="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17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17" fontId="3" fillId="2" borderId="2" xfId="0" applyNumberFormat="1" applyFont="1" applyFill="1" applyBorder="1" applyAlignment="1">
      <alignment horizontal="center" vertical="center"/>
    </xf>
    <xf numFmtId="17" fontId="3" fillId="2" borderId="3" xfId="0" applyNumberFormat="1" applyFont="1" applyFill="1" applyBorder="1" applyAlignment="1">
      <alignment horizontal="center" vertical="center"/>
    </xf>
    <xf numFmtId="17" fontId="3" fillId="2" borderId="4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</cellXfs>
  <cellStyles count="9">
    <cellStyle name="Comma" xfId="1" builtinId="3"/>
    <cellStyle name="Comma 2" xfId="3" xr:uid="{00000000-0005-0000-0000-000001000000}"/>
    <cellStyle name="Comma 2 2" xfId="8" xr:uid="{00000000-0005-0000-0000-000002000000}"/>
    <cellStyle name="Normal" xfId="0" builtinId="0"/>
    <cellStyle name="Normal 2" xfId="7" xr:uid="{00000000-0005-0000-0000-000004000000}"/>
    <cellStyle name="Normal 2 3" xfId="6" xr:uid="{00000000-0005-0000-0000-000005000000}"/>
    <cellStyle name="Normal 3" xfId="4" xr:uid="{00000000-0005-0000-0000-000006000000}"/>
    <cellStyle name="Normal 4" xfId="5" xr:uid="{00000000-0005-0000-0000-000007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57"/>
  <sheetViews>
    <sheetView tabSelected="1" topLeftCell="AP1" zoomScale="52" zoomScaleNormal="52" workbookViewId="0">
      <selection activeCell="BJ9" sqref="BJ9"/>
    </sheetView>
  </sheetViews>
  <sheetFormatPr defaultColWidth="8.77734375" defaultRowHeight="14.4" x14ac:dyDescent="0.3"/>
  <cols>
    <col min="1" max="1" width="10.44140625" customWidth="1"/>
    <col min="2" max="2" width="26.77734375" bestFit="1" customWidth="1"/>
    <col min="3" max="62" width="18.77734375" customWidth="1"/>
  </cols>
  <sheetData>
    <row r="1" spans="1:62" ht="15.6" x14ac:dyDescent="0.3">
      <c r="A1" s="31" t="s">
        <v>0</v>
      </c>
      <c r="B1" s="31"/>
      <c r="C1" s="31"/>
      <c r="D1" s="31"/>
      <c r="E1" s="31"/>
    </row>
    <row r="2" spans="1:62" ht="15.6" x14ac:dyDescent="0.3">
      <c r="A2" s="1"/>
      <c r="B2" s="1"/>
      <c r="C2" s="1"/>
      <c r="D2" s="1"/>
      <c r="E2" s="1"/>
    </row>
    <row r="3" spans="1:62" ht="15.6" x14ac:dyDescent="0.3">
      <c r="A3" s="34" t="s">
        <v>1</v>
      </c>
      <c r="B3" s="34"/>
      <c r="C3" s="1"/>
      <c r="D3" s="1"/>
      <c r="E3" s="1"/>
      <c r="F3" s="1"/>
      <c r="G3" s="1"/>
      <c r="H3" s="1"/>
      <c r="I3" s="1"/>
      <c r="J3" s="1"/>
      <c r="K3" s="1"/>
      <c r="L3" s="1"/>
    </row>
    <row r="4" spans="1:62" ht="15.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62" ht="15.6" x14ac:dyDescent="0.3">
      <c r="A5" s="34" t="s">
        <v>48</v>
      </c>
      <c r="B5" s="34"/>
      <c r="C5" s="34"/>
    </row>
    <row r="8" spans="1:62" s="26" customFormat="1" ht="15.6" x14ac:dyDescent="0.3">
      <c r="A8" s="35" t="s">
        <v>2</v>
      </c>
      <c r="B8" s="33" t="s">
        <v>3</v>
      </c>
      <c r="C8" s="36">
        <v>43922</v>
      </c>
      <c r="D8" s="37"/>
      <c r="E8" s="37"/>
      <c r="F8" s="37"/>
      <c r="G8" s="38"/>
      <c r="H8" s="32">
        <v>43952</v>
      </c>
      <c r="I8" s="33"/>
      <c r="J8" s="33"/>
      <c r="K8" s="33"/>
      <c r="L8" s="33"/>
      <c r="M8" s="32">
        <v>43983</v>
      </c>
      <c r="N8" s="33"/>
      <c r="O8" s="33"/>
      <c r="P8" s="33"/>
      <c r="Q8" s="33"/>
      <c r="R8" s="32">
        <v>44013</v>
      </c>
      <c r="S8" s="33"/>
      <c r="T8" s="33"/>
      <c r="U8" s="33"/>
      <c r="V8" s="33"/>
      <c r="W8" s="32">
        <v>44044</v>
      </c>
      <c r="X8" s="33"/>
      <c r="Y8" s="33"/>
      <c r="Z8" s="33"/>
      <c r="AA8" s="33"/>
      <c r="AB8" s="32">
        <v>44075</v>
      </c>
      <c r="AC8" s="33"/>
      <c r="AD8" s="33"/>
      <c r="AE8" s="33"/>
      <c r="AF8" s="33"/>
      <c r="AG8" s="32">
        <v>44105</v>
      </c>
      <c r="AH8" s="33"/>
      <c r="AI8" s="33"/>
      <c r="AJ8" s="33"/>
      <c r="AK8" s="33"/>
      <c r="AL8" s="32">
        <v>44136</v>
      </c>
      <c r="AM8" s="33"/>
      <c r="AN8" s="33"/>
      <c r="AO8" s="33"/>
      <c r="AP8" s="33"/>
      <c r="AQ8" s="32">
        <v>44166</v>
      </c>
      <c r="AR8" s="33"/>
      <c r="AS8" s="33"/>
      <c r="AT8" s="33"/>
      <c r="AU8" s="33"/>
      <c r="AV8" s="32">
        <v>44197</v>
      </c>
      <c r="AW8" s="33"/>
      <c r="AX8" s="33"/>
      <c r="AY8" s="33"/>
      <c r="AZ8" s="33"/>
      <c r="BA8" s="32">
        <v>44228</v>
      </c>
      <c r="BB8" s="33"/>
      <c r="BC8" s="33"/>
      <c r="BD8" s="33"/>
      <c r="BE8" s="33"/>
      <c r="BF8" s="32">
        <v>44256</v>
      </c>
      <c r="BG8" s="33"/>
      <c r="BH8" s="33"/>
      <c r="BI8" s="33"/>
      <c r="BJ8" s="33"/>
    </row>
    <row r="9" spans="1:62" s="26" customFormat="1" ht="46.8" x14ac:dyDescent="0.3">
      <c r="A9" s="35"/>
      <c r="B9" s="33"/>
      <c r="C9" s="27" t="s">
        <v>4</v>
      </c>
      <c r="D9" s="27" t="s">
        <v>5</v>
      </c>
      <c r="E9" s="27" t="s">
        <v>6</v>
      </c>
      <c r="F9" s="24" t="s">
        <v>7</v>
      </c>
      <c r="G9" s="27" t="s">
        <v>49</v>
      </c>
      <c r="H9" s="27" t="s">
        <v>4</v>
      </c>
      <c r="I9" s="27" t="s">
        <v>5</v>
      </c>
      <c r="J9" s="27" t="s">
        <v>6</v>
      </c>
      <c r="K9" s="24" t="s">
        <v>7</v>
      </c>
      <c r="L9" s="27" t="s">
        <v>49</v>
      </c>
      <c r="M9" s="27" t="s">
        <v>4</v>
      </c>
      <c r="N9" s="27" t="s">
        <v>5</v>
      </c>
      <c r="O9" s="27" t="s">
        <v>6</v>
      </c>
      <c r="P9" s="24" t="s">
        <v>7</v>
      </c>
      <c r="Q9" s="27" t="s">
        <v>49</v>
      </c>
      <c r="R9" s="27" t="s">
        <v>4</v>
      </c>
      <c r="S9" s="27" t="s">
        <v>5</v>
      </c>
      <c r="T9" s="27" t="s">
        <v>6</v>
      </c>
      <c r="U9" s="24" t="s">
        <v>7</v>
      </c>
      <c r="V9" s="27" t="s">
        <v>49</v>
      </c>
      <c r="W9" s="27" t="s">
        <v>4</v>
      </c>
      <c r="X9" s="27" t="s">
        <v>5</v>
      </c>
      <c r="Y9" s="27" t="s">
        <v>6</v>
      </c>
      <c r="Z9" s="24" t="s">
        <v>7</v>
      </c>
      <c r="AA9" s="27" t="s">
        <v>49</v>
      </c>
      <c r="AB9" s="27" t="s">
        <v>4</v>
      </c>
      <c r="AC9" s="27" t="s">
        <v>5</v>
      </c>
      <c r="AD9" s="27" t="s">
        <v>6</v>
      </c>
      <c r="AE9" s="24" t="s">
        <v>7</v>
      </c>
      <c r="AF9" s="27" t="s">
        <v>49</v>
      </c>
      <c r="AG9" s="27" t="s">
        <v>4</v>
      </c>
      <c r="AH9" s="27" t="s">
        <v>5</v>
      </c>
      <c r="AI9" s="27" t="s">
        <v>6</v>
      </c>
      <c r="AJ9" s="24" t="s">
        <v>7</v>
      </c>
      <c r="AK9" s="27" t="s">
        <v>49</v>
      </c>
      <c r="AL9" s="27" t="s">
        <v>4</v>
      </c>
      <c r="AM9" s="27" t="s">
        <v>5</v>
      </c>
      <c r="AN9" s="27" t="s">
        <v>6</v>
      </c>
      <c r="AO9" s="24" t="s">
        <v>7</v>
      </c>
      <c r="AP9" s="27" t="s">
        <v>49</v>
      </c>
      <c r="AQ9" s="27" t="s">
        <v>4</v>
      </c>
      <c r="AR9" s="27" t="s">
        <v>5</v>
      </c>
      <c r="AS9" s="27" t="s">
        <v>6</v>
      </c>
      <c r="AT9" s="24" t="s">
        <v>7</v>
      </c>
      <c r="AU9" s="27" t="s">
        <v>49</v>
      </c>
      <c r="AV9" s="27" t="s">
        <v>4</v>
      </c>
      <c r="AW9" s="27" t="s">
        <v>5</v>
      </c>
      <c r="AX9" s="27" t="s">
        <v>6</v>
      </c>
      <c r="AY9" s="24" t="s">
        <v>7</v>
      </c>
      <c r="AZ9" s="27" t="s">
        <v>49</v>
      </c>
      <c r="BA9" s="27" t="s">
        <v>4</v>
      </c>
      <c r="BB9" s="27" t="s">
        <v>5</v>
      </c>
      <c r="BC9" s="27" t="s">
        <v>6</v>
      </c>
      <c r="BD9" s="24" t="s">
        <v>7</v>
      </c>
      <c r="BE9" s="27" t="s">
        <v>49</v>
      </c>
      <c r="BF9" s="27" t="s">
        <v>4</v>
      </c>
      <c r="BG9" s="27" t="s">
        <v>5</v>
      </c>
      <c r="BH9" s="27" t="s">
        <v>6</v>
      </c>
      <c r="BI9" s="24" t="s">
        <v>7</v>
      </c>
      <c r="BJ9" s="27" t="s">
        <v>49</v>
      </c>
    </row>
    <row r="10" spans="1:62" x14ac:dyDescent="0.3">
      <c r="A10" s="28">
        <v>1</v>
      </c>
      <c r="B10" s="4" t="s">
        <v>8</v>
      </c>
      <c r="C10" s="5">
        <v>83180</v>
      </c>
      <c r="D10" s="5">
        <v>13540</v>
      </c>
      <c r="E10" s="9">
        <f>F10-D10</f>
        <v>14212</v>
      </c>
      <c r="F10" s="8">
        <v>27752</v>
      </c>
      <c r="G10" s="10">
        <f>F10/C10</f>
        <v>0.33363789372445302</v>
      </c>
      <c r="H10" s="5">
        <v>76769</v>
      </c>
      <c r="I10" s="5">
        <v>12479</v>
      </c>
      <c r="J10" s="9">
        <f>K10-I10</f>
        <v>15292</v>
      </c>
      <c r="K10" s="8">
        <v>27771</v>
      </c>
      <c r="L10" s="10">
        <f>K10/H10</f>
        <v>0.36174758040354832</v>
      </c>
      <c r="M10" s="5">
        <v>83835</v>
      </c>
      <c r="N10" s="5">
        <v>19860</v>
      </c>
      <c r="O10" s="9">
        <f>P10-N10</f>
        <v>53277</v>
      </c>
      <c r="P10" s="8">
        <v>73137</v>
      </c>
      <c r="Q10" s="10">
        <f>P10/M10</f>
        <v>0.87239219896224729</v>
      </c>
      <c r="R10" s="5">
        <v>48665</v>
      </c>
      <c r="S10" s="5">
        <v>3764</v>
      </c>
      <c r="T10" s="9">
        <f>U10-S10</f>
        <v>24617</v>
      </c>
      <c r="U10" s="8">
        <v>28381</v>
      </c>
      <c r="V10" s="10">
        <f>U10/R10</f>
        <v>0.58319120517825951</v>
      </c>
      <c r="W10" s="5">
        <v>46482</v>
      </c>
      <c r="X10" s="5">
        <v>5115</v>
      </c>
      <c r="Y10" s="9">
        <f>Z10-X10</f>
        <v>23496</v>
      </c>
      <c r="Z10" s="8">
        <v>28611</v>
      </c>
      <c r="AA10" s="10">
        <f>Z10/W10</f>
        <v>0.61552859171292118</v>
      </c>
      <c r="AB10" s="5">
        <v>88382</v>
      </c>
      <c r="AC10" s="5">
        <v>33086</v>
      </c>
      <c r="AD10" s="9">
        <f>AE10-AC10</f>
        <v>41500</v>
      </c>
      <c r="AE10" s="8">
        <v>74586</v>
      </c>
      <c r="AF10" s="10">
        <f>AE10/AB10</f>
        <v>0.84390486750695848</v>
      </c>
      <c r="AG10" s="5">
        <v>40367</v>
      </c>
      <c r="AH10" s="5">
        <v>6289</v>
      </c>
      <c r="AI10" s="9">
        <f>AJ10-AH10</f>
        <v>22880</v>
      </c>
      <c r="AJ10" s="8">
        <v>29169</v>
      </c>
      <c r="AK10" s="10">
        <f>AJ10/AG10</f>
        <v>0.72259518913964382</v>
      </c>
      <c r="AL10" s="5">
        <v>37461</v>
      </c>
      <c r="AM10" s="7">
        <v>7315</v>
      </c>
      <c r="AN10" s="9">
        <f>AO10-AM10</f>
        <v>22127</v>
      </c>
      <c r="AO10" s="8">
        <v>29442</v>
      </c>
      <c r="AP10" s="10">
        <f>AO10/AL10</f>
        <v>0.7859373748698647</v>
      </c>
      <c r="AQ10" s="22">
        <v>84627</v>
      </c>
      <c r="AR10" s="5">
        <v>48387</v>
      </c>
      <c r="AS10" s="9">
        <f>AT10-AR10</f>
        <v>27503</v>
      </c>
      <c r="AT10" s="8">
        <v>75890</v>
      </c>
      <c r="AU10" s="10">
        <f>AT10/AQ10</f>
        <v>0.89675871766693849</v>
      </c>
      <c r="AV10" s="22">
        <v>45594</v>
      </c>
      <c r="AW10" s="5">
        <v>12473</v>
      </c>
      <c r="AX10" s="9">
        <f>AY10-AW10</f>
        <v>27132</v>
      </c>
      <c r="AY10" s="9">
        <v>39605</v>
      </c>
      <c r="AZ10" s="10">
        <f>AY10/AV10</f>
        <v>0.86864499714874766</v>
      </c>
      <c r="BA10" s="22">
        <v>44931</v>
      </c>
      <c r="BB10" s="5">
        <v>14318</v>
      </c>
      <c r="BC10" s="9">
        <f>BD10-BB10</f>
        <v>26090</v>
      </c>
      <c r="BD10" s="8">
        <v>40408</v>
      </c>
      <c r="BE10" s="10">
        <f>BD10/BA10</f>
        <v>0.89933453517615902</v>
      </c>
      <c r="BF10" s="9">
        <v>84140</v>
      </c>
      <c r="BG10" s="8">
        <v>29823</v>
      </c>
      <c r="BH10" s="9">
        <f>BI10-BG10</f>
        <v>48797</v>
      </c>
      <c r="BI10" s="6">
        <v>78620</v>
      </c>
      <c r="BJ10" s="10">
        <f>BI10/BF10</f>
        <v>0.93439505585928218</v>
      </c>
    </row>
    <row r="11" spans="1:62" x14ac:dyDescent="0.3">
      <c r="A11" s="28">
        <v>2</v>
      </c>
      <c r="B11" s="4" t="s">
        <v>9</v>
      </c>
      <c r="C11" s="5">
        <v>85603</v>
      </c>
      <c r="D11" s="5">
        <v>14787</v>
      </c>
      <c r="E11" s="9">
        <f t="shared" ref="E11:E48" si="0">F11-D11</f>
        <v>5563</v>
      </c>
      <c r="F11" s="8">
        <v>20350</v>
      </c>
      <c r="G11" s="10">
        <f t="shared" ref="G11:G48" si="1">F11/C11</f>
        <v>0.23772531336518579</v>
      </c>
      <c r="H11" s="5">
        <v>75572</v>
      </c>
      <c r="I11" s="5">
        <v>13881</v>
      </c>
      <c r="J11" s="9">
        <f t="shared" ref="J11:J48" si="2">K11-I11</f>
        <v>6553</v>
      </c>
      <c r="K11" s="8">
        <v>20434</v>
      </c>
      <c r="L11" s="10">
        <f t="shared" ref="L11:L48" si="3">K11/H11</f>
        <v>0.27039115016143545</v>
      </c>
      <c r="M11" s="5">
        <v>85305</v>
      </c>
      <c r="N11" s="5">
        <v>38125</v>
      </c>
      <c r="O11" s="9">
        <f t="shared" ref="O11:O48" si="4">P11-N11</f>
        <v>40633</v>
      </c>
      <c r="P11" s="8">
        <v>78758</v>
      </c>
      <c r="Q11" s="10">
        <f t="shared" ref="Q11:Q48" si="5">P11/M11</f>
        <v>0.92325186096946255</v>
      </c>
      <c r="R11" s="5">
        <v>34872</v>
      </c>
      <c r="S11" s="5">
        <v>6182</v>
      </c>
      <c r="T11" s="9">
        <f t="shared" ref="T11:T48" si="6">U11-S11</f>
        <v>14676</v>
      </c>
      <c r="U11" s="8">
        <v>20858</v>
      </c>
      <c r="V11" s="10">
        <f t="shared" ref="V11:V48" si="7">U11/R11</f>
        <v>0.5981303051158523</v>
      </c>
      <c r="W11" s="5">
        <v>33395</v>
      </c>
      <c r="X11" s="5">
        <v>7509</v>
      </c>
      <c r="Y11" s="9">
        <f t="shared" ref="Y11:Y48" si="8">Z11-X11</f>
        <v>13527</v>
      </c>
      <c r="Z11" s="8">
        <v>21036</v>
      </c>
      <c r="AA11" s="10">
        <f t="shared" ref="AA11:AA48" si="9">Z11/W11</f>
        <v>0.62991465788291656</v>
      </c>
      <c r="AB11" s="5">
        <v>89380</v>
      </c>
      <c r="AC11" s="5">
        <v>54419</v>
      </c>
      <c r="AD11" s="9">
        <f t="shared" ref="AD11:AD48" si="10">AE11-AC11</f>
        <v>27335</v>
      </c>
      <c r="AE11" s="8">
        <v>81754</v>
      </c>
      <c r="AF11" s="10">
        <f t="shared" ref="AF11:AF48" si="11">AE11/AB11</f>
        <v>0.91467889908256883</v>
      </c>
      <c r="AG11" s="5">
        <v>29840</v>
      </c>
      <c r="AH11" s="5">
        <v>8752</v>
      </c>
      <c r="AI11" s="9">
        <f t="shared" ref="AI11:AI48" si="12">AJ11-AH11</f>
        <v>12813</v>
      </c>
      <c r="AJ11" s="8">
        <v>21565</v>
      </c>
      <c r="AK11" s="10">
        <f t="shared" ref="AK11:AK48" si="13">AJ11/AG11</f>
        <v>0.72268766756032177</v>
      </c>
      <c r="AL11" s="5">
        <v>28848</v>
      </c>
      <c r="AM11" s="7">
        <v>9313</v>
      </c>
      <c r="AN11" s="9">
        <f t="shared" ref="AN11:AN48" si="14">AO11-AM11</f>
        <v>12478</v>
      </c>
      <c r="AO11" s="8">
        <v>21791</v>
      </c>
      <c r="AP11" s="10">
        <f t="shared" ref="AP11:AP48" si="15">AO11/AL11</f>
        <v>0.75537298946200782</v>
      </c>
      <c r="AQ11" s="22">
        <v>91034</v>
      </c>
      <c r="AR11" s="5">
        <v>67737</v>
      </c>
      <c r="AS11" s="9">
        <f t="shared" ref="AS11:AS48" si="16">AT11-AR11</f>
        <v>16649</v>
      </c>
      <c r="AT11" s="8">
        <v>84386</v>
      </c>
      <c r="AU11" s="10">
        <f t="shared" ref="AU11:AU48" si="17">AT11/AQ11</f>
        <v>0.92697234000483331</v>
      </c>
      <c r="AV11" s="22">
        <v>40247</v>
      </c>
      <c r="AW11" s="5">
        <v>16126</v>
      </c>
      <c r="AX11" s="9">
        <f t="shared" ref="AX11:AX48" si="18">AY11-AW11</f>
        <v>18719</v>
      </c>
      <c r="AY11" s="9">
        <v>34845</v>
      </c>
      <c r="AZ11" s="10">
        <f t="shared" ref="AZ11:AZ48" si="19">AY11/AV11</f>
        <v>0.86577881581235872</v>
      </c>
      <c r="BA11" s="22">
        <v>40011</v>
      </c>
      <c r="BB11" s="5">
        <v>18216</v>
      </c>
      <c r="BC11" s="9">
        <f t="shared" ref="BC11:BC48" si="20">BD11-BB11</f>
        <v>17873</v>
      </c>
      <c r="BD11" s="8">
        <v>36089</v>
      </c>
      <c r="BE11" s="10">
        <f t="shared" ref="BE11:BE48" si="21">BD11/BA11</f>
        <v>0.90197695633700736</v>
      </c>
      <c r="BF11" s="9">
        <v>90790</v>
      </c>
      <c r="BG11" s="8">
        <v>41240</v>
      </c>
      <c r="BH11" s="9">
        <f t="shared" ref="BH11:BH48" si="22">BI11-BG11</f>
        <v>46023</v>
      </c>
      <c r="BI11" s="6">
        <v>87263</v>
      </c>
      <c r="BJ11" s="10">
        <f t="shared" ref="BJ11:BJ48" si="23">BI11/BF11</f>
        <v>0.96115210926313466</v>
      </c>
    </row>
    <row r="12" spans="1:62" x14ac:dyDescent="0.3">
      <c r="A12" s="28">
        <v>3</v>
      </c>
      <c r="B12" s="4" t="s">
        <v>10</v>
      </c>
      <c r="C12" s="5">
        <v>311538</v>
      </c>
      <c r="D12" s="5">
        <v>71979</v>
      </c>
      <c r="E12" s="9">
        <f t="shared" si="0"/>
        <v>15684</v>
      </c>
      <c r="F12" s="8">
        <v>87663</v>
      </c>
      <c r="G12" s="10">
        <f t="shared" si="1"/>
        <v>0.2813878242782582</v>
      </c>
      <c r="H12" s="5">
        <v>286301</v>
      </c>
      <c r="I12" s="5">
        <v>68215</v>
      </c>
      <c r="J12" s="9">
        <f t="shared" si="2"/>
        <v>19681</v>
      </c>
      <c r="K12" s="8">
        <v>87896</v>
      </c>
      <c r="L12" s="10">
        <f t="shared" si="3"/>
        <v>0.30700556407417368</v>
      </c>
      <c r="M12" s="5">
        <v>312776</v>
      </c>
      <c r="N12" s="5">
        <v>162514</v>
      </c>
      <c r="O12" s="9">
        <f t="shared" si="4"/>
        <v>124080</v>
      </c>
      <c r="P12" s="8">
        <v>286594</v>
      </c>
      <c r="Q12" s="10">
        <f t="shared" si="5"/>
        <v>0.91629153131953855</v>
      </c>
      <c r="R12" s="5">
        <v>125200</v>
      </c>
      <c r="S12" s="5">
        <v>37751</v>
      </c>
      <c r="T12" s="9">
        <f t="shared" si="6"/>
        <v>51195</v>
      </c>
      <c r="U12" s="8">
        <v>88946</v>
      </c>
      <c r="V12" s="10">
        <f t="shared" si="7"/>
        <v>0.71043130990415337</v>
      </c>
      <c r="W12" s="5">
        <v>120831</v>
      </c>
      <c r="X12" s="5">
        <v>42958</v>
      </c>
      <c r="Y12" s="9">
        <f t="shared" si="8"/>
        <v>46347</v>
      </c>
      <c r="Z12" s="8">
        <v>89305</v>
      </c>
      <c r="AA12" s="10">
        <f t="shared" si="9"/>
        <v>0.73909013415431468</v>
      </c>
      <c r="AB12" s="5">
        <v>318929</v>
      </c>
      <c r="AC12" s="5">
        <v>206048</v>
      </c>
      <c r="AD12" s="9">
        <f t="shared" si="10"/>
        <v>87174</v>
      </c>
      <c r="AE12" s="8">
        <v>293222</v>
      </c>
      <c r="AF12" s="10">
        <f t="shared" si="11"/>
        <v>0.91939585299549431</v>
      </c>
      <c r="AG12" s="5">
        <v>113974</v>
      </c>
      <c r="AH12" s="5">
        <v>47342</v>
      </c>
      <c r="AI12" s="9">
        <f t="shared" si="12"/>
        <v>42588</v>
      </c>
      <c r="AJ12" s="8">
        <v>89930</v>
      </c>
      <c r="AK12" s="10">
        <f t="shared" si="13"/>
        <v>0.78903960552406693</v>
      </c>
      <c r="AL12" s="5">
        <v>111535</v>
      </c>
      <c r="AM12" s="7">
        <v>49890</v>
      </c>
      <c r="AN12" s="9">
        <f t="shared" si="14"/>
        <v>40540</v>
      </c>
      <c r="AO12" s="8">
        <v>90430</v>
      </c>
      <c r="AP12" s="10">
        <f t="shared" si="15"/>
        <v>0.81077688617922627</v>
      </c>
      <c r="AQ12" s="22">
        <v>323550</v>
      </c>
      <c r="AR12" s="5">
        <v>261254</v>
      </c>
      <c r="AS12" s="9">
        <f t="shared" si="16"/>
        <v>38430</v>
      </c>
      <c r="AT12" s="8">
        <v>299684</v>
      </c>
      <c r="AU12" s="10">
        <f t="shared" si="17"/>
        <v>0.92623705764178643</v>
      </c>
      <c r="AV12" s="22">
        <v>144846</v>
      </c>
      <c r="AW12" s="5">
        <v>81466</v>
      </c>
      <c r="AX12" s="9">
        <f t="shared" si="18"/>
        <v>44874</v>
      </c>
      <c r="AY12" s="9">
        <v>126340</v>
      </c>
      <c r="AZ12" s="10">
        <f t="shared" si="19"/>
        <v>0.87223672037888511</v>
      </c>
      <c r="BA12" s="22">
        <v>144289</v>
      </c>
      <c r="BB12" s="5">
        <v>88853</v>
      </c>
      <c r="BC12" s="9">
        <f t="shared" si="20"/>
        <v>40166</v>
      </c>
      <c r="BD12" s="8">
        <v>129019</v>
      </c>
      <c r="BE12" s="10">
        <f t="shared" si="21"/>
        <v>0.89417072680523113</v>
      </c>
      <c r="BF12" s="9">
        <v>318519</v>
      </c>
      <c r="BG12" s="8">
        <v>209730</v>
      </c>
      <c r="BH12" s="9">
        <f t="shared" si="22"/>
        <v>94441</v>
      </c>
      <c r="BI12" s="6">
        <v>304171</v>
      </c>
      <c r="BJ12" s="10">
        <f t="shared" si="23"/>
        <v>0.95495402158113019</v>
      </c>
    </row>
    <row r="13" spans="1:62" x14ac:dyDescent="0.3">
      <c r="A13" s="28">
        <v>4</v>
      </c>
      <c r="B13" s="4" t="s">
        <v>11</v>
      </c>
      <c r="C13" s="5">
        <v>27061</v>
      </c>
      <c r="D13" s="5">
        <v>7753</v>
      </c>
      <c r="E13" s="9">
        <f t="shared" si="0"/>
        <v>1749</v>
      </c>
      <c r="F13" s="8">
        <v>9502</v>
      </c>
      <c r="G13" s="10">
        <f t="shared" si="1"/>
        <v>0.35113262628875502</v>
      </c>
      <c r="H13" s="5">
        <v>24413</v>
      </c>
      <c r="I13" s="5">
        <v>7324</v>
      </c>
      <c r="J13" s="9">
        <f t="shared" si="2"/>
        <v>2180</v>
      </c>
      <c r="K13" s="8">
        <v>9504</v>
      </c>
      <c r="L13" s="10">
        <f t="shared" si="3"/>
        <v>0.38930078237004873</v>
      </c>
      <c r="M13" s="5">
        <v>26720</v>
      </c>
      <c r="N13" s="5">
        <v>14988</v>
      </c>
      <c r="O13" s="9">
        <f t="shared" si="4"/>
        <v>10457</v>
      </c>
      <c r="P13" s="8">
        <v>25445</v>
      </c>
      <c r="Q13" s="10">
        <f t="shared" si="5"/>
        <v>0.95228293413173648</v>
      </c>
      <c r="R13" s="5">
        <v>12533</v>
      </c>
      <c r="S13" s="5">
        <v>4291</v>
      </c>
      <c r="T13" s="9">
        <f t="shared" si="6"/>
        <v>5270</v>
      </c>
      <c r="U13" s="8">
        <v>9561</v>
      </c>
      <c r="V13" s="10">
        <f t="shared" si="7"/>
        <v>0.76286603367110828</v>
      </c>
      <c r="W13" s="5">
        <v>11962</v>
      </c>
      <c r="X13" s="5">
        <v>4900</v>
      </c>
      <c r="Y13" s="9">
        <f t="shared" si="8"/>
        <v>4674</v>
      </c>
      <c r="Z13" s="8">
        <v>9574</v>
      </c>
      <c r="AA13" s="10">
        <f t="shared" si="9"/>
        <v>0.80036783146630996</v>
      </c>
      <c r="AB13" s="5">
        <v>27174</v>
      </c>
      <c r="AC13" s="5">
        <v>18792</v>
      </c>
      <c r="AD13" s="9">
        <f t="shared" si="10"/>
        <v>6879</v>
      </c>
      <c r="AE13" s="8">
        <v>25671</v>
      </c>
      <c r="AF13" s="10">
        <f t="shared" si="11"/>
        <v>0.94468977699271361</v>
      </c>
      <c r="AG13" s="5">
        <v>11638</v>
      </c>
      <c r="AH13" s="5">
        <v>5512</v>
      </c>
      <c r="AI13" s="9">
        <f t="shared" si="12"/>
        <v>4107</v>
      </c>
      <c r="AJ13" s="8">
        <v>9619</v>
      </c>
      <c r="AK13" s="10">
        <f t="shared" si="13"/>
        <v>0.82651658360543045</v>
      </c>
      <c r="AL13" s="5">
        <v>11277</v>
      </c>
      <c r="AM13" s="7">
        <v>5870</v>
      </c>
      <c r="AN13" s="9">
        <f t="shared" si="14"/>
        <v>3797</v>
      </c>
      <c r="AO13" s="8">
        <v>9667</v>
      </c>
      <c r="AP13" s="10">
        <f t="shared" si="15"/>
        <v>0.85723153320918688</v>
      </c>
      <c r="AQ13" s="22">
        <v>26992</v>
      </c>
      <c r="AR13" s="5">
        <v>22633</v>
      </c>
      <c r="AS13" s="9">
        <f t="shared" si="16"/>
        <v>3302</v>
      </c>
      <c r="AT13" s="8">
        <v>25935</v>
      </c>
      <c r="AU13" s="10">
        <f t="shared" si="17"/>
        <v>0.96084024896265563</v>
      </c>
      <c r="AV13" s="22">
        <v>12935</v>
      </c>
      <c r="AW13" s="5">
        <v>7487</v>
      </c>
      <c r="AX13" s="9">
        <f t="shared" si="18"/>
        <v>4792</v>
      </c>
      <c r="AY13" s="9">
        <v>12279</v>
      </c>
      <c r="AZ13" s="10">
        <f t="shared" si="19"/>
        <v>0.94928488596830307</v>
      </c>
      <c r="BA13" s="22">
        <v>12728</v>
      </c>
      <c r="BB13" s="5">
        <v>8261</v>
      </c>
      <c r="BC13" s="9">
        <f t="shared" si="20"/>
        <v>4163</v>
      </c>
      <c r="BD13" s="8">
        <v>12424</v>
      </c>
      <c r="BE13" s="10">
        <f t="shared" si="21"/>
        <v>0.9761156505342552</v>
      </c>
      <c r="BF13" s="9">
        <v>26399</v>
      </c>
      <c r="BG13" s="8">
        <v>17697</v>
      </c>
      <c r="BH13" s="9">
        <f t="shared" si="22"/>
        <v>8478</v>
      </c>
      <c r="BI13" s="6">
        <v>26175</v>
      </c>
      <c r="BJ13" s="10">
        <f t="shared" si="23"/>
        <v>0.99151483010720098</v>
      </c>
    </row>
    <row r="14" spans="1:62" x14ac:dyDescent="0.3">
      <c r="A14" s="28">
        <v>5</v>
      </c>
      <c r="B14" s="4" t="s">
        <v>12</v>
      </c>
      <c r="C14" s="5">
        <v>131130</v>
      </c>
      <c r="D14" s="5">
        <v>23385</v>
      </c>
      <c r="E14" s="9">
        <f t="shared" si="0"/>
        <v>11307</v>
      </c>
      <c r="F14" s="8">
        <v>34692</v>
      </c>
      <c r="G14" s="10">
        <f t="shared" si="1"/>
        <v>0.26456188515213908</v>
      </c>
      <c r="H14" s="5">
        <v>113453</v>
      </c>
      <c r="I14" s="5">
        <v>21629</v>
      </c>
      <c r="J14" s="9">
        <f t="shared" si="2"/>
        <v>13249</v>
      </c>
      <c r="K14" s="8">
        <v>34878</v>
      </c>
      <c r="L14" s="10">
        <f t="shared" si="3"/>
        <v>0.30742245687641578</v>
      </c>
      <c r="M14" s="5">
        <v>130093</v>
      </c>
      <c r="N14" s="5">
        <v>48813</v>
      </c>
      <c r="O14" s="9">
        <f t="shared" si="4"/>
        <v>66721</v>
      </c>
      <c r="P14" s="8">
        <v>115534</v>
      </c>
      <c r="Q14" s="10">
        <f t="shared" si="5"/>
        <v>0.88808775260774986</v>
      </c>
      <c r="R14" s="5">
        <v>63308</v>
      </c>
      <c r="S14" s="5">
        <v>8113</v>
      </c>
      <c r="T14" s="9">
        <f t="shared" si="6"/>
        <v>27587</v>
      </c>
      <c r="U14" s="8">
        <v>35700</v>
      </c>
      <c r="V14" s="10">
        <f t="shared" si="7"/>
        <v>0.56390977443609025</v>
      </c>
      <c r="W14" s="5">
        <v>61226</v>
      </c>
      <c r="X14" s="5">
        <v>10542</v>
      </c>
      <c r="Y14" s="9">
        <f t="shared" si="8"/>
        <v>25507</v>
      </c>
      <c r="Z14" s="8">
        <v>36049</v>
      </c>
      <c r="AA14" s="10">
        <f t="shared" si="9"/>
        <v>0.58878580995002128</v>
      </c>
      <c r="AB14" s="5">
        <v>138271</v>
      </c>
      <c r="AC14" s="5">
        <v>67081</v>
      </c>
      <c r="AD14" s="9">
        <f t="shared" si="10"/>
        <v>53079</v>
      </c>
      <c r="AE14" s="8">
        <v>120160</v>
      </c>
      <c r="AF14" s="10">
        <f t="shared" si="11"/>
        <v>0.86901808766841926</v>
      </c>
      <c r="AG14" s="5">
        <v>55999</v>
      </c>
      <c r="AH14" s="5">
        <v>12050</v>
      </c>
      <c r="AI14" s="9">
        <f t="shared" si="12"/>
        <v>25002</v>
      </c>
      <c r="AJ14" s="8">
        <v>37052</v>
      </c>
      <c r="AK14" s="10">
        <f t="shared" si="13"/>
        <v>0.66165467240486442</v>
      </c>
      <c r="AL14" s="5">
        <v>53588</v>
      </c>
      <c r="AM14" s="7">
        <v>13215</v>
      </c>
      <c r="AN14" s="9">
        <f t="shared" si="14"/>
        <v>24304</v>
      </c>
      <c r="AO14" s="8">
        <v>37519</v>
      </c>
      <c r="AP14" s="10">
        <f t="shared" si="15"/>
        <v>0.70013809061730237</v>
      </c>
      <c r="AQ14" s="22">
        <v>140248</v>
      </c>
      <c r="AR14" s="5">
        <v>89694</v>
      </c>
      <c r="AS14" s="9">
        <f t="shared" si="16"/>
        <v>35447</v>
      </c>
      <c r="AT14" s="8">
        <v>125141</v>
      </c>
      <c r="AU14" s="10">
        <f t="shared" si="17"/>
        <v>0.8922836689293252</v>
      </c>
      <c r="AV14" s="22">
        <v>71286</v>
      </c>
      <c r="AW14" s="5">
        <v>24007</v>
      </c>
      <c r="AX14" s="9">
        <f t="shared" si="18"/>
        <v>35684</v>
      </c>
      <c r="AY14" s="9">
        <v>59691</v>
      </c>
      <c r="AZ14" s="10">
        <f t="shared" si="19"/>
        <v>0.83734534130123728</v>
      </c>
      <c r="BA14" s="22">
        <v>69175</v>
      </c>
      <c r="BB14" s="5">
        <v>27077</v>
      </c>
      <c r="BC14" s="9">
        <f t="shared" si="20"/>
        <v>34357</v>
      </c>
      <c r="BD14" s="8">
        <v>61434</v>
      </c>
      <c r="BE14" s="10">
        <f t="shared" si="21"/>
        <v>0.88809541019154314</v>
      </c>
      <c r="BF14" s="9">
        <v>138667</v>
      </c>
      <c r="BG14" s="8">
        <v>59508</v>
      </c>
      <c r="BH14" s="9">
        <f t="shared" si="22"/>
        <v>70025</v>
      </c>
      <c r="BI14" s="6">
        <v>129533</v>
      </c>
      <c r="BJ14" s="10">
        <f t="shared" si="23"/>
        <v>0.93412996603373555</v>
      </c>
    </row>
    <row r="15" spans="1:62" x14ac:dyDescent="0.3">
      <c r="A15" s="28">
        <v>6</v>
      </c>
      <c r="B15" s="4" t="s">
        <v>13</v>
      </c>
      <c r="C15" s="5">
        <v>422507</v>
      </c>
      <c r="D15" s="5">
        <v>106227</v>
      </c>
      <c r="E15" s="9">
        <f t="shared" si="0"/>
        <v>31563</v>
      </c>
      <c r="F15" s="8">
        <v>137790</v>
      </c>
      <c r="G15" s="10">
        <f t="shared" si="1"/>
        <v>0.32612477426409503</v>
      </c>
      <c r="H15" s="5">
        <v>384273</v>
      </c>
      <c r="I15" s="5">
        <v>99951</v>
      </c>
      <c r="J15" s="9">
        <f t="shared" si="2"/>
        <v>38313</v>
      </c>
      <c r="K15" s="8">
        <v>138264</v>
      </c>
      <c r="L15" s="10">
        <f t="shared" si="3"/>
        <v>0.35980669992427261</v>
      </c>
      <c r="M15" s="5">
        <v>424733</v>
      </c>
      <c r="N15" s="5">
        <v>204251</v>
      </c>
      <c r="O15" s="9">
        <f t="shared" si="4"/>
        <v>179532</v>
      </c>
      <c r="P15" s="8">
        <v>383783</v>
      </c>
      <c r="Q15" s="10">
        <f t="shared" si="5"/>
        <v>0.90358648845274558</v>
      </c>
      <c r="R15" s="5">
        <v>216203</v>
      </c>
      <c r="S15" s="5">
        <v>50298</v>
      </c>
      <c r="T15" s="9">
        <f t="shared" si="6"/>
        <v>90714</v>
      </c>
      <c r="U15" s="8">
        <v>141012</v>
      </c>
      <c r="V15" s="10">
        <f t="shared" si="7"/>
        <v>0.65222036696993102</v>
      </c>
      <c r="W15" s="5">
        <v>208829</v>
      </c>
      <c r="X15" s="5">
        <v>60014</v>
      </c>
      <c r="Y15" s="9">
        <f t="shared" si="8"/>
        <v>82559</v>
      </c>
      <c r="Z15" s="8">
        <v>142573</v>
      </c>
      <c r="AA15" s="10">
        <f t="shared" si="9"/>
        <v>0.68272605816241994</v>
      </c>
      <c r="AB15" s="5">
        <v>444211</v>
      </c>
      <c r="AC15" s="5">
        <v>272954</v>
      </c>
      <c r="AD15" s="9">
        <f t="shared" si="10"/>
        <v>126162</v>
      </c>
      <c r="AE15" s="8">
        <v>399116</v>
      </c>
      <c r="AF15" s="10">
        <f t="shared" si="11"/>
        <v>0.898482928158015</v>
      </c>
      <c r="AG15" s="5">
        <v>197957</v>
      </c>
      <c r="AH15" s="5">
        <v>64929</v>
      </c>
      <c r="AI15" s="9">
        <f t="shared" si="12"/>
        <v>79672</v>
      </c>
      <c r="AJ15" s="8">
        <v>144601</v>
      </c>
      <c r="AK15" s="10">
        <f t="shared" si="13"/>
        <v>0.73046671751946135</v>
      </c>
      <c r="AL15" s="5">
        <v>192342</v>
      </c>
      <c r="AM15" s="7">
        <v>69943</v>
      </c>
      <c r="AN15" s="9">
        <f t="shared" si="14"/>
        <v>76430</v>
      </c>
      <c r="AO15" s="8">
        <v>146373</v>
      </c>
      <c r="AP15" s="10">
        <f t="shared" si="15"/>
        <v>0.76100383691549423</v>
      </c>
      <c r="AQ15" s="22">
        <v>454238</v>
      </c>
      <c r="AR15" s="5">
        <v>344564</v>
      </c>
      <c r="AS15" s="9">
        <f t="shared" si="16"/>
        <v>68300</v>
      </c>
      <c r="AT15" s="8">
        <v>412864</v>
      </c>
      <c r="AU15" s="10">
        <f t="shared" si="17"/>
        <v>0.90891559050541781</v>
      </c>
      <c r="AV15" s="22">
        <v>236575</v>
      </c>
      <c r="AW15" s="5">
        <v>106627</v>
      </c>
      <c r="AX15" s="9">
        <f t="shared" si="18"/>
        <v>94719</v>
      </c>
      <c r="AY15" s="9">
        <v>201346</v>
      </c>
      <c r="AZ15" s="10">
        <f t="shared" si="19"/>
        <v>0.85108739300433267</v>
      </c>
      <c r="BA15" s="22">
        <v>231251</v>
      </c>
      <c r="BB15" s="5">
        <v>121858</v>
      </c>
      <c r="BC15" s="9">
        <f t="shared" si="20"/>
        <v>83875</v>
      </c>
      <c r="BD15" s="8">
        <v>205733</v>
      </c>
      <c r="BE15" s="10">
        <f t="shared" si="21"/>
        <v>0.88965236907083645</v>
      </c>
      <c r="BF15" s="9">
        <v>438177</v>
      </c>
      <c r="BG15" s="8">
        <v>261060</v>
      </c>
      <c r="BH15" s="9">
        <f t="shared" si="22"/>
        <v>156652</v>
      </c>
      <c r="BI15" s="6">
        <v>417712</v>
      </c>
      <c r="BJ15" s="10">
        <f t="shared" si="23"/>
        <v>0.95329512959374862</v>
      </c>
    </row>
    <row r="16" spans="1:62" x14ac:dyDescent="0.3">
      <c r="A16" s="28">
        <v>7</v>
      </c>
      <c r="B16" s="4" t="s">
        <v>14</v>
      </c>
      <c r="C16" s="5">
        <v>749164</v>
      </c>
      <c r="D16" s="5">
        <v>143262</v>
      </c>
      <c r="E16" s="9">
        <f t="shared" si="0"/>
        <v>60758</v>
      </c>
      <c r="F16" s="8">
        <v>204020</v>
      </c>
      <c r="G16" s="10">
        <f t="shared" si="1"/>
        <v>0.27233022408978541</v>
      </c>
      <c r="H16" s="5">
        <v>684312</v>
      </c>
      <c r="I16" s="5">
        <v>132143</v>
      </c>
      <c r="J16" s="9">
        <f t="shared" si="2"/>
        <v>71835</v>
      </c>
      <c r="K16" s="8">
        <v>203978</v>
      </c>
      <c r="L16" s="10">
        <f t="shared" si="3"/>
        <v>0.29807748512374471</v>
      </c>
      <c r="M16" s="5">
        <v>735720</v>
      </c>
      <c r="N16" s="5">
        <v>304325</v>
      </c>
      <c r="O16" s="9">
        <f t="shared" si="4"/>
        <v>326404</v>
      </c>
      <c r="P16" s="8">
        <v>630729</v>
      </c>
      <c r="Q16" s="10">
        <f t="shared" si="5"/>
        <v>0.85729489479693366</v>
      </c>
      <c r="R16" s="5">
        <v>377107</v>
      </c>
      <c r="S16" s="5">
        <v>63323</v>
      </c>
      <c r="T16" s="9">
        <f t="shared" si="6"/>
        <v>145099</v>
      </c>
      <c r="U16" s="8">
        <v>208422</v>
      </c>
      <c r="V16" s="10">
        <f t="shared" si="7"/>
        <v>0.5526866380099017</v>
      </c>
      <c r="W16" s="5">
        <v>358920</v>
      </c>
      <c r="X16" s="5">
        <v>79685</v>
      </c>
      <c r="Y16" s="9">
        <f t="shared" si="8"/>
        <v>131040</v>
      </c>
      <c r="Z16" s="8">
        <v>210725</v>
      </c>
      <c r="AA16" s="10">
        <f t="shared" si="9"/>
        <v>0.58710854786581967</v>
      </c>
      <c r="AB16" s="5">
        <v>764172</v>
      </c>
      <c r="AC16" s="5">
        <v>431348</v>
      </c>
      <c r="AD16" s="9">
        <f t="shared" si="10"/>
        <v>218537</v>
      </c>
      <c r="AE16" s="8">
        <v>649885</v>
      </c>
      <c r="AF16" s="10">
        <f t="shared" si="11"/>
        <v>0.85044335568432239</v>
      </c>
      <c r="AG16" s="5">
        <v>333237</v>
      </c>
      <c r="AH16" s="5">
        <v>92476</v>
      </c>
      <c r="AI16" s="9">
        <f t="shared" si="12"/>
        <v>121829</v>
      </c>
      <c r="AJ16" s="8">
        <v>214305</v>
      </c>
      <c r="AK16" s="10">
        <f t="shared" si="13"/>
        <v>0.64310085614742662</v>
      </c>
      <c r="AL16" s="5">
        <v>323065</v>
      </c>
      <c r="AM16" s="7">
        <v>100713</v>
      </c>
      <c r="AN16" s="9">
        <f t="shared" si="14"/>
        <v>116997</v>
      </c>
      <c r="AO16" s="8">
        <v>217710</v>
      </c>
      <c r="AP16" s="10">
        <f t="shared" si="15"/>
        <v>0.67388915543311723</v>
      </c>
      <c r="AQ16" s="22">
        <v>767321</v>
      </c>
      <c r="AR16" s="5">
        <v>559256</v>
      </c>
      <c r="AS16" s="9">
        <f t="shared" si="16"/>
        <v>112002</v>
      </c>
      <c r="AT16" s="8">
        <v>671258</v>
      </c>
      <c r="AU16" s="10">
        <f t="shared" si="17"/>
        <v>0.87480728404409624</v>
      </c>
      <c r="AV16" s="22">
        <v>376806</v>
      </c>
      <c r="AW16" s="5">
        <v>158795</v>
      </c>
      <c r="AX16" s="9">
        <f t="shared" si="18"/>
        <v>148959</v>
      </c>
      <c r="AY16" s="9">
        <v>307754</v>
      </c>
      <c r="AZ16" s="10">
        <f t="shared" si="19"/>
        <v>0.81674389473628339</v>
      </c>
      <c r="BA16" s="22">
        <v>362361</v>
      </c>
      <c r="BB16" s="5">
        <v>182246</v>
      </c>
      <c r="BC16" s="9">
        <f t="shared" si="20"/>
        <v>130510</v>
      </c>
      <c r="BD16" s="8">
        <v>312756</v>
      </c>
      <c r="BE16" s="10">
        <f t="shared" si="21"/>
        <v>0.86310612897083294</v>
      </c>
      <c r="BF16" s="9">
        <v>717401</v>
      </c>
      <c r="BG16" s="8">
        <v>451790</v>
      </c>
      <c r="BH16" s="9">
        <f t="shared" si="22"/>
        <v>223697</v>
      </c>
      <c r="BI16" s="6">
        <v>675487</v>
      </c>
      <c r="BJ16" s="10">
        <f t="shared" si="23"/>
        <v>0.94157521386226117</v>
      </c>
    </row>
    <row r="17" spans="1:62" x14ac:dyDescent="0.3">
      <c r="A17" s="28">
        <v>8</v>
      </c>
      <c r="B17" s="4" t="s">
        <v>15</v>
      </c>
      <c r="C17" s="5">
        <v>550394</v>
      </c>
      <c r="D17" s="5">
        <v>104901</v>
      </c>
      <c r="E17" s="9">
        <f t="shared" si="0"/>
        <v>33427</v>
      </c>
      <c r="F17" s="8">
        <v>138328</v>
      </c>
      <c r="G17" s="10">
        <f t="shared" si="1"/>
        <v>0.25132541415785781</v>
      </c>
      <c r="H17" s="5">
        <v>502451</v>
      </c>
      <c r="I17" s="5">
        <v>98873</v>
      </c>
      <c r="J17" s="9">
        <f t="shared" si="2"/>
        <v>39848</v>
      </c>
      <c r="K17" s="8">
        <v>138721</v>
      </c>
      <c r="L17" s="10">
        <f t="shared" si="3"/>
        <v>0.27608861361605408</v>
      </c>
      <c r="M17" s="5">
        <v>556868</v>
      </c>
      <c r="N17" s="5">
        <v>255347</v>
      </c>
      <c r="O17" s="9">
        <f t="shared" si="4"/>
        <v>259037</v>
      </c>
      <c r="P17" s="8">
        <v>514384</v>
      </c>
      <c r="Q17" s="10">
        <f t="shared" si="5"/>
        <v>0.92370902978802871</v>
      </c>
      <c r="R17" s="5">
        <v>233458</v>
      </c>
      <c r="S17" s="5">
        <v>45155</v>
      </c>
      <c r="T17" s="9">
        <f t="shared" si="6"/>
        <v>96614</v>
      </c>
      <c r="U17" s="8">
        <v>141769</v>
      </c>
      <c r="V17" s="10">
        <f t="shared" si="7"/>
        <v>0.60725697984219862</v>
      </c>
      <c r="W17" s="5">
        <v>221561</v>
      </c>
      <c r="X17" s="5">
        <v>56141</v>
      </c>
      <c r="Y17" s="9">
        <f t="shared" si="8"/>
        <v>86590</v>
      </c>
      <c r="Z17" s="8">
        <v>142731</v>
      </c>
      <c r="AA17" s="10">
        <f t="shared" si="9"/>
        <v>0.644206335952627</v>
      </c>
      <c r="AB17" s="5">
        <v>582052</v>
      </c>
      <c r="AC17" s="5">
        <v>338909</v>
      </c>
      <c r="AD17" s="9">
        <f t="shared" si="10"/>
        <v>196960</v>
      </c>
      <c r="AE17" s="8">
        <v>535869</v>
      </c>
      <c r="AF17" s="10">
        <f t="shared" si="11"/>
        <v>0.92065485557991378</v>
      </c>
      <c r="AG17" s="5">
        <v>198905</v>
      </c>
      <c r="AH17" s="5">
        <v>59784</v>
      </c>
      <c r="AI17" s="9">
        <f t="shared" si="12"/>
        <v>84783</v>
      </c>
      <c r="AJ17" s="8">
        <v>144567</v>
      </c>
      <c r="AK17" s="10">
        <f t="shared" si="13"/>
        <v>0.72681430833815142</v>
      </c>
      <c r="AL17" s="5">
        <v>191155</v>
      </c>
      <c r="AM17" s="7">
        <v>63232</v>
      </c>
      <c r="AN17" s="9">
        <f t="shared" si="14"/>
        <v>82771</v>
      </c>
      <c r="AO17" s="8">
        <v>146003</v>
      </c>
      <c r="AP17" s="10">
        <f t="shared" si="15"/>
        <v>0.7637937799168214</v>
      </c>
      <c r="AQ17" s="22">
        <v>594970</v>
      </c>
      <c r="AR17" s="5">
        <v>441179</v>
      </c>
      <c r="AS17" s="9">
        <f t="shared" si="16"/>
        <v>115089</v>
      </c>
      <c r="AT17" s="8">
        <v>556268</v>
      </c>
      <c r="AU17" s="10">
        <f t="shared" si="17"/>
        <v>0.93495134208447483</v>
      </c>
      <c r="AV17" s="22">
        <v>254447</v>
      </c>
      <c r="AW17" s="5">
        <v>109499</v>
      </c>
      <c r="AX17" s="9">
        <f t="shared" si="18"/>
        <v>115496</v>
      </c>
      <c r="AY17" s="9">
        <v>224995</v>
      </c>
      <c r="AZ17" s="10">
        <f t="shared" si="19"/>
        <v>0.88425094420449057</v>
      </c>
      <c r="BA17" s="22">
        <v>254024</v>
      </c>
      <c r="BB17" s="5">
        <v>127979</v>
      </c>
      <c r="BC17" s="9">
        <f t="shared" si="20"/>
        <v>106336</v>
      </c>
      <c r="BD17" s="8">
        <v>234315</v>
      </c>
      <c r="BE17" s="10">
        <f t="shared" si="21"/>
        <v>0.92241284288098757</v>
      </c>
      <c r="BF17" s="9">
        <v>590776</v>
      </c>
      <c r="BG17" s="8">
        <v>311408</v>
      </c>
      <c r="BH17" s="9">
        <f t="shared" si="22"/>
        <v>261185</v>
      </c>
      <c r="BI17" s="6">
        <v>572593</v>
      </c>
      <c r="BJ17" s="10">
        <f t="shared" si="23"/>
        <v>0.9692218370414506</v>
      </c>
    </row>
    <row r="18" spans="1:62" x14ac:dyDescent="0.3">
      <c r="A18" s="28">
        <v>9</v>
      </c>
      <c r="B18" s="4" t="s">
        <v>16</v>
      </c>
      <c r="C18" s="5">
        <v>1149884</v>
      </c>
      <c r="D18" s="5">
        <v>214720</v>
      </c>
      <c r="E18" s="9">
        <f t="shared" si="0"/>
        <v>117508</v>
      </c>
      <c r="F18" s="8">
        <v>332228</v>
      </c>
      <c r="G18" s="10">
        <f t="shared" si="1"/>
        <v>0.28892305658657741</v>
      </c>
      <c r="H18" s="5">
        <v>1037981</v>
      </c>
      <c r="I18" s="5">
        <v>200309</v>
      </c>
      <c r="J18" s="9">
        <f t="shared" si="2"/>
        <v>131834</v>
      </c>
      <c r="K18" s="8">
        <v>332143</v>
      </c>
      <c r="L18" s="10">
        <f t="shared" si="3"/>
        <v>0.31998947957621576</v>
      </c>
      <c r="M18" s="5">
        <v>1134575</v>
      </c>
      <c r="N18" s="5">
        <v>396346</v>
      </c>
      <c r="O18" s="9">
        <f t="shared" si="4"/>
        <v>604419</v>
      </c>
      <c r="P18" s="8">
        <v>1000765</v>
      </c>
      <c r="Q18" s="10">
        <f t="shared" si="5"/>
        <v>0.88206156490315757</v>
      </c>
      <c r="R18" s="5">
        <v>560923</v>
      </c>
      <c r="S18" s="5">
        <v>59463</v>
      </c>
      <c r="T18" s="9">
        <f t="shared" si="6"/>
        <v>280951</v>
      </c>
      <c r="U18" s="8">
        <v>340414</v>
      </c>
      <c r="V18" s="10">
        <f t="shared" si="7"/>
        <v>0.60688187148681727</v>
      </c>
      <c r="W18" s="5">
        <v>535952</v>
      </c>
      <c r="X18" s="5">
        <v>81653</v>
      </c>
      <c r="Y18" s="9">
        <f t="shared" si="8"/>
        <v>262482</v>
      </c>
      <c r="Z18" s="8">
        <v>344135</v>
      </c>
      <c r="AA18" s="10">
        <f t="shared" si="9"/>
        <v>0.64210041197719203</v>
      </c>
      <c r="AB18" s="5">
        <v>1210642</v>
      </c>
      <c r="AC18" s="5">
        <v>561852</v>
      </c>
      <c r="AD18" s="9">
        <f t="shared" si="10"/>
        <v>486270</v>
      </c>
      <c r="AE18" s="8">
        <v>1048122</v>
      </c>
      <c r="AF18" s="10">
        <f t="shared" si="11"/>
        <v>0.8657571767706721</v>
      </c>
      <c r="AG18" s="5">
        <v>495943</v>
      </c>
      <c r="AH18" s="5">
        <v>96105</v>
      </c>
      <c r="AI18" s="9">
        <f t="shared" si="12"/>
        <v>257052</v>
      </c>
      <c r="AJ18" s="8">
        <v>353157</v>
      </c>
      <c r="AK18" s="10">
        <f t="shared" si="13"/>
        <v>0.71209191378847969</v>
      </c>
      <c r="AL18" s="5">
        <v>477702</v>
      </c>
      <c r="AM18" s="7">
        <v>102581</v>
      </c>
      <c r="AN18" s="9">
        <f t="shared" si="14"/>
        <v>255795</v>
      </c>
      <c r="AO18" s="8">
        <v>358376</v>
      </c>
      <c r="AP18" s="10">
        <f t="shared" si="15"/>
        <v>0.75020828884953383</v>
      </c>
      <c r="AQ18" s="22">
        <v>1231355</v>
      </c>
      <c r="AR18" s="5">
        <v>795860</v>
      </c>
      <c r="AS18" s="9">
        <f t="shared" si="16"/>
        <v>296475</v>
      </c>
      <c r="AT18" s="8">
        <v>1092335</v>
      </c>
      <c r="AU18" s="10">
        <f t="shared" si="17"/>
        <v>0.88709998335167362</v>
      </c>
      <c r="AV18" s="22">
        <v>676361</v>
      </c>
      <c r="AW18" s="5">
        <v>242574</v>
      </c>
      <c r="AX18" s="9">
        <f t="shared" si="18"/>
        <v>330643</v>
      </c>
      <c r="AY18" s="9">
        <v>573217</v>
      </c>
      <c r="AZ18" s="10">
        <f t="shared" si="19"/>
        <v>0.8475015561216569</v>
      </c>
      <c r="BA18" s="22">
        <v>652080</v>
      </c>
      <c r="BB18" s="5">
        <v>271211</v>
      </c>
      <c r="BC18" s="9">
        <f t="shared" si="20"/>
        <v>316150</v>
      </c>
      <c r="BD18" s="8">
        <v>587361</v>
      </c>
      <c r="BE18" s="10">
        <f t="shared" si="21"/>
        <v>0.90074990798675014</v>
      </c>
      <c r="BF18" s="9">
        <v>1203078</v>
      </c>
      <c r="BG18" s="8">
        <v>530623</v>
      </c>
      <c r="BH18" s="9">
        <f t="shared" si="22"/>
        <v>595080</v>
      </c>
      <c r="BI18" s="6">
        <v>1125703</v>
      </c>
      <c r="BJ18" s="10">
        <f t="shared" si="23"/>
        <v>0.93568579925823592</v>
      </c>
    </row>
    <row r="19" spans="1:62" x14ac:dyDescent="0.3">
      <c r="A19" s="29">
        <v>10</v>
      </c>
      <c r="B19" s="4" t="s">
        <v>17</v>
      </c>
      <c r="C19" s="5">
        <v>318417</v>
      </c>
      <c r="D19" s="5">
        <v>48046</v>
      </c>
      <c r="E19" s="9">
        <f t="shared" si="0"/>
        <v>44337</v>
      </c>
      <c r="F19" s="8">
        <v>92383</v>
      </c>
      <c r="G19" s="10">
        <f t="shared" si="1"/>
        <v>0.29013212234271413</v>
      </c>
      <c r="H19" s="5">
        <v>290976</v>
      </c>
      <c r="I19" s="5">
        <v>42723</v>
      </c>
      <c r="J19" s="9">
        <f t="shared" si="2"/>
        <v>49777</v>
      </c>
      <c r="K19" s="8">
        <v>92500</v>
      </c>
      <c r="L19" s="10">
        <f t="shared" si="3"/>
        <v>0.31789563400417903</v>
      </c>
      <c r="M19" s="5">
        <v>326795</v>
      </c>
      <c r="N19" s="5">
        <v>67713</v>
      </c>
      <c r="O19" s="9">
        <f t="shared" si="4"/>
        <v>210400</v>
      </c>
      <c r="P19" s="8">
        <v>278113</v>
      </c>
      <c r="Q19" s="10">
        <f t="shared" si="5"/>
        <v>0.85103199253354544</v>
      </c>
      <c r="R19" s="5">
        <v>182406</v>
      </c>
      <c r="S19" s="5">
        <v>9918</v>
      </c>
      <c r="T19" s="9">
        <f t="shared" si="6"/>
        <v>85577</v>
      </c>
      <c r="U19" s="8">
        <v>95495</v>
      </c>
      <c r="V19" s="10">
        <f t="shared" si="7"/>
        <v>0.52352992774360496</v>
      </c>
      <c r="W19" s="5">
        <v>174793</v>
      </c>
      <c r="X19" s="5">
        <v>13343</v>
      </c>
      <c r="Y19" s="9">
        <f t="shared" si="8"/>
        <v>83342</v>
      </c>
      <c r="Z19" s="8">
        <v>96685</v>
      </c>
      <c r="AA19" s="10">
        <f t="shared" si="9"/>
        <v>0.55313999988557894</v>
      </c>
      <c r="AB19" s="5">
        <v>355383</v>
      </c>
      <c r="AC19" s="5">
        <v>127472</v>
      </c>
      <c r="AD19" s="9">
        <f t="shared" si="10"/>
        <v>164276</v>
      </c>
      <c r="AE19" s="8">
        <v>291748</v>
      </c>
      <c r="AF19" s="10">
        <f t="shared" si="11"/>
        <v>0.82093966227985016</v>
      </c>
      <c r="AG19" s="5">
        <v>163328</v>
      </c>
      <c r="AH19" s="5">
        <v>17578</v>
      </c>
      <c r="AI19" s="9">
        <f t="shared" si="12"/>
        <v>81720</v>
      </c>
      <c r="AJ19" s="8">
        <v>99298</v>
      </c>
      <c r="AK19" s="10">
        <f t="shared" si="13"/>
        <v>0.60796679075235105</v>
      </c>
      <c r="AL19" s="5">
        <v>160483</v>
      </c>
      <c r="AM19" s="7">
        <v>17471</v>
      </c>
      <c r="AN19" s="9">
        <f t="shared" si="14"/>
        <v>83155</v>
      </c>
      <c r="AO19" s="8">
        <v>100626</v>
      </c>
      <c r="AP19" s="10">
        <f t="shared" si="15"/>
        <v>0.62701968432793509</v>
      </c>
      <c r="AQ19" s="22">
        <v>372999</v>
      </c>
      <c r="AR19" s="5">
        <v>186736</v>
      </c>
      <c r="AS19" s="9">
        <f t="shared" si="16"/>
        <v>120094</v>
      </c>
      <c r="AT19" s="8">
        <v>306830</v>
      </c>
      <c r="AU19" s="10">
        <f t="shared" si="17"/>
        <v>0.82260274156230984</v>
      </c>
      <c r="AV19" s="22">
        <v>223136</v>
      </c>
      <c r="AW19" s="5">
        <v>44357</v>
      </c>
      <c r="AX19" s="9">
        <f t="shared" si="18"/>
        <v>120776</v>
      </c>
      <c r="AY19" s="9">
        <v>165133</v>
      </c>
      <c r="AZ19" s="10">
        <f t="shared" si="19"/>
        <v>0.74005539222716188</v>
      </c>
      <c r="BA19" s="22">
        <v>218799</v>
      </c>
      <c r="BB19" s="5">
        <v>52891</v>
      </c>
      <c r="BC19" s="9">
        <f t="shared" si="20"/>
        <v>118611</v>
      </c>
      <c r="BD19" s="8">
        <v>171502</v>
      </c>
      <c r="BE19" s="10">
        <f t="shared" si="21"/>
        <v>0.78383356413877581</v>
      </c>
      <c r="BF19" s="9">
        <v>376756</v>
      </c>
      <c r="BG19" s="8">
        <v>101354</v>
      </c>
      <c r="BH19" s="9">
        <f t="shared" si="22"/>
        <v>222005</v>
      </c>
      <c r="BI19" s="6">
        <v>323359</v>
      </c>
      <c r="BJ19" s="10">
        <f t="shared" si="23"/>
        <v>0.85827166654280229</v>
      </c>
    </row>
    <row r="20" spans="1:62" x14ac:dyDescent="0.3">
      <c r="A20" s="29">
        <v>11</v>
      </c>
      <c r="B20" s="4" t="s">
        <v>18</v>
      </c>
      <c r="C20" s="5">
        <v>7488</v>
      </c>
      <c r="D20" s="5">
        <v>1765</v>
      </c>
      <c r="E20" s="9">
        <f t="shared" si="0"/>
        <v>954</v>
      </c>
      <c r="F20" s="8">
        <v>2719</v>
      </c>
      <c r="G20" s="10">
        <f t="shared" si="1"/>
        <v>0.36311431623931623</v>
      </c>
      <c r="H20" s="5">
        <v>6492</v>
      </c>
      <c r="I20" s="5">
        <v>1558</v>
      </c>
      <c r="J20" s="9">
        <f t="shared" si="2"/>
        <v>1177</v>
      </c>
      <c r="K20" s="8">
        <v>2735</v>
      </c>
      <c r="L20" s="10">
        <f t="shared" si="3"/>
        <v>0.42128773875539127</v>
      </c>
      <c r="M20" s="5">
        <v>7574</v>
      </c>
      <c r="N20" s="5">
        <v>2531</v>
      </c>
      <c r="O20" s="9">
        <f t="shared" si="4"/>
        <v>3844</v>
      </c>
      <c r="P20" s="8">
        <v>6375</v>
      </c>
      <c r="Q20" s="10">
        <f t="shared" si="5"/>
        <v>0.84169527330340643</v>
      </c>
      <c r="R20" s="5">
        <v>4791</v>
      </c>
      <c r="S20" s="5">
        <v>670</v>
      </c>
      <c r="T20" s="9">
        <f t="shared" si="6"/>
        <v>2090</v>
      </c>
      <c r="U20" s="8">
        <v>2760</v>
      </c>
      <c r="V20" s="10">
        <f t="shared" si="7"/>
        <v>0.57608015028177828</v>
      </c>
      <c r="W20" s="5">
        <v>4633</v>
      </c>
      <c r="X20" s="5">
        <v>726</v>
      </c>
      <c r="Y20" s="9">
        <f t="shared" si="8"/>
        <v>2044</v>
      </c>
      <c r="Z20" s="8">
        <v>2770</v>
      </c>
      <c r="AA20" s="10">
        <f t="shared" si="9"/>
        <v>0.59788473990934599</v>
      </c>
      <c r="AB20" s="5">
        <v>7706</v>
      </c>
      <c r="AC20" s="5">
        <v>3708</v>
      </c>
      <c r="AD20" s="9">
        <f t="shared" si="10"/>
        <v>2704</v>
      </c>
      <c r="AE20" s="8">
        <v>6412</v>
      </c>
      <c r="AF20" s="10">
        <f t="shared" si="11"/>
        <v>0.83207889955878533</v>
      </c>
      <c r="AG20" s="5">
        <v>4195</v>
      </c>
      <c r="AH20" s="5">
        <v>971</v>
      </c>
      <c r="AI20" s="9">
        <f t="shared" si="12"/>
        <v>1816</v>
      </c>
      <c r="AJ20" s="8">
        <v>2787</v>
      </c>
      <c r="AK20" s="10">
        <f t="shared" si="13"/>
        <v>0.66436233611442197</v>
      </c>
      <c r="AL20" s="5">
        <v>4132</v>
      </c>
      <c r="AM20" s="7">
        <v>1011</v>
      </c>
      <c r="AN20" s="9">
        <f t="shared" si="14"/>
        <v>1842</v>
      </c>
      <c r="AO20" s="8">
        <v>2853</v>
      </c>
      <c r="AP20" s="10">
        <f t="shared" si="15"/>
        <v>0.69046466602129719</v>
      </c>
      <c r="AQ20" s="22">
        <v>7893</v>
      </c>
      <c r="AR20" s="5">
        <v>4742</v>
      </c>
      <c r="AS20" s="9">
        <f t="shared" si="16"/>
        <v>1865</v>
      </c>
      <c r="AT20" s="8">
        <v>6607</v>
      </c>
      <c r="AU20" s="10">
        <f t="shared" si="17"/>
        <v>0.83707082224756113</v>
      </c>
      <c r="AV20" s="22">
        <v>5263</v>
      </c>
      <c r="AW20" s="5">
        <v>1454</v>
      </c>
      <c r="AX20" s="9">
        <f t="shared" si="18"/>
        <v>2583</v>
      </c>
      <c r="AY20" s="9">
        <v>4037</v>
      </c>
      <c r="AZ20" s="10">
        <f t="shared" si="19"/>
        <v>0.76705301159034767</v>
      </c>
      <c r="BA20" s="22">
        <v>5091</v>
      </c>
      <c r="BB20" s="5">
        <v>1524</v>
      </c>
      <c r="BC20" s="9">
        <f t="shared" si="20"/>
        <v>2636</v>
      </c>
      <c r="BD20" s="8">
        <v>4160</v>
      </c>
      <c r="BE20" s="10">
        <f t="shared" si="21"/>
        <v>0.81712826556668627</v>
      </c>
      <c r="BF20" s="9">
        <v>7885</v>
      </c>
      <c r="BG20" s="8">
        <v>2399</v>
      </c>
      <c r="BH20" s="9">
        <f t="shared" si="22"/>
        <v>4539</v>
      </c>
      <c r="BI20" s="6">
        <v>6938</v>
      </c>
      <c r="BJ20" s="10">
        <f t="shared" si="23"/>
        <v>0.87989854153455926</v>
      </c>
    </row>
    <row r="21" spans="1:62" x14ac:dyDescent="0.3">
      <c r="A21" s="29">
        <v>12</v>
      </c>
      <c r="B21" s="4" t="s">
        <v>19</v>
      </c>
      <c r="C21" s="5">
        <v>12419</v>
      </c>
      <c r="D21" s="5">
        <v>1709</v>
      </c>
      <c r="E21" s="9">
        <f t="shared" si="0"/>
        <v>2153</v>
      </c>
      <c r="F21" s="8">
        <v>3862</v>
      </c>
      <c r="G21" s="10">
        <f t="shared" si="1"/>
        <v>0.31097511876962719</v>
      </c>
      <c r="H21" s="5">
        <v>10801</v>
      </c>
      <c r="I21" s="5">
        <v>1493</v>
      </c>
      <c r="J21" s="9">
        <f t="shared" si="2"/>
        <v>2328</v>
      </c>
      <c r="K21" s="8">
        <v>3821</v>
      </c>
      <c r="L21" s="10">
        <f t="shared" si="3"/>
        <v>0.35376354041292474</v>
      </c>
      <c r="M21" s="5">
        <v>12071</v>
      </c>
      <c r="N21" s="5">
        <v>2277</v>
      </c>
      <c r="O21" s="9">
        <f t="shared" si="4"/>
        <v>6470</v>
      </c>
      <c r="P21" s="8">
        <v>8747</v>
      </c>
      <c r="Q21" s="10">
        <f t="shared" si="5"/>
        <v>0.7246292767790572</v>
      </c>
      <c r="R21" s="5">
        <v>8791</v>
      </c>
      <c r="S21" s="5">
        <v>467</v>
      </c>
      <c r="T21" s="9">
        <f t="shared" si="6"/>
        <v>3392</v>
      </c>
      <c r="U21" s="8">
        <v>3859</v>
      </c>
      <c r="V21" s="10">
        <f t="shared" si="7"/>
        <v>0.43897167557729494</v>
      </c>
      <c r="W21" s="5">
        <v>8479</v>
      </c>
      <c r="X21" s="5">
        <v>724</v>
      </c>
      <c r="Y21" s="9">
        <f t="shared" si="8"/>
        <v>3197</v>
      </c>
      <c r="Z21" s="8">
        <v>3921</v>
      </c>
      <c r="AA21" s="10">
        <f t="shared" si="9"/>
        <v>0.46243660809057674</v>
      </c>
      <c r="AB21" s="5">
        <v>12614</v>
      </c>
      <c r="AC21" s="5">
        <v>3781</v>
      </c>
      <c r="AD21" s="9">
        <f t="shared" si="10"/>
        <v>5218</v>
      </c>
      <c r="AE21" s="8">
        <v>8999</v>
      </c>
      <c r="AF21" s="10">
        <f t="shared" si="11"/>
        <v>0.7134136673537339</v>
      </c>
      <c r="AG21" s="5">
        <v>7886</v>
      </c>
      <c r="AH21" s="5">
        <v>892</v>
      </c>
      <c r="AI21" s="9">
        <f t="shared" si="12"/>
        <v>3134</v>
      </c>
      <c r="AJ21" s="8">
        <v>4026</v>
      </c>
      <c r="AK21" s="10">
        <f t="shared" si="13"/>
        <v>0.51052498097895005</v>
      </c>
      <c r="AL21" s="5">
        <v>7852</v>
      </c>
      <c r="AM21" s="7">
        <v>905</v>
      </c>
      <c r="AN21" s="9">
        <f t="shared" si="14"/>
        <v>3184</v>
      </c>
      <c r="AO21" s="8">
        <v>4089</v>
      </c>
      <c r="AP21" s="10">
        <f t="shared" si="15"/>
        <v>0.52075904228222114</v>
      </c>
      <c r="AQ21" s="22">
        <v>13123</v>
      </c>
      <c r="AR21" s="5">
        <v>5389</v>
      </c>
      <c r="AS21" s="9">
        <f t="shared" si="16"/>
        <v>4043</v>
      </c>
      <c r="AT21" s="8">
        <v>9432</v>
      </c>
      <c r="AU21" s="10">
        <f t="shared" si="17"/>
        <v>0.71873809342375983</v>
      </c>
      <c r="AV21" s="22">
        <v>9474</v>
      </c>
      <c r="AW21" s="5">
        <v>1402</v>
      </c>
      <c r="AX21" s="9">
        <f t="shared" si="18"/>
        <v>4670</v>
      </c>
      <c r="AY21" s="9">
        <v>6072</v>
      </c>
      <c r="AZ21" s="10">
        <f t="shared" si="19"/>
        <v>0.64091196960101326</v>
      </c>
      <c r="BA21" s="22">
        <v>9339</v>
      </c>
      <c r="BB21" s="5">
        <v>1579</v>
      </c>
      <c r="BC21" s="9">
        <f t="shared" si="20"/>
        <v>4612</v>
      </c>
      <c r="BD21" s="8">
        <v>6191</v>
      </c>
      <c r="BE21" s="10">
        <f t="shared" si="21"/>
        <v>0.66291894207088553</v>
      </c>
      <c r="BF21" s="9">
        <v>12705</v>
      </c>
      <c r="BG21" s="8">
        <v>2446</v>
      </c>
      <c r="BH21" s="9">
        <f t="shared" si="22"/>
        <v>7294</v>
      </c>
      <c r="BI21" s="6">
        <v>9740</v>
      </c>
      <c r="BJ21" s="10">
        <f t="shared" si="23"/>
        <v>0.76662731208185753</v>
      </c>
    </row>
    <row r="22" spans="1:62" x14ac:dyDescent="0.3">
      <c r="A22" s="29">
        <v>13</v>
      </c>
      <c r="B22" s="4" t="s">
        <v>20</v>
      </c>
      <c r="C22" s="5">
        <v>6691</v>
      </c>
      <c r="D22" s="5">
        <v>2076</v>
      </c>
      <c r="E22" s="9">
        <f t="shared" si="0"/>
        <v>1604</v>
      </c>
      <c r="F22" s="8">
        <v>3680</v>
      </c>
      <c r="G22" s="10">
        <f t="shared" si="1"/>
        <v>0.54999252727544468</v>
      </c>
      <c r="H22" s="5">
        <v>6403</v>
      </c>
      <c r="I22" s="5">
        <v>1883</v>
      </c>
      <c r="J22" s="9">
        <f t="shared" si="2"/>
        <v>1813</v>
      </c>
      <c r="K22" s="8">
        <v>3696</v>
      </c>
      <c r="L22" s="10">
        <f t="shared" si="3"/>
        <v>0.57722942370763708</v>
      </c>
      <c r="M22" s="5">
        <v>6636</v>
      </c>
      <c r="N22" s="5">
        <v>1782</v>
      </c>
      <c r="O22" s="9">
        <f t="shared" si="4"/>
        <v>3459</v>
      </c>
      <c r="P22" s="8">
        <v>5241</v>
      </c>
      <c r="Q22" s="10">
        <f t="shared" si="5"/>
        <v>0.78978300180831829</v>
      </c>
      <c r="R22" s="5">
        <v>5537</v>
      </c>
      <c r="S22" s="5">
        <v>492</v>
      </c>
      <c r="T22" s="9">
        <f t="shared" si="6"/>
        <v>3235</v>
      </c>
      <c r="U22" s="8">
        <v>3727</v>
      </c>
      <c r="V22" s="10">
        <f t="shared" si="7"/>
        <v>0.67310818132562755</v>
      </c>
      <c r="W22" s="5">
        <v>5469</v>
      </c>
      <c r="X22" s="5">
        <v>744</v>
      </c>
      <c r="Y22" s="9">
        <f t="shared" si="8"/>
        <v>3039</v>
      </c>
      <c r="Z22" s="8">
        <v>3783</v>
      </c>
      <c r="AA22" s="10">
        <f t="shared" si="9"/>
        <v>0.69171695008228196</v>
      </c>
      <c r="AB22" s="5">
        <v>6814</v>
      </c>
      <c r="AC22" s="5">
        <v>2657</v>
      </c>
      <c r="AD22" s="9">
        <f t="shared" si="10"/>
        <v>2740</v>
      </c>
      <c r="AE22" s="8">
        <v>5397</v>
      </c>
      <c r="AF22" s="10">
        <f t="shared" si="11"/>
        <v>0.79204578808335779</v>
      </c>
      <c r="AG22" s="5">
        <v>5399</v>
      </c>
      <c r="AH22" s="5">
        <v>797</v>
      </c>
      <c r="AI22" s="9">
        <f t="shared" si="12"/>
        <v>3056</v>
      </c>
      <c r="AJ22" s="8">
        <v>3853</v>
      </c>
      <c r="AK22" s="10">
        <f t="shared" si="13"/>
        <v>0.71365067605112054</v>
      </c>
      <c r="AL22" s="5">
        <v>5432</v>
      </c>
      <c r="AM22" s="7">
        <v>938</v>
      </c>
      <c r="AN22" s="9">
        <f t="shared" si="14"/>
        <v>3000</v>
      </c>
      <c r="AO22" s="8">
        <v>3938</v>
      </c>
      <c r="AP22" s="10">
        <f t="shared" si="15"/>
        <v>0.72496318114874814</v>
      </c>
      <c r="AQ22" s="22">
        <v>7088</v>
      </c>
      <c r="AR22" s="5">
        <v>3496</v>
      </c>
      <c r="AS22" s="9">
        <f t="shared" si="16"/>
        <v>2104</v>
      </c>
      <c r="AT22" s="8">
        <v>5600</v>
      </c>
      <c r="AU22" s="10">
        <f t="shared" si="17"/>
        <v>0.79006772009029347</v>
      </c>
      <c r="AV22" s="22">
        <v>5686</v>
      </c>
      <c r="AW22" s="5">
        <v>1155</v>
      </c>
      <c r="AX22" s="9">
        <f t="shared" si="18"/>
        <v>3238</v>
      </c>
      <c r="AY22" s="9">
        <v>4393</v>
      </c>
      <c r="AZ22" s="10">
        <f t="shared" si="19"/>
        <v>0.77259936686598663</v>
      </c>
      <c r="BA22" s="22">
        <v>5622</v>
      </c>
      <c r="BB22" s="5">
        <v>1323</v>
      </c>
      <c r="BC22" s="9">
        <f t="shared" si="20"/>
        <v>3152</v>
      </c>
      <c r="BD22" s="8">
        <v>4475</v>
      </c>
      <c r="BE22" s="10">
        <f t="shared" si="21"/>
        <v>0.795980078263963</v>
      </c>
      <c r="BF22" s="9">
        <v>6948</v>
      </c>
      <c r="BG22" s="8">
        <v>1693</v>
      </c>
      <c r="BH22" s="9">
        <f t="shared" si="22"/>
        <v>4140</v>
      </c>
      <c r="BI22" s="6">
        <v>5833</v>
      </c>
      <c r="BJ22" s="10">
        <f t="shared" si="23"/>
        <v>0.83952216465169838</v>
      </c>
    </row>
    <row r="23" spans="1:62" x14ac:dyDescent="0.3">
      <c r="A23" s="29">
        <v>14</v>
      </c>
      <c r="B23" s="4" t="s">
        <v>21</v>
      </c>
      <c r="C23" s="5">
        <v>10497</v>
      </c>
      <c r="D23" s="5">
        <v>1755</v>
      </c>
      <c r="E23" s="9">
        <f t="shared" si="0"/>
        <v>2528</v>
      </c>
      <c r="F23" s="8">
        <v>4283</v>
      </c>
      <c r="G23" s="10">
        <f t="shared" si="1"/>
        <v>0.40802133943031343</v>
      </c>
      <c r="H23" s="5">
        <v>10223</v>
      </c>
      <c r="I23" s="5">
        <v>1637</v>
      </c>
      <c r="J23" s="9">
        <f t="shared" si="2"/>
        <v>2643</v>
      </c>
      <c r="K23" s="8">
        <v>4280</v>
      </c>
      <c r="L23" s="10">
        <f t="shared" si="3"/>
        <v>0.41866379731976916</v>
      </c>
      <c r="M23" s="5">
        <v>10608</v>
      </c>
      <c r="N23" s="5">
        <v>1890</v>
      </c>
      <c r="O23" s="9">
        <f t="shared" si="4"/>
        <v>4960</v>
      </c>
      <c r="P23" s="8">
        <v>6850</v>
      </c>
      <c r="Q23" s="10">
        <f t="shared" si="5"/>
        <v>0.64573906485671195</v>
      </c>
      <c r="R23" s="5">
        <v>9207</v>
      </c>
      <c r="S23" s="5">
        <v>464</v>
      </c>
      <c r="T23" s="9">
        <f t="shared" si="6"/>
        <v>3923</v>
      </c>
      <c r="U23" s="8">
        <v>4387</v>
      </c>
      <c r="V23" s="10">
        <f t="shared" si="7"/>
        <v>0.47648528293689585</v>
      </c>
      <c r="W23" s="5">
        <v>9255</v>
      </c>
      <c r="X23" s="5">
        <v>652</v>
      </c>
      <c r="Y23" s="9">
        <f t="shared" si="8"/>
        <v>3822</v>
      </c>
      <c r="Z23" s="8">
        <v>4474</v>
      </c>
      <c r="AA23" s="10">
        <f t="shared" si="9"/>
        <v>0.48341437061048081</v>
      </c>
      <c r="AB23" s="5">
        <v>11315</v>
      </c>
      <c r="AC23" s="5">
        <v>2898</v>
      </c>
      <c r="AD23" s="9">
        <f t="shared" si="10"/>
        <v>4209</v>
      </c>
      <c r="AE23" s="8">
        <v>7107</v>
      </c>
      <c r="AF23" s="10">
        <f t="shared" si="11"/>
        <v>0.62810428634555904</v>
      </c>
      <c r="AG23" s="5">
        <v>8891</v>
      </c>
      <c r="AH23" s="5">
        <v>773</v>
      </c>
      <c r="AI23" s="9">
        <f t="shared" si="12"/>
        <v>3825</v>
      </c>
      <c r="AJ23" s="8">
        <v>4598</v>
      </c>
      <c r="AK23" s="10">
        <f t="shared" si="13"/>
        <v>0.51715217635811495</v>
      </c>
      <c r="AL23" s="5">
        <v>8781</v>
      </c>
      <c r="AM23" s="7">
        <v>856</v>
      </c>
      <c r="AN23" s="9">
        <f t="shared" si="14"/>
        <v>3851</v>
      </c>
      <c r="AO23" s="8">
        <v>4707</v>
      </c>
      <c r="AP23" s="10">
        <f t="shared" si="15"/>
        <v>0.536043730782371</v>
      </c>
      <c r="AQ23" s="22">
        <v>11593</v>
      </c>
      <c r="AR23" s="5">
        <v>4406</v>
      </c>
      <c r="AS23" s="9">
        <f t="shared" si="16"/>
        <v>3125</v>
      </c>
      <c r="AT23" s="8">
        <v>7531</v>
      </c>
      <c r="AU23" s="10">
        <f t="shared" si="17"/>
        <v>0.64961614767532128</v>
      </c>
      <c r="AV23" s="22">
        <v>9712</v>
      </c>
      <c r="AW23" s="5">
        <v>1398</v>
      </c>
      <c r="AX23" s="9">
        <f t="shared" si="18"/>
        <v>4492</v>
      </c>
      <c r="AY23" s="9">
        <v>5890</v>
      </c>
      <c r="AZ23" s="10">
        <f t="shared" si="19"/>
        <v>0.60646622734761124</v>
      </c>
      <c r="BA23" s="22">
        <v>9310</v>
      </c>
      <c r="BB23" s="5">
        <v>1503</v>
      </c>
      <c r="BC23" s="9">
        <f t="shared" si="20"/>
        <v>4495</v>
      </c>
      <c r="BD23" s="8">
        <v>5998</v>
      </c>
      <c r="BE23" s="10">
        <f t="shared" si="21"/>
        <v>0.64425349087003225</v>
      </c>
      <c r="BF23" s="9">
        <v>10990</v>
      </c>
      <c r="BG23" s="8">
        <v>1883</v>
      </c>
      <c r="BH23" s="9">
        <f t="shared" si="22"/>
        <v>5948</v>
      </c>
      <c r="BI23" s="6">
        <v>7831</v>
      </c>
      <c r="BJ23" s="10">
        <f t="shared" si="23"/>
        <v>0.71255686988171063</v>
      </c>
    </row>
    <row r="24" spans="1:62" x14ac:dyDescent="0.3">
      <c r="A24" s="29">
        <v>15</v>
      </c>
      <c r="B24" s="4" t="s">
        <v>22</v>
      </c>
      <c r="C24" s="5">
        <v>6216</v>
      </c>
      <c r="D24" s="5">
        <v>2009</v>
      </c>
      <c r="E24" s="9">
        <f t="shared" si="0"/>
        <v>888</v>
      </c>
      <c r="F24" s="8">
        <v>2897</v>
      </c>
      <c r="G24" s="10">
        <f t="shared" si="1"/>
        <v>0.46605534105534108</v>
      </c>
      <c r="H24" s="5">
        <v>5730</v>
      </c>
      <c r="I24" s="5">
        <v>1897</v>
      </c>
      <c r="J24" s="9">
        <f t="shared" si="2"/>
        <v>1002</v>
      </c>
      <c r="K24" s="8">
        <v>2899</v>
      </c>
      <c r="L24" s="10">
        <f t="shared" si="3"/>
        <v>0.50593368237347291</v>
      </c>
      <c r="M24" s="5">
        <v>6293</v>
      </c>
      <c r="N24" s="5">
        <v>2198</v>
      </c>
      <c r="O24" s="9">
        <f t="shared" si="4"/>
        <v>2284</v>
      </c>
      <c r="P24" s="8">
        <v>4482</v>
      </c>
      <c r="Q24" s="10">
        <f t="shared" si="5"/>
        <v>0.71221992690290803</v>
      </c>
      <c r="R24" s="5">
        <v>5052</v>
      </c>
      <c r="S24" s="5">
        <v>576</v>
      </c>
      <c r="T24" s="9">
        <f t="shared" si="6"/>
        <v>2406</v>
      </c>
      <c r="U24" s="8">
        <v>2982</v>
      </c>
      <c r="V24" s="10">
        <f t="shared" si="7"/>
        <v>0.59026128266033251</v>
      </c>
      <c r="W24" s="5">
        <v>5122</v>
      </c>
      <c r="X24" s="5">
        <v>611</v>
      </c>
      <c r="Y24" s="9">
        <f t="shared" si="8"/>
        <v>2415</v>
      </c>
      <c r="Z24" s="8">
        <v>3026</v>
      </c>
      <c r="AA24" s="10">
        <f t="shared" si="9"/>
        <v>0.59078484966809841</v>
      </c>
      <c r="AB24" s="5">
        <v>6663</v>
      </c>
      <c r="AC24" s="5">
        <v>3025</v>
      </c>
      <c r="AD24" s="9">
        <f t="shared" si="10"/>
        <v>1623</v>
      </c>
      <c r="AE24" s="8">
        <v>4648</v>
      </c>
      <c r="AF24" s="10">
        <f t="shared" si="11"/>
        <v>0.69758367101906049</v>
      </c>
      <c r="AG24" s="5">
        <v>5175</v>
      </c>
      <c r="AH24" s="5">
        <v>759</v>
      </c>
      <c r="AI24" s="9">
        <f t="shared" si="12"/>
        <v>2340</v>
      </c>
      <c r="AJ24" s="8">
        <v>3099</v>
      </c>
      <c r="AK24" s="10">
        <f t="shared" si="13"/>
        <v>0.59884057971014493</v>
      </c>
      <c r="AL24" s="5">
        <v>5189</v>
      </c>
      <c r="AM24" s="7">
        <v>854</v>
      </c>
      <c r="AN24" s="9">
        <f t="shared" si="14"/>
        <v>2330</v>
      </c>
      <c r="AO24" s="8">
        <v>3184</v>
      </c>
      <c r="AP24" s="10">
        <f t="shared" si="15"/>
        <v>0.61360570437463868</v>
      </c>
      <c r="AQ24" s="22">
        <v>6826</v>
      </c>
      <c r="AR24" s="5">
        <v>3841</v>
      </c>
      <c r="AS24" s="9">
        <f t="shared" si="16"/>
        <v>1155</v>
      </c>
      <c r="AT24" s="8">
        <v>4996</v>
      </c>
      <c r="AU24" s="10">
        <f t="shared" si="17"/>
        <v>0.73190741283328453</v>
      </c>
      <c r="AV24" s="22">
        <v>5390</v>
      </c>
      <c r="AW24" s="5">
        <v>979</v>
      </c>
      <c r="AX24" s="9">
        <f t="shared" si="18"/>
        <v>2759</v>
      </c>
      <c r="AY24" s="9">
        <v>3738</v>
      </c>
      <c r="AZ24" s="10">
        <f t="shared" si="19"/>
        <v>0.69350649350649352</v>
      </c>
      <c r="BA24" s="22">
        <v>5125</v>
      </c>
      <c r="BB24" s="5">
        <v>943</v>
      </c>
      <c r="BC24" s="9">
        <f t="shared" si="20"/>
        <v>2878</v>
      </c>
      <c r="BD24" s="8">
        <v>3821</v>
      </c>
      <c r="BE24" s="10">
        <f t="shared" si="21"/>
        <v>0.74556097560975609</v>
      </c>
      <c r="BF24" s="9">
        <v>6600</v>
      </c>
      <c r="BG24" s="8">
        <v>1240</v>
      </c>
      <c r="BH24" s="9">
        <f t="shared" si="22"/>
        <v>3999</v>
      </c>
      <c r="BI24" s="6">
        <v>5239</v>
      </c>
      <c r="BJ24" s="10">
        <f t="shared" si="23"/>
        <v>0.79378787878787882</v>
      </c>
    </row>
    <row r="25" spans="1:62" x14ac:dyDescent="0.3">
      <c r="A25" s="29">
        <v>16</v>
      </c>
      <c r="B25" s="4" t="s">
        <v>23</v>
      </c>
      <c r="C25" s="5">
        <v>24087</v>
      </c>
      <c r="D25" s="5">
        <v>4780</v>
      </c>
      <c r="E25" s="9">
        <f t="shared" si="0"/>
        <v>2951</v>
      </c>
      <c r="F25" s="8">
        <v>7731</v>
      </c>
      <c r="G25" s="10">
        <f t="shared" si="1"/>
        <v>0.32096151450990162</v>
      </c>
      <c r="H25" s="5">
        <v>21666</v>
      </c>
      <c r="I25" s="5">
        <v>4280</v>
      </c>
      <c r="J25" s="9">
        <f t="shared" si="2"/>
        <v>3463</v>
      </c>
      <c r="K25" s="8">
        <v>7743</v>
      </c>
      <c r="L25" s="10">
        <f t="shared" si="3"/>
        <v>0.35738022708391026</v>
      </c>
      <c r="M25" s="5">
        <v>24301</v>
      </c>
      <c r="N25" s="5">
        <v>7312</v>
      </c>
      <c r="O25" s="9">
        <f t="shared" si="4"/>
        <v>13118</v>
      </c>
      <c r="P25" s="8">
        <v>20430</v>
      </c>
      <c r="Q25" s="10">
        <f t="shared" si="5"/>
        <v>0.84070614378009134</v>
      </c>
      <c r="R25" s="5">
        <v>13258</v>
      </c>
      <c r="S25" s="5">
        <v>1425</v>
      </c>
      <c r="T25" s="9">
        <f t="shared" si="6"/>
        <v>6505</v>
      </c>
      <c r="U25" s="8">
        <v>7930</v>
      </c>
      <c r="V25" s="10">
        <f t="shared" si="7"/>
        <v>0.59812943128677021</v>
      </c>
      <c r="W25" s="5">
        <v>12920</v>
      </c>
      <c r="X25" s="5">
        <v>1848</v>
      </c>
      <c r="Y25" s="9">
        <f t="shared" si="8"/>
        <v>6177</v>
      </c>
      <c r="Z25" s="8">
        <v>8025</v>
      </c>
      <c r="AA25" s="10">
        <f t="shared" si="9"/>
        <v>0.62113003095975228</v>
      </c>
      <c r="AB25" s="5">
        <v>25352</v>
      </c>
      <c r="AC25" s="5">
        <v>10474</v>
      </c>
      <c r="AD25" s="9">
        <f t="shared" si="10"/>
        <v>10573</v>
      </c>
      <c r="AE25" s="8">
        <v>21047</v>
      </c>
      <c r="AF25" s="10">
        <f t="shared" si="11"/>
        <v>0.8301909119596087</v>
      </c>
      <c r="AG25" s="5">
        <v>12221</v>
      </c>
      <c r="AH25" s="5">
        <v>2399</v>
      </c>
      <c r="AI25" s="9">
        <f t="shared" si="12"/>
        <v>5809</v>
      </c>
      <c r="AJ25" s="8">
        <v>8208</v>
      </c>
      <c r="AK25" s="10">
        <f t="shared" si="13"/>
        <v>0.67163079944358073</v>
      </c>
      <c r="AL25" s="5">
        <v>12022</v>
      </c>
      <c r="AM25" s="7">
        <v>2504</v>
      </c>
      <c r="AN25" s="9">
        <f t="shared" si="14"/>
        <v>5839</v>
      </c>
      <c r="AO25" s="8">
        <v>8343</v>
      </c>
      <c r="AP25" s="10">
        <f t="shared" si="15"/>
        <v>0.69397770753618371</v>
      </c>
      <c r="AQ25" s="22">
        <v>25839</v>
      </c>
      <c r="AR25" s="5">
        <v>14984</v>
      </c>
      <c r="AS25" s="9">
        <f t="shared" si="16"/>
        <v>6763</v>
      </c>
      <c r="AT25" s="8">
        <v>21747</v>
      </c>
      <c r="AU25" s="10">
        <f t="shared" si="17"/>
        <v>0.84163473818646228</v>
      </c>
      <c r="AV25" s="22">
        <v>15840</v>
      </c>
      <c r="AW25" s="5">
        <v>4963</v>
      </c>
      <c r="AX25" s="9">
        <f t="shared" si="18"/>
        <v>7293</v>
      </c>
      <c r="AY25" s="9">
        <v>12256</v>
      </c>
      <c r="AZ25" s="10">
        <f t="shared" si="19"/>
        <v>0.77373737373737372</v>
      </c>
      <c r="BA25" s="22">
        <v>15498</v>
      </c>
      <c r="BB25" s="5">
        <v>5490</v>
      </c>
      <c r="BC25" s="9">
        <f t="shared" si="20"/>
        <v>6929</v>
      </c>
      <c r="BD25" s="8">
        <v>12419</v>
      </c>
      <c r="BE25" s="10">
        <f t="shared" si="21"/>
        <v>0.80132920376822814</v>
      </c>
      <c r="BF25" s="9">
        <v>25465</v>
      </c>
      <c r="BG25" s="8">
        <v>9462</v>
      </c>
      <c r="BH25" s="9">
        <f t="shared" si="22"/>
        <v>12932</v>
      </c>
      <c r="BI25" s="6">
        <v>22394</v>
      </c>
      <c r="BJ25" s="10">
        <f t="shared" si="23"/>
        <v>0.87940310229727081</v>
      </c>
    </row>
    <row r="26" spans="1:62" x14ac:dyDescent="0.3">
      <c r="A26" s="29">
        <v>17</v>
      </c>
      <c r="B26" s="4" t="s">
        <v>24</v>
      </c>
      <c r="C26" s="5">
        <v>26552</v>
      </c>
      <c r="D26" s="5">
        <v>4099</v>
      </c>
      <c r="E26" s="9">
        <f t="shared" si="0"/>
        <v>3531</v>
      </c>
      <c r="F26" s="8">
        <v>7630</v>
      </c>
      <c r="G26" s="10">
        <f t="shared" si="1"/>
        <v>0.28736065079843326</v>
      </c>
      <c r="H26" s="5">
        <v>23466</v>
      </c>
      <c r="I26" s="5">
        <v>3759</v>
      </c>
      <c r="J26" s="9">
        <f t="shared" si="2"/>
        <v>3891</v>
      </c>
      <c r="K26" s="8">
        <v>7650</v>
      </c>
      <c r="L26" s="10">
        <f t="shared" si="3"/>
        <v>0.32600357964714904</v>
      </c>
      <c r="M26" s="5">
        <v>25760</v>
      </c>
      <c r="N26" s="5">
        <v>6871</v>
      </c>
      <c r="O26" s="9">
        <f t="shared" si="4"/>
        <v>10456</v>
      </c>
      <c r="P26" s="8">
        <v>17327</v>
      </c>
      <c r="Q26" s="10">
        <f t="shared" si="5"/>
        <v>0.67263198757763976</v>
      </c>
      <c r="R26" s="5">
        <v>16534</v>
      </c>
      <c r="S26" s="5">
        <v>1347</v>
      </c>
      <c r="T26" s="9">
        <f t="shared" si="6"/>
        <v>6355</v>
      </c>
      <c r="U26" s="8">
        <v>7702</v>
      </c>
      <c r="V26" s="10">
        <f t="shared" si="7"/>
        <v>0.4658279908068223</v>
      </c>
      <c r="W26" s="5">
        <v>16064</v>
      </c>
      <c r="X26" s="5">
        <v>1476</v>
      </c>
      <c r="Y26" s="9">
        <f t="shared" si="8"/>
        <v>6292</v>
      </c>
      <c r="Z26" s="8">
        <v>7768</v>
      </c>
      <c r="AA26" s="10">
        <f t="shared" si="9"/>
        <v>0.48356573705179284</v>
      </c>
      <c r="AB26" s="5">
        <v>25659</v>
      </c>
      <c r="AC26" s="5">
        <v>8368</v>
      </c>
      <c r="AD26" s="9">
        <f t="shared" si="10"/>
        <v>9231</v>
      </c>
      <c r="AE26" s="8">
        <v>17599</v>
      </c>
      <c r="AF26" s="10">
        <f t="shared" si="11"/>
        <v>0.68588019798121513</v>
      </c>
      <c r="AG26" s="5">
        <v>15065</v>
      </c>
      <c r="AH26" s="5">
        <v>1776</v>
      </c>
      <c r="AI26" s="9">
        <f t="shared" si="12"/>
        <v>6172</v>
      </c>
      <c r="AJ26" s="8">
        <v>7948</v>
      </c>
      <c r="AK26" s="10">
        <f t="shared" si="13"/>
        <v>0.52758048456687689</v>
      </c>
      <c r="AL26" s="5">
        <v>14868</v>
      </c>
      <c r="AM26" s="7">
        <v>1769</v>
      </c>
      <c r="AN26" s="9">
        <f t="shared" si="14"/>
        <v>6217</v>
      </c>
      <c r="AO26" s="8">
        <v>7986</v>
      </c>
      <c r="AP26" s="10">
        <f t="shared" si="15"/>
        <v>0.53712671509281684</v>
      </c>
      <c r="AQ26" s="22">
        <v>26317</v>
      </c>
      <c r="AR26" s="5">
        <v>10570</v>
      </c>
      <c r="AS26" s="9">
        <f t="shared" si="16"/>
        <v>7569</v>
      </c>
      <c r="AT26" s="8">
        <v>18139</v>
      </c>
      <c r="AU26" s="10">
        <f t="shared" si="17"/>
        <v>0.68925029448645359</v>
      </c>
      <c r="AV26" s="22">
        <v>16878</v>
      </c>
      <c r="AW26" s="5">
        <v>2621</v>
      </c>
      <c r="AX26" s="9">
        <f t="shared" si="18"/>
        <v>7687</v>
      </c>
      <c r="AY26" s="9">
        <v>10308</v>
      </c>
      <c r="AZ26" s="10">
        <f t="shared" si="19"/>
        <v>0.61073586917881262</v>
      </c>
      <c r="BA26" s="22">
        <v>16511</v>
      </c>
      <c r="BB26" s="5">
        <v>2917</v>
      </c>
      <c r="BC26" s="9">
        <f t="shared" si="20"/>
        <v>7381</v>
      </c>
      <c r="BD26" s="8">
        <v>10298</v>
      </c>
      <c r="BE26" s="10">
        <f t="shared" si="21"/>
        <v>0.62370540851553513</v>
      </c>
      <c r="BF26" s="9">
        <v>25358</v>
      </c>
      <c r="BG26" s="8">
        <v>5747</v>
      </c>
      <c r="BH26" s="9">
        <f t="shared" si="22"/>
        <v>12739</v>
      </c>
      <c r="BI26" s="6">
        <v>18486</v>
      </c>
      <c r="BJ26" s="10">
        <f t="shared" si="23"/>
        <v>0.72900070983516052</v>
      </c>
    </row>
    <row r="27" spans="1:62" x14ac:dyDescent="0.3">
      <c r="A27" s="29">
        <v>18</v>
      </c>
      <c r="B27" s="4" t="s">
        <v>25</v>
      </c>
      <c r="C27" s="5">
        <v>145399</v>
      </c>
      <c r="D27" s="5">
        <v>26119</v>
      </c>
      <c r="E27" s="9">
        <f t="shared" si="0"/>
        <v>27165</v>
      </c>
      <c r="F27" s="8">
        <v>53284</v>
      </c>
      <c r="G27" s="10">
        <f t="shared" si="1"/>
        <v>0.366467444755466</v>
      </c>
      <c r="H27" s="5">
        <v>133004</v>
      </c>
      <c r="I27" s="5">
        <v>22498</v>
      </c>
      <c r="J27" s="9">
        <f t="shared" si="2"/>
        <v>30769</v>
      </c>
      <c r="K27" s="8">
        <v>53267</v>
      </c>
      <c r="L27" s="10">
        <f t="shared" si="3"/>
        <v>0.40049171453490123</v>
      </c>
      <c r="M27" s="5">
        <v>146684</v>
      </c>
      <c r="N27" s="5">
        <v>31598</v>
      </c>
      <c r="O27" s="9">
        <f t="shared" si="4"/>
        <v>89637</v>
      </c>
      <c r="P27" s="8">
        <v>121235</v>
      </c>
      <c r="Q27" s="10">
        <f t="shared" si="5"/>
        <v>0.8265045949115104</v>
      </c>
      <c r="R27" s="5">
        <v>100364</v>
      </c>
      <c r="S27" s="5">
        <v>6431</v>
      </c>
      <c r="T27" s="9">
        <f t="shared" si="6"/>
        <v>48158</v>
      </c>
      <c r="U27" s="8">
        <v>54589</v>
      </c>
      <c r="V27" s="10">
        <f t="shared" si="7"/>
        <v>0.54391016699214856</v>
      </c>
      <c r="W27" s="5">
        <v>96252</v>
      </c>
      <c r="X27" s="5">
        <v>9331</v>
      </c>
      <c r="Y27" s="9">
        <f t="shared" si="8"/>
        <v>45969</v>
      </c>
      <c r="Z27" s="8">
        <v>55300</v>
      </c>
      <c r="AA27" s="10">
        <f t="shared" si="9"/>
        <v>0.5745335161866767</v>
      </c>
      <c r="AB27" s="5">
        <v>156081</v>
      </c>
      <c r="AC27" s="5">
        <v>54878</v>
      </c>
      <c r="AD27" s="9">
        <f t="shared" si="10"/>
        <v>70863</v>
      </c>
      <c r="AE27" s="8">
        <v>125741</v>
      </c>
      <c r="AF27" s="10">
        <f t="shared" si="11"/>
        <v>0.80561375183398365</v>
      </c>
      <c r="AG27" s="5">
        <v>90207</v>
      </c>
      <c r="AH27" s="5">
        <v>13154</v>
      </c>
      <c r="AI27" s="9">
        <f t="shared" si="12"/>
        <v>43215</v>
      </c>
      <c r="AJ27" s="8">
        <v>56369</v>
      </c>
      <c r="AK27" s="10">
        <f t="shared" si="13"/>
        <v>0.624884986752691</v>
      </c>
      <c r="AL27" s="5">
        <v>89207</v>
      </c>
      <c r="AM27" s="7">
        <v>13453</v>
      </c>
      <c r="AN27" s="9">
        <f t="shared" si="14"/>
        <v>43651</v>
      </c>
      <c r="AO27" s="8">
        <v>57104</v>
      </c>
      <c r="AP27" s="10">
        <f t="shared" si="15"/>
        <v>0.64012913784792669</v>
      </c>
      <c r="AQ27" s="22">
        <v>161396</v>
      </c>
      <c r="AR27" s="5">
        <v>78978</v>
      </c>
      <c r="AS27" s="9">
        <f t="shared" si="16"/>
        <v>52394</v>
      </c>
      <c r="AT27" s="8">
        <v>131372</v>
      </c>
      <c r="AU27" s="10">
        <f t="shared" si="17"/>
        <v>0.81397308483481623</v>
      </c>
      <c r="AV27" s="22">
        <v>108391</v>
      </c>
      <c r="AW27" s="5">
        <v>24068</v>
      </c>
      <c r="AX27" s="9">
        <f t="shared" si="18"/>
        <v>57662</v>
      </c>
      <c r="AY27" s="9">
        <v>81730</v>
      </c>
      <c r="AZ27" s="10">
        <f t="shared" si="19"/>
        <v>0.75402939358433818</v>
      </c>
      <c r="BA27" s="22">
        <v>101826</v>
      </c>
      <c r="BB27" s="5">
        <v>27000</v>
      </c>
      <c r="BC27" s="9">
        <f t="shared" si="20"/>
        <v>56644</v>
      </c>
      <c r="BD27" s="8">
        <v>83644</v>
      </c>
      <c r="BE27" s="10">
        <f t="shared" si="21"/>
        <v>0.82144049653330187</v>
      </c>
      <c r="BF27" s="9">
        <v>155251</v>
      </c>
      <c r="BG27" s="8">
        <v>43223</v>
      </c>
      <c r="BH27" s="9">
        <f t="shared" si="22"/>
        <v>92696</v>
      </c>
      <c r="BI27" s="6">
        <v>135919</v>
      </c>
      <c r="BJ27" s="10">
        <f t="shared" si="23"/>
        <v>0.87547906293679267</v>
      </c>
    </row>
    <row r="28" spans="1:62" x14ac:dyDescent="0.3">
      <c r="A28" s="29">
        <v>19</v>
      </c>
      <c r="B28" s="4" t="s">
        <v>26</v>
      </c>
      <c r="C28" s="5">
        <v>609898</v>
      </c>
      <c r="D28" s="5">
        <v>119273</v>
      </c>
      <c r="E28" s="9">
        <f t="shared" si="0"/>
        <v>71300</v>
      </c>
      <c r="F28" s="8">
        <v>190573</v>
      </c>
      <c r="G28" s="10">
        <f t="shared" si="1"/>
        <v>0.31246700267913652</v>
      </c>
      <c r="H28" s="5">
        <v>562058</v>
      </c>
      <c r="I28" s="5">
        <v>109558</v>
      </c>
      <c r="J28" s="9">
        <f t="shared" si="2"/>
        <v>80703</v>
      </c>
      <c r="K28" s="8">
        <v>190261</v>
      </c>
      <c r="L28" s="10">
        <f t="shared" si="3"/>
        <v>0.33850776966078233</v>
      </c>
      <c r="M28" s="5">
        <v>606073</v>
      </c>
      <c r="N28" s="5">
        <v>198499</v>
      </c>
      <c r="O28" s="9">
        <f t="shared" si="4"/>
        <v>317141</v>
      </c>
      <c r="P28" s="8">
        <v>515640</v>
      </c>
      <c r="Q28" s="10">
        <f t="shared" si="5"/>
        <v>0.85078860137310197</v>
      </c>
      <c r="R28" s="5">
        <v>322040</v>
      </c>
      <c r="S28" s="5">
        <v>36589</v>
      </c>
      <c r="T28" s="9">
        <f t="shared" si="6"/>
        <v>155944</v>
      </c>
      <c r="U28" s="8">
        <v>192533</v>
      </c>
      <c r="V28" s="10">
        <f t="shared" si="7"/>
        <v>0.59785430381319093</v>
      </c>
      <c r="W28" s="5">
        <v>307068</v>
      </c>
      <c r="X28" s="5">
        <v>44174</v>
      </c>
      <c r="Y28" s="9">
        <f t="shared" si="8"/>
        <v>149001</v>
      </c>
      <c r="Z28" s="8">
        <v>193175</v>
      </c>
      <c r="AA28" s="10">
        <f t="shared" si="9"/>
        <v>0.62909518412859688</v>
      </c>
      <c r="AB28" s="5">
        <v>616763</v>
      </c>
      <c r="AC28" s="5">
        <v>283870</v>
      </c>
      <c r="AD28" s="9">
        <f t="shared" si="10"/>
        <v>237495</v>
      </c>
      <c r="AE28" s="8">
        <v>521365</v>
      </c>
      <c r="AF28" s="10">
        <f t="shared" si="11"/>
        <v>0.84532470333012844</v>
      </c>
      <c r="AG28" s="5">
        <v>279354</v>
      </c>
      <c r="AH28" s="5">
        <v>62903</v>
      </c>
      <c r="AI28" s="9">
        <f t="shared" si="12"/>
        <v>132099</v>
      </c>
      <c r="AJ28" s="8">
        <v>195002</v>
      </c>
      <c r="AK28" s="10">
        <f t="shared" si="13"/>
        <v>0.69804620660523919</v>
      </c>
      <c r="AL28" s="5">
        <v>276143</v>
      </c>
      <c r="AM28" s="7">
        <v>67198</v>
      </c>
      <c r="AN28" s="9">
        <f t="shared" si="14"/>
        <v>129670</v>
      </c>
      <c r="AO28" s="8">
        <v>196868</v>
      </c>
      <c r="AP28" s="10">
        <f t="shared" si="15"/>
        <v>0.71292047960658067</v>
      </c>
      <c r="AQ28" s="22">
        <v>625592</v>
      </c>
      <c r="AR28" s="5">
        <v>377312</v>
      </c>
      <c r="AS28" s="9">
        <f t="shared" si="16"/>
        <v>155364</v>
      </c>
      <c r="AT28" s="8">
        <v>532676</v>
      </c>
      <c r="AU28" s="10">
        <f t="shared" si="17"/>
        <v>0.85147508280157036</v>
      </c>
      <c r="AV28" s="22">
        <v>329857</v>
      </c>
      <c r="AW28" s="5">
        <v>100403</v>
      </c>
      <c r="AX28" s="9">
        <f t="shared" si="18"/>
        <v>153810</v>
      </c>
      <c r="AY28" s="9">
        <v>254213</v>
      </c>
      <c r="AZ28" s="10">
        <f t="shared" si="19"/>
        <v>0.7706763840088281</v>
      </c>
      <c r="BA28" s="22">
        <v>323426</v>
      </c>
      <c r="BB28" s="5">
        <v>117872</v>
      </c>
      <c r="BC28" s="9">
        <f t="shared" si="20"/>
        <v>140116</v>
      </c>
      <c r="BD28" s="8">
        <v>257988</v>
      </c>
      <c r="BE28" s="10">
        <f t="shared" si="21"/>
        <v>0.79767241965704672</v>
      </c>
      <c r="BF28" s="9">
        <v>619161</v>
      </c>
      <c r="BG28" s="8">
        <v>266712</v>
      </c>
      <c r="BH28" s="9">
        <f t="shared" si="22"/>
        <v>279114</v>
      </c>
      <c r="BI28" s="6">
        <v>545826</v>
      </c>
      <c r="BJ28" s="10">
        <f t="shared" si="23"/>
        <v>0.88155746243707211</v>
      </c>
    </row>
    <row r="29" spans="1:62" x14ac:dyDescent="0.3">
      <c r="A29" s="29">
        <v>20</v>
      </c>
      <c r="B29" s="4" t="s">
        <v>27</v>
      </c>
      <c r="C29" s="5">
        <v>143166</v>
      </c>
      <c r="D29" s="5">
        <v>35601</v>
      </c>
      <c r="E29" s="9">
        <f t="shared" si="0"/>
        <v>22277</v>
      </c>
      <c r="F29" s="8">
        <v>57878</v>
      </c>
      <c r="G29" s="10">
        <f t="shared" si="1"/>
        <v>0.40427196401380217</v>
      </c>
      <c r="H29" s="5">
        <v>131410</v>
      </c>
      <c r="I29" s="5">
        <v>32828</v>
      </c>
      <c r="J29" s="9">
        <f t="shared" si="2"/>
        <v>25110</v>
      </c>
      <c r="K29" s="8">
        <v>57938</v>
      </c>
      <c r="L29" s="10">
        <f t="shared" si="3"/>
        <v>0.44089490906323719</v>
      </c>
      <c r="M29" s="5">
        <v>144577</v>
      </c>
      <c r="N29" s="5">
        <v>49840</v>
      </c>
      <c r="O29" s="9">
        <f t="shared" si="4"/>
        <v>79880</v>
      </c>
      <c r="P29" s="8">
        <v>129720</v>
      </c>
      <c r="Q29" s="10">
        <f t="shared" si="5"/>
        <v>0.89723814991319506</v>
      </c>
      <c r="R29" s="5">
        <v>86442</v>
      </c>
      <c r="S29" s="5">
        <v>9910</v>
      </c>
      <c r="T29" s="9">
        <f t="shared" si="6"/>
        <v>49247</v>
      </c>
      <c r="U29" s="8">
        <v>59157</v>
      </c>
      <c r="V29" s="10">
        <f t="shared" si="7"/>
        <v>0.68435482751440269</v>
      </c>
      <c r="W29" s="5">
        <v>83687</v>
      </c>
      <c r="X29" s="5">
        <v>12954</v>
      </c>
      <c r="Y29" s="9">
        <f t="shared" si="8"/>
        <v>46727</v>
      </c>
      <c r="Z29" s="8">
        <v>59681</v>
      </c>
      <c r="AA29" s="10">
        <f t="shared" si="9"/>
        <v>0.71314541087624128</v>
      </c>
      <c r="AB29" s="5">
        <v>153397</v>
      </c>
      <c r="AC29" s="5">
        <v>71992</v>
      </c>
      <c r="AD29" s="9">
        <f t="shared" si="10"/>
        <v>61931</v>
      </c>
      <c r="AE29" s="8">
        <v>133923</v>
      </c>
      <c r="AF29" s="10">
        <f t="shared" si="11"/>
        <v>0.87304836470074387</v>
      </c>
      <c r="AG29" s="5">
        <v>79643</v>
      </c>
      <c r="AH29" s="5">
        <v>16755</v>
      </c>
      <c r="AI29" s="9">
        <f t="shared" si="12"/>
        <v>44066</v>
      </c>
      <c r="AJ29" s="8">
        <v>60821</v>
      </c>
      <c r="AK29" s="10">
        <f t="shared" si="13"/>
        <v>0.76367037906658464</v>
      </c>
      <c r="AL29" s="5">
        <v>78780</v>
      </c>
      <c r="AM29" s="7">
        <v>17356</v>
      </c>
      <c r="AN29" s="9">
        <f t="shared" si="14"/>
        <v>44299</v>
      </c>
      <c r="AO29" s="8">
        <v>61655</v>
      </c>
      <c r="AP29" s="10">
        <f t="shared" si="15"/>
        <v>0.78262249301853259</v>
      </c>
      <c r="AQ29" s="22">
        <v>155521</v>
      </c>
      <c r="AR29" s="5">
        <v>97125</v>
      </c>
      <c r="AS29" s="9">
        <f t="shared" si="16"/>
        <v>41582</v>
      </c>
      <c r="AT29" s="8">
        <v>138707</v>
      </c>
      <c r="AU29" s="10">
        <f t="shared" si="17"/>
        <v>0.8918859832434205</v>
      </c>
      <c r="AV29" s="22">
        <v>96040</v>
      </c>
      <c r="AW29" s="5">
        <v>31772</v>
      </c>
      <c r="AX29" s="9">
        <f t="shared" si="18"/>
        <v>51820</v>
      </c>
      <c r="AY29" s="9">
        <v>83592</v>
      </c>
      <c r="AZ29" s="10">
        <f t="shared" si="19"/>
        <v>0.87038733860891293</v>
      </c>
      <c r="BA29" s="22">
        <v>92820</v>
      </c>
      <c r="BB29" s="5">
        <v>36180</v>
      </c>
      <c r="BC29" s="9">
        <f t="shared" si="20"/>
        <v>48854</v>
      </c>
      <c r="BD29" s="8">
        <v>85034</v>
      </c>
      <c r="BE29" s="10">
        <f t="shared" si="21"/>
        <v>0.91611721611721608</v>
      </c>
      <c r="BF29" s="9">
        <v>153057</v>
      </c>
      <c r="BG29" s="8">
        <v>59772</v>
      </c>
      <c r="BH29" s="9">
        <f t="shared" si="22"/>
        <v>83903</v>
      </c>
      <c r="BI29" s="6">
        <v>143675</v>
      </c>
      <c r="BJ29" s="10">
        <f t="shared" si="23"/>
        <v>0.93870257485773279</v>
      </c>
    </row>
    <row r="30" spans="1:62" x14ac:dyDescent="0.3">
      <c r="A30" s="29">
        <v>21</v>
      </c>
      <c r="B30" s="4" t="s">
        <v>28</v>
      </c>
      <c r="C30" s="5">
        <v>222344</v>
      </c>
      <c r="D30" s="5">
        <v>46898</v>
      </c>
      <c r="E30" s="9">
        <f t="shared" si="0"/>
        <v>30458</v>
      </c>
      <c r="F30" s="8">
        <v>77356</v>
      </c>
      <c r="G30" s="10">
        <f t="shared" si="1"/>
        <v>0.34791134458316841</v>
      </c>
      <c r="H30" s="5">
        <v>196739</v>
      </c>
      <c r="I30" s="5">
        <v>42206</v>
      </c>
      <c r="J30" s="9">
        <f t="shared" si="2"/>
        <v>35388</v>
      </c>
      <c r="K30" s="8">
        <v>77594</v>
      </c>
      <c r="L30" s="10">
        <f t="shared" si="3"/>
        <v>0.39440070347007966</v>
      </c>
      <c r="M30" s="5">
        <v>227236</v>
      </c>
      <c r="N30" s="5">
        <v>65229</v>
      </c>
      <c r="O30" s="9">
        <f t="shared" si="4"/>
        <v>132041</v>
      </c>
      <c r="P30" s="8">
        <v>197270</v>
      </c>
      <c r="Q30" s="10">
        <f t="shared" si="5"/>
        <v>0.86812828953158827</v>
      </c>
      <c r="R30" s="5">
        <v>127114</v>
      </c>
      <c r="S30" s="5">
        <v>11999</v>
      </c>
      <c r="T30" s="9">
        <f t="shared" si="6"/>
        <v>67311</v>
      </c>
      <c r="U30" s="8">
        <v>79310</v>
      </c>
      <c r="V30" s="10">
        <f t="shared" si="7"/>
        <v>0.62392812750759163</v>
      </c>
      <c r="W30" s="5">
        <v>123894</v>
      </c>
      <c r="X30" s="5">
        <v>15442</v>
      </c>
      <c r="Y30" s="9">
        <f t="shared" si="8"/>
        <v>64463</v>
      </c>
      <c r="Z30" s="8">
        <v>79905</v>
      </c>
      <c r="AA30" s="10">
        <f t="shared" si="9"/>
        <v>0.64494648651266406</v>
      </c>
      <c r="AB30" s="5">
        <v>242455</v>
      </c>
      <c r="AC30" s="5">
        <v>104079</v>
      </c>
      <c r="AD30" s="9">
        <f t="shared" si="10"/>
        <v>99295</v>
      </c>
      <c r="AE30" s="8">
        <v>203374</v>
      </c>
      <c r="AF30" s="10">
        <f t="shared" si="11"/>
        <v>0.83881132581303752</v>
      </c>
      <c r="AG30" s="5">
        <v>117700</v>
      </c>
      <c r="AH30" s="5">
        <v>20638</v>
      </c>
      <c r="AI30" s="9">
        <f t="shared" si="12"/>
        <v>61301</v>
      </c>
      <c r="AJ30" s="8">
        <v>81939</v>
      </c>
      <c r="AK30" s="10">
        <f t="shared" si="13"/>
        <v>0.69616822429906544</v>
      </c>
      <c r="AL30" s="5">
        <v>115490</v>
      </c>
      <c r="AM30" s="7">
        <v>21060</v>
      </c>
      <c r="AN30" s="9">
        <f t="shared" si="14"/>
        <v>62028</v>
      </c>
      <c r="AO30" s="8">
        <v>83088</v>
      </c>
      <c r="AP30" s="10">
        <f t="shared" si="15"/>
        <v>0.71943891245995328</v>
      </c>
      <c r="AQ30" s="22">
        <v>248265</v>
      </c>
      <c r="AR30" s="5">
        <v>137989</v>
      </c>
      <c r="AS30" s="9">
        <f t="shared" si="16"/>
        <v>74377</v>
      </c>
      <c r="AT30" s="8">
        <v>212366</v>
      </c>
      <c r="AU30" s="10">
        <f t="shared" si="17"/>
        <v>0.85540047932652608</v>
      </c>
      <c r="AV30" s="22">
        <v>136681</v>
      </c>
      <c r="AW30" s="5">
        <v>32187</v>
      </c>
      <c r="AX30" s="9">
        <f t="shared" si="18"/>
        <v>78448</v>
      </c>
      <c r="AY30" s="9">
        <v>110635</v>
      </c>
      <c r="AZ30" s="10">
        <f t="shared" si="19"/>
        <v>0.80943949780876645</v>
      </c>
      <c r="BA30" s="22">
        <v>130520</v>
      </c>
      <c r="BB30" s="5">
        <v>36811</v>
      </c>
      <c r="BC30" s="9">
        <f t="shared" si="20"/>
        <v>76631</v>
      </c>
      <c r="BD30" s="8">
        <v>113442</v>
      </c>
      <c r="BE30" s="10">
        <f t="shared" si="21"/>
        <v>0.86915415262028806</v>
      </c>
      <c r="BF30" s="9">
        <v>245647</v>
      </c>
      <c r="BG30" s="8">
        <v>80693</v>
      </c>
      <c r="BH30" s="9">
        <f t="shared" si="22"/>
        <v>141121</v>
      </c>
      <c r="BI30" s="6">
        <v>221814</v>
      </c>
      <c r="BJ30" s="10">
        <f t="shared" si="23"/>
        <v>0.9029786645063852</v>
      </c>
    </row>
    <row r="31" spans="1:62" x14ac:dyDescent="0.3">
      <c r="A31" s="29">
        <v>22</v>
      </c>
      <c r="B31" s="4" t="s">
        <v>44</v>
      </c>
      <c r="C31" s="5">
        <v>106663</v>
      </c>
      <c r="D31" s="5">
        <v>25514</v>
      </c>
      <c r="E31" s="9">
        <f t="shared" si="0"/>
        <v>16309</v>
      </c>
      <c r="F31" s="8">
        <v>41823</v>
      </c>
      <c r="G31" s="10">
        <f t="shared" si="1"/>
        <v>0.39210410357856051</v>
      </c>
      <c r="H31" s="5">
        <v>97781</v>
      </c>
      <c r="I31" s="5">
        <v>23348</v>
      </c>
      <c r="J31" s="9">
        <f t="shared" si="2"/>
        <v>18554</v>
      </c>
      <c r="K31" s="8">
        <v>41902</v>
      </c>
      <c r="L31" s="10">
        <f t="shared" si="3"/>
        <v>0.42852905983780082</v>
      </c>
      <c r="M31" s="5">
        <v>107995</v>
      </c>
      <c r="N31" s="5">
        <v>33529</v>
      </c>
      <c r="O31" s="9">
        <f t="shared" si="4"/>
        <v>64560</v>
      </c>
      <c r="P31" s="8">
        <v>98089</v>
      </c>
      <c r="Q31" s="10">
        <f t="shared" si="5"/>
        <v>0.90827353118199916</v>
      </c>
      <c r="R31" s="5">
        <v>65023</v>
      </c>
      <c r="S31" s="5">
        <v>7601</v>
      </c>
      <c r="T31" s="9">
        <f t="shared" si="6"/>
        <v>35240</v>
      </c>
      <c r="U31" s="8">
        <v>42841</v>
      </c>
      <c r="V31" s="10">
        <f t="shared" si="7"/>
        <v>0.65885917290804796</v>
      </c>
      <c r="W31" s="5">
        <v>62560</v>
      </c>
      <c r="X31" s="5">
        <v>9816</v>
      </c>
      <c r="Y31" s="9">
        <f t="shared" si="8"/>
        <v>33337</v>
      </c>
      <c r="Z31" s="8">
        <v>43153</v>
      </c>
      <c r="AA31" s="10">
        <f t="shared" si="9"/>
        <v>0.68978580562659841</v>
      </c>
      <c r="AB31" s="5">
        <v>113499</v>
      </c>
      <c r="AC31" s="5">
        <v>48332</v>
      </c>
      <c r="AD31" s="9">
        <f t="shared" si="10"/>
        <v>52974</v>
      </c>
      <c r="AE31" s="8">
        <v>101306</v>
      </c>
      <c r="AF31" s="10">
        <f t="shared" si="11"/>
        <v>0.89257174072018253</v>
      </c>
      <c r="AG31" s="5">
        <v>58990</v>
      </c>
      <c r="AH31" s="5">
        <v>12201</v>
      </c>
      <c r="AI31" s="9">
        <f t="shared" si="12"/>
        <v>31529</v>
      </c>
      <c r="AJ31" s="8">
        <v>43730</v>
      </c>
      <c r="AK31" s="10">
        <f t="shared" si="13"/>
        <v>0.74131208679437188</v>
      </c>
      <c r="AL31" s="5">
        <v>57896</v>
      </c>
      <c r="AM31" s="7">
        <v>13052</v>
      </c>
      <c r="AN31" s="9">
        <f t="shared" si="14"/>
        <v>30992</v>
      </c>
      <c r="AO31" s="8">
        <v>44044</v>
      </c>
      <c r="AP31" s="10">
        <f t="shared" si="15"/>
        <v>0.76074340196213897</v>
      </c>
      <c r="AQ31" s="22">
        <v>115872</v>
      </c>
      <c r="AR31" s="5">
        <v>66695</v>
      </c>
      <c r="AS31" s="9">
        <f t="shared" si="16"/>
        <v>37974</v>
      </c>
      <c r="AT31" s="8">
        <v>104669</v>
      </c>
      <c r="AU31" s="10">
        <f t="shared" si="17"/>
        <v>0.9033157276995305</v>
      </c>
      <c r="AV31" s="22">
        <v>66185</v>
      </c>
      <c r="AW31" s="5">
        <v>19722</v>
      </c>
      <c r="AX31" s="9">
        <f t="shared" si="18"/>
        <v>37464</v>
      </c>
      <c r="AY31" s="9">
        <v>57186</v>
      </c>
      <c r="AZ31" s="10">
        <f t="shared" si="19"/>
        <v>0.86403263579360878</v>
      </c>
      <c r="BA31" s="22">
        <v>65739</v>
      </c>
      <c r="BB31" s="5">
        <v>22569</v>
      </c>
      <c r="BC31" s="9">
        <f t="shared" si="20"/>
        <v>36890</v>
      </c>
      <c r="BD31" s="8">
        <v>59459</v>
      </c>
      <c r="BE31" s="10">
        <f t="shared" si="21"/>
        <v>0.9044707099286573</v>
      </c>
      <c r="BF31" s="9">
        <v>116311</v>
      </c>
      <c r="BG31" s="8">
        <v>32780</v>
      </c>
      <c r="BH31" s="9">
        <f t="shared" si="22"/>
        <v>76445</v>
      </c>
      <c r="BI31" s="6">
        <v>109225</v>
      </c>
      <c r="BJ31" s="10">
        <f t="shared" si="23"/>
        <v>0.93907712942026123</v>
      </c>
    </row>
    <row r="32" spans="1:62" x14ac:dyDescent="0.3">
      <c r="A32" s="29">
        <v>23</v>
      </c>
      <c r="B32" s="4" t="s">
        <v>29</v>
      </c>
      <c r="C32" s="5">
        <v>350378</v>
      </c>
      <c r="D32" s="5">
        <v>75653</v>
      </c>
      <c r="E32" s="9">
        <f t="shared" si="0"/>
        <v>36912</v>
      </c>
      <c r="F32" s="8">
        <v>112565</v>
      </c>
      <c r="G32" s="10">
        <f t="shared" si="1"/>
        <v>0.32126731701191286</v>
      </c>
      <c r="H32" s="5">
        <v>322626</v>
      </c>
      <c r="I32" s="5">
        <v>70023</v>
      </c>
      <c r="J32" s="9">
        <f t="shared" si="2"/>
        <v>42788</v>
      </c>
      <c r="K32" s="8">
        <v>112811</v>
      </c>
      <c r="L32" s="10">
        <f t="shared" si="3"/>
        <v>0.34966493710984237</v>
      </c>
      <c r="M32" s="5">
        <v>353115</v>
      </c>
      <c r="N32" s="5">
        <v>130254</v>
      </c>
      <c r="O32" s="9">
        <f t="shared" si="4"/>
        <v>199318</v>
      </c>
      <c r="P32" s="8">
        <v>329572</v>
      </c>
      <c r="Q32" s="10">
        <f t="shared" si="5"/>
        <v>0.93332766945612622</v>
      </c>
      <c r="R32" s="5">
        <v>166950</v>
      </c>
      <c r="S32" s="5">
        <v>23842</v>
      </c>
      <c r="T32" s="9">
        <f t="shared" si="6"/>
        <v>90910</v>
      </c>
      <c r="U32" s="8">
        <v>114752</v>
      </c>
      <c r="V32" s="10">
        <f t="shared" si="7"/>
        <v>0.68734351602276134</v>
      </c>
      <c r="W32" s="5">
        <v>161498</v>
      </c>
      <c r="X32" s="5">
        <v>29126</v>
      </c>
      <c r="Y32" s="9">
        <f t="shared" si="8"/>
        <v>86186</v>
      </c>
      <c r="Z32" s="8">
        <v>115312</v>
      </c>
      <c r="AA32" s="10">
        <f t="shared" si="9"/>
        <v>0.71401503424191015</v>
      </c>
      <c r="AB32" s="5">
        <v>374326</v>
      </c>
      <c r="AC32" s="5">
        <v>178043</v>
      </c>
      <c r="AD32" s="9">
        <f t="shared" si="10"/>
        <v>160711</v>
      </c>
      <c r="AE32" s="8">
        <v>338754</v>
      </c>
      <c r="AF32" s="10">
        <f t="shared" si="11"/>
        <v>0.90497053370591407</v>
      </c>
      <c r="AG32" s="5">
        <v>155463</v>
      </c>
      <c r="AH32" s="5">
        <v>33782</v>
      </c>
      <c r="AI32" s="9">
        <f t="shared" si="12"/>
        <v>83586</v>
      </c>
      <c r="AJ32" s="8">
        <v>117368</v>
      </c>
      <c r="AK32" s="10">
        <f t="shared" si="13"/>
        <v>0.75495777130249642</v>
      </c>
      <c r="AL32" s="5">
        <v>151258</v>
      </c>
      <c r="AM32" s="7">
        <v>35328</v>
      </c>
      <c r="AN32" s="9">
        <f t="shared" si="14"/>
        <v>82983</v>
      </c>
      <c r="AO32" s="8">
        <v>118311</v>
      </c>
      <c r="AP32" s="10">
        <f t="shared" si="15"/>
        <v>0.78218011609303306</v>
      </c>
      <c r="AQ32" s="22">
        <v>378853</v>
      </c>
      <c r="AR32" s="5">
        <v>236864</v>
      </c>
      <c r="AS32" s="9">
        <f t="shared" si="16"/>
        <v>111951</v>
      </c>
      <c r="AT32" s="8">
        <v>348815</v>
      </c>
      <c r="AU32" s="10">
        <f t="shared" si="17"/>
        <v>0.92071331096757847</v>
      </c>
      <c r="AV32" s="22">
        <v>171744</v>
      </c>
      <c r="AW32" s="5">
        <v>56135</v>
      </c>
      <c r="AX32" s="9">
        <f t="shared" si="18"/>
        <v>96180</v>
      </c>
      <c r="AY32" s="9">
        <v>152315</v>
      </c>
      <c r="AZ32" s="10">
        <f t="shared" si="19"/>
        <v>0.88687232159493201</v>
      </c>
      <c r="BA32" s="22">
        <v>169380</v>
      </c>
      <c r="BB32" s="5">
        <v>63462</v>
      </c>
      <c r="BC32" s="9">
        <f t="shared" si="20"/>
        <v>93110</v>
      </c>
      <c r="BD32" s="8">
        <v>156572</v>
      </c>
      <c r="BE32" s="10">
        <f t="shared" si="21"/>
        <v>0.92438304404298033</v>
      </c>
      <c r="BF32" s="9">
        <v>378386</v>
      </c>
      <c r="BG32" s="8">
        <v>109678</v>
      </c>
      <c r="BH32" s="9">
        <f t="shared" si="22"/>
        <v>248550</v>
      </c>
      <c r="BI32" s="6">
        <v>358228</v>
      </c>
      <c r="BJ32" s="10">
        <f t="shared" si="23"/>
        <v>0.9467263587976299</v>
      </c>
    </row>
    <row r="33" spans="1:63" x14ac:dyDescent="0.3">
      <c r="A33" s="29">
        <v>24</v>
      </c>
      <c r="B33" s="4" t="s">
        <v>45</v>
      </c>
      <c r="C33" s="5">
        <v>891331</v>
      </c>
      <c r="D33" s="5">
        <v>237558</v>
      </c>
      <c r="E33" s="9">
        <f t="shared" si="0"/>
        <v>57426</v>
      </c>
      <c r="F33" s="8">
        <v>294984</v>
      </c>
      <c r="G33" s="10">
        <f t="shared" si="1"/>
        <v>0.33094776239130019</v>
      </c>
      <c r="H33" s="5">
        <v>840037</v>
      </c>
      <c r="I33" s="5">
        <v>229871</v>
      </c>
      <c r="J33" s="9">
        <f t="shared" si="2"/>
        <v>65412</v>
      </c>
      <c r="K33" s="8">
        <v>295283</v>
      </c>
      <c r="L33" s="10">
        <f t="shared" si="3"/>
        <v>0.35151189769022079</v>
      </c>
      <c r="M33" s="5">
        <v>888717</v>
      </c>
      <c r="N33" s="5">
        <v>506474</v>
      </c>
      <c r="O33" s="9">
        <f t="shared" si="4"/>
        <v>331377</v>
      </c>
      <c r="P33" s="8">
        <v>837851</v>
      </c>
      <c r="Q33" s="10">
        <f t="shared" si="5"/>
        <v>0.94276468212040498</v>
      </c>
      <c r="R33" s="5">
        <v>410545</v>
      </c>
      <c r="S33" s="5">
        <v>107856</v>
      </c>
      <c r="T33" s="9">
        <f t="shared" si="6"/>
        <v>191556</v>
      </c>
      <c r="U33" s="8">
        <v>299412</v>
      </c>
      <c r="V33" s="10">
        <f t="shared" si="7"/>
        <v>0.72930373040714169</v>
      </c>
      <c r="W33" s="5">
        <v>395753</v>
      </c>
      <c r="X33" s="5">
        <v>138031</v>
      </c>
      <c r="Y33" s="9">
        <f t="shared" si="8"/>
        <v>163298</v>
      </c>
      <c r="Z33" s="8">
        <v>301329</v>
      </c>
      <c r="AA33" s="10">
        <f t="shared" si="9"/>
        <v>0.761406736019689</v>
      </c>
      <c r="AB33" s="5">
        <v>919225</v>
      </c>
      <c r="AC33" s="5">
        <v>645871</v>
      </c>
      <c r="AD33" s="9">
        <f t="shared" si="10"/>
        <v>217537</v>
      </c>
      <c r="AE33" s="8">
        <v>863408</v>
      </c>
      <c r="AF33" s="10">
        <f t="shared" si="11"/>
        <v>0.93927819630667142</v>
      </c>
      <c r="AG33" s="5">
        <v>374721</v>
      </c>
      <c r="AH33" s="5">
        <v>165152</v>
      </c>
      <c r="AI33" s="9">
        <f t="shared" si="12"/>
        <v>140264</v>
      </c>
      <c r="AJ33" s="8">
        <v>305416</v>
      </c>
      <c r="AK33" s="10">
        <f t="shared" si="13"/>
        <v>0.81504906316966486</v>
      </c>
      <c r="AL33" s="5">
        <v>367134</v>
      </c>
      <c r="AM33" s="7">
        <v>165581</v>
      </c>
      <c r="AN33" s="9">
        <f t="shared" si="14"/>
        <v>142101</v>
      </c>
      <c r="AO33" s="8">
        <v>307682</v>
      </c>
      <c r="AP33" s="10">
        <f t="shared" si="15"/>
        <v>0.83806457587692773</v>
      </c>
      <c r="AQ33" s="22">
        <v>933808</v>
      </c>
      <c r="AR33" s="5">
        <v>779825</v>
      </c>
      <c r="AS33" s="9">
        <f t="shared" si="16"/>
        <v>111365</v>
      </c>
      <c r="AT33" s="8">
        <v>891190</v>
      </c>
      <c r="AU33" s="10">
        <f t="shared" si="17"/>
        <v>0.95436106779980467</v>
      </c>
      <c r="AV33" s="22">
        <v>471208</v>
      </c>
      <c r="AW33" s="5">
        <v>287241</v>
      </c>
      <c r="AX33" s="9">
        <f t="shared" si="18"/>
        <v>148158</v>
      </c>
      <c r="AY33" s="9">
        <v>435399</v>
      </c>
      <c r="AZ33" s="10">
        <f t="shared" si="19"/>
        <v>0.92400595915179706</v>
      </c>
      <c r="BA33" s="22">
        <v>469534</v>
      </c>
      <c r="BB33" s="5">
        <v>313855</v>
      </c>
      <c r="BC33" s="9">
        <f t="shared" si="20"/>
        <v>133521</v>
      </c>
      <c r="BD33" s="8">
        <v>447376</v>
      </c>
      <c r="BE33" s="10">
        <f t="shared" si="21"/>
        <v>0.9528085293077817</v>
      </c>
      <c r="BF33" s="9">
        <v>935950</v>
      </c>
      <c r="BG33" s="8">
        <v>645743</v>
      </c>
      <c r="BH33" s="9">
        <f t="shared" si="22"/>
        <v>270381</v>
      </c>
      <c r="BI33" s="6">
        <v>916124</v>
      </c>
      <c r="BJ33" s="10">
        <f t="shared" si="23"/>
        <v>0.97881724451092478</v>
      </c>
    </row>
    <row r="34" spans="1:63" x14ac:dyDescent="0.3">
      <c r="A34" s="29">
        <v>25</v>
      </c>
      <c r="B34" s="4" t="s">
        <v>30</v>
      </c>
      <c r="C34" s="5">
        <v>5835</v>
      </c>
      <c r="D34" s="5">
        <v>2407</v>
      </c>
      <c r="E34" s="9">
        <f t="shared" si="0"/>
        <v>603</v>
      </c>
      <c r="F34" s="8">
        <v>3010</v>
      </c>
      <c r="G34" s="10">
        <f t="shared" si="1"/>
        <v>0.51585261353898881</v>
      </c>
      <c r="H34" s="5">
        <v>5437</v>
      </c>
      <c r="I34" s="5">
        <v>2317</v>
      </c>
      <c r="J34" s="9">
        <f t="shared" si="2"/>
        <v>680</v>
      </c>
      <c r="K34" s="8">
        <v>2997</v>
      </c>
      <c r="L34" s="10">
        <f t="shared" si="3"/>
        <v>0.55122310097480232</v>
      </c>
      <c r="M34" s="5">
        <v>5809</v>
      </c>
      <c r="N34" s="5">
        <v>3273</v>
      </c>
      <c r="O34" s="9">
        <f t="shared" si="4"/>
        <v>2013</v>
      </c>
      <c r="P34" s="8">
        <v>5286</v>
      </c>
      <c r="Q34" s="10">
        <f t="shared" si="5"/>
        <v>0.90996729213289718</v>
      </c>
      <c r="R34" s="5">
        <v>3881</v>
      </c>
      <c r="S34" s="5">
        <v>1288</v>
      </c>
      <c r="T34" s="9">
        <f t="shared" si="6"/>
        <v>3469</v>
      </c>
      <c r="U34" s="8">
        <v>4757</v>
      </c>
      <c r="V34" s="10" t="s">
        <v>43</v>
      </c>
      <c r="W34" s="10" t="s">
        <v>43</v>
      </c>
      <c r="X34" s="10" t="s">
        <v>43</v>
      </c>
      <c r="Y34" s="10" t="s">
        <v>43</v>
      </c>
      <c r="Z34" s="8">
        <v>482</v>
      </c>
      <c r="AA34" s="10" t="s">
        <v>43</v>
      </c>
      <c r="AB34" s="10" t="s">
        <v>43</v>
      </c>
      <c r="AC34" s="10" t="s">
        <v>43</v>
      </c>
      <c r="AD34" s="10" t="s">
        <v>43</v>
      </c>
      <c r="AE34" s="8">
        <v>418</v>
      </c>
      <c r="AF34" s="10" t="s">
        <v>43</v>
      </c>
      <c r="AG34" s="10" t="s">
        <v>43</v>
      </c>
      <c r="AH34" s="10" t="s">
        <v>43</v>
      </c>
      <c r="AI34" s="10" t="s">
        <v>43</v>
      </c>
      <c r="AJ34" s="8">
        <v>149</v>
      </c>
      <c r="AK34" s="10" t="s">
        <v>43</v>
      </c>
      <c r="AL34" s="10" t="s">
        <v>43</v>
      </c>
      <c r="AM34" s="10" t="s">
        <v>43</v>
      </c>
      <c r="AN34" s="10" t="s">
        <v>43</v>
      </c>
      <c r="AO34" s="8">
        <v>138</v>
      </c>
      <c r="AP34" s="10" t="s">
        <v>43</v>
      </c>
      <c r="AQ34" s="10" t="s">
        <v>43</v>
      </c>
      <c r="AR34" s="10" t="s">
        <v>43</v>
      </c>
      <c r="AS34" s="10" t="s">
        <v>43</v>
      </c>
      <c r="AT34" s="8">
        <v>103</v>
      </c>
      <c r="AU34" s="10" t="s">
        <v>43</v>
      </c>
      <c r="AV34" s="10" t="s">
        <v>43</v>
      </c>
      <c r="AW34" s="10" t="s">
        <v>43</v>
      </c>
      <c r="AX34" s="10" t="s">
        <v>43</v>
      </c>
      <c r="AY34" s="9">
        <v>99</v>
      </c>
      <c r="AZ34" s="10" t="s">
        <v>43</v>
      </c>
      <c r="BA34" s="10" t="s">
        <v>43</v>
      </c>
      <c r="BB34" s="10" t="s">
        <v>43</v>
      </c>
      <c r="BC34" s="10" t="s">
        <v>43</v>
      </c>
      <c r="BD34" s="8">
        <v>96</v>
      </c>
      <c r="BE34" s="10" t="s">
        <v>43</v>
      </c>
      <c r="BF34" s="10" t="s">
        <v>43</v>
      </c>
      <c r="BG34" s="10" t="s">
        <v>43</v>
      </c>
      <c r="BH34" s="10" t="s">
        <v>43</v>
      </c>
      <c r="BI34" s="25">
        <v>109</v>
      </c>
      <c r="BJ34" s="10" t="s">
        <v>43</v>
      </c>
    </row>
    <row r="35" spans="1:63" x14ac:dyDescent="0.3">
      <c r="A35" s="29">
        <v>26</v>
      </c>
      <c r="B35" s="4" t="s">
        <v>31</v>
      </c>
      <c r="C35" s="5">
        <v>8236</v>
      </c>
      <c r="D35" s="5">
        <v>3295</v>
      </c>
      <c r="E35" s="9">
        <f t="shared" si="0"/>
        <v>1017</v>
      </c>
      <c r="F35" s="8">
        <v>4312</v>
      </c>
      <c r="G35" s="10">
        <f t="shared" si="1"/>
        <v>0.52355512384652747</v>
      </c>
      <c r="H35" s="5">
        <v>7705</v>
      </c>
      <c r="I35" s="5">
        <v>3191</v>
      </c>
      <c r="J35" s="9">
        <f t="shared" si="2"/>
        <v>1150</v>
      </c>
      <c r="K35" s="8">
        <v>4341</v>
      </c>
      <c r="L35" s="10">
        <f t="shared" si="3"/>
        <v>0.56340038935755998</v>
      </c>
      <c r="M35" s="5">
        <v>8277</v>
      </c>
      <c r="N35" s="5">
        <v>4510</v>
      </c>
      <c r="O35" s="9">
        <f t="shared" si="4"/>
        <v>3128</v>
      </c>
      <c r="P35" s="8">
        <v>7638</v>
      </c>
      <c r="Q35" s="10">
        <f t="shared" si="5"/>
        <v>0.9227981152591519</v>
      </c>
      <c r="R35" s="5">
        <v>10430</v>
      </c>
      <c r="S35" s="5">
        <v>1687</v>
      </c>
      <c r="T35" s="9">
        <f t="shared" si="6"/>
        <v>2743</v>
      </c>
      <c r="U35" s="8">
        <v>4430</v>
      </c>
      <c r="V35" s="10">
        <f t="shared" si="7"/>
        <v>0.42473633748801531</v>
      </c>
      <c r="W35" s="5">
        <v>11357</v>
      </c>
      <c r="X35" s="5">
        <v>3151</v>
      </c>
      <c r="Y35" s="9">
        <f t="shared" si="8"/>
        <v>4370</v>
      </c>
      <c r="Z35" s="8">
        <v>7521</v>
      </c>
      <c r="AA35" s="10">
        <f t="shared" si="9"/>
        <v>0.66223474509113323</v>
      </c>
      <c r="AB35" s="5">
        <v>14364</v>
      </c>
      <c r="AC35" s="5">
        <v>8827</v>
      </c>
      <c r="AD35" s="9">
        <f t="shared" si="10"/>
        <v>4177</v>
      </c>
      <c r="AE35" s="8">
        <v>13004</v>
      </c>
      <c r="AF35" s="10">
        <f t="shared" si="11"/>
        <v>0.90531885268727375</v>
      </c>
      <c r="AG35" s="5">
        <v>9452</v>
      </c>
      <c r="AH35" s="5">
        <v>4051</v>
      </c>
      <c r="AI35" s="9">
        <f t="shared" si="12"/>
        <v>3558</v>
      </c>
      <c r="AJ35" s="8">
        <v>7609</v>
      </c>
      <c r="AK35" s="10">
        <f t="shared" si="13"/>
        <v>0.80501481168006772</v>
      </c>
      <c r="AL35" s="5">
        <v>9245</v>
      </c>
      <c r="AM35" s="7">
        <v>4161</v>
      </c>
      <c r="AN35" s="9">
        <f t="shared" si="14"/>
        <v>3479</v>
      </c>
      <c r="AO35" s="8">
        <v>7640</v>
      </c>
      <c r="AP35" s="10">
        <f t="shared" si="15"/>
        <v>0.82639264467279605</v>
      </c>
      <c r="AQ35" s="22">
        <v>14477</v>
      </c>
      <c r="AR35" s="5">
        <v>10814</v>
      </c>
      <c r="AS35" s="9">
        <f t="shared" si="16"/>
        <v>2434</v>
      </c>
      <c r="AT35" s="8">
        <v>13248</v>
      </c>
      <c r="AU35" s="10">
        <f t="shared" si="17"/>
        <v>0.9151067210057332</v>
      </c>
      <c r="AV35" s="22">
        <v>10244</v>
      </c>
      <c r="AW35" s="5">
        <v>5615</v>
      </c>
      <c r="AX35" s="9">
        <f t="shared" si="18"/>
        <v>3425</v>
      </c>
      <c r="AY35" s="9">
        <v>9040</v>
      </c>
      <c r="AZ35" s="10">
        <f t="shared" si="19"/>
        <v>0.88246778602108555</v>
      </c>
      <c r="BA35" s="22">
        <v>10219</v>
      </c>
      <c r="BB35" s="5">
        <v>5981</v>
      </c>
      <c r="BC35" s="9">
        <f t="shared" si="20"/>
        <v>3160</v>
      </c>
      <c r="BD35" s="8">
        <v>9141</v>
      </c>
      <c r="BE35" s="10">
        <f t="shared" si="21"/>
        <v>0.89451022604951558</v>
      </c>
      <c r="BF35" s="9">
        <v>13967</v>
      </c>
      <c r="BG35" s="8">
        <v>8838</v>
      </c>
      <c r="BH35" s="9">
        <f t="shared" si="22"/>
        <v>4551</v>
      </c>
      <c r="BI35" s="6">
        <v>13389</v>
      </c>
      <c r="BJ35" s="10">
        <f t="shared" si="23"/>
        <v>0.9586167394572922</v>
      </c>
    </row>
    <row r="36" spans="1:63" x14ac:dyDescent="0.3">
      <c r="A36" s="29">
        <v>27</v>
      </c>
      <c r="B36" s="4" t="s">
        <v>46</v>
      </c>
      <c r="C36" s="5">
        <v>1377801</v>
      </c>
      <c r="D36" s="5">
        <v>243750</v>
      </c>
      <c r="E36" s="9">
        <f t="shared" si="0"/>
        <v>160276</v>
      </c>
      <c r="F36" s="8">
        <v>404026</v>
      </c>
      <c r="G36" s="10">
        <f t="shared" si="1"/>
        <v>0.29323973491091965</v>
      </c>
      <c r="H36" s="5">
        <v>1292614</v>
      </c>
      <c r="I36" s="5">
        <v>230132</v>
      </c>
      <c r="J36" s="9">
        <f t="shared" si="2"/>
        <v>174095</v>
      </c>
      <c r="K36" s="8">
        <v>404227</v>
      </c>
      <c r="L36" s="10">
        <f t="shared" si="3"/>
        <v>0.31272058015772691</v>
      </c>
      <c r="M36" s="5">
        <v>1376699</v>
      </c>
      <c r="N36" s="5">
        <v>483334</v>
      </c>
      <c r="O36" s="9">
        <f t="shared" si="4"/>
        <v>743415</v>
      </c>
      <c r="P36" s="8">
        <v>1226749</v>
      </c>
      <c r="Q36" s="10">
        <f t="shared" si="5"/>
        <v>0.89108004000874552</v>
      </c>
      <c r="R36" s="5">
        <v>745641</v>
      </c>
      <c r="S36" s="5">
        <v>107818</v>
      </c>
      <c r="T36" s="9">
        <f t="shared" si="6"/>
        <v>301893</v>
      </c>
      <c r="U36" s="8">
        <v>409711</v>
      </c>
      <c r="V36" s="10">
        <f t="shared" si="7"/>
        <v>0.54947488134370293</v>
      </c>
      <c r="W36" s="5">
        <v>686690</v>
      </c>
      <c r="X36" s="5">
        <v>135661</v>
      </c>
      <c r="Y36" s="9">
        <f t="shared" si="8"/>
        <v>276529</v>
      </c>
      <c r="Z36" s="8">
        <v>412190</v>
      </c>
      <c r="AA36" s="10">
        <f t="shared" si="9"/>
        <v>0.60025630197032143</v>
      </c>
      <c r="AB36" s="5">
        <v>1408098</v>
      </c>
      <c r="AC36" s="5">
        <v>737066</v>
      </c>
      <c r="AD36" s="9">
        <f t="shared" si="10"/>
        <v>511521</v>
      </c>
      <c r="AE36" s="8">
        <v>1248587</v>
      </c>
      <c r="AF36" s="10">
        <f t="shared" si="11"/>
        <v>0.88671882212743713</v>
      </c>
      <c r="AG36" s="5">
        <v>587071</v>
      </c>
      <c r="AH36" s="5">
        <v>169307</v>
      </c>
      <c r="AI36" s="9">
        <f t="shared" si="12"/>
        <v>248207</v>
      </c>
      <c r="AJ36" s="8">
        <v>417514</v>
      </c>
      <c r="AK36" s="10">
        <f t="shared" si="13"/>
        <v>0.71118144142701645</v>
      </c>
      <c r="AL36" s="5">
        <v>562582</v>
      </c>
      <c r="AM36" s="7">
        <v>183019</v>
      </c>
      <c r="AN36" s="9">
        <f t="shared" si="14"/>
        <v>238186</v>
      </c>
      <c r="AO36" s="8">
        <v>421205</v>
      </c>
      <c r="AP36" s="10">
        <f t="shared" si="15"/>
        <v>0.74869974510382487</v>
      </c>
      <c r="AQ36" s="22">
        <v>1406326</v>
      </c>
      <c r="AR36" s="5">
        <v>948488</v>
      </c>
      <c r="AS36" s="9">
        <f t="shared" si="16"/>
        <v>335784</v>
      </c>
      <c r="AT36" s="8">
        <v>1284272</v>
      </c>
      <c r="AU36" s="10">
        <f t="shared" si="17"/>
        <v>0.91321073492205929</v>
      </c>
      <c r="AV36" s="22">
        <v>685313</v>
      </c>
      <c r="AW36" s="5">
        <v>269508</v>
      </c>
      <c r="AX36" s="9">
        <f t="shared" si="18"/>
        <v>333914</v>
      </c>
      <c r="AY36" s="9">
        <v>603422</v>
      </c>
      <c r="AZ36" s="10">
        <f t="shared" si="19"/>
        <v>0.88050569593747674</v>
      </c>
      <c r="BA36" s="22">
        <v>667446</v>
      </c>
      <c r="BB36" s="5">
        <v>310190</v>
      </c>
      <c r="BC36" s="9">
        <f t="shared" si="20"/>
        <v>306872</v>
      </c>
      <c r="BD36" s="8">
        <v>617062</v>
      </c>
      <c r="BE36" s="10">
        <f t="shared" si="21"/>
        <v>0.92451224518537833</v>
      </c>
      <c r="BF36" s="9">
        <v>1363993</v>
      </c>
      <c r="BG36" s="8">
        <v>653465</v>
      </c>
      <c r="BH36" s="9">
        <f t="shared" si="22"/>
        <v>656332</v>
      </c>
      <c r="BI36" s="6">
        <v>1309797</v>
      </c>
      <c r="BJ36" s="10">
        <f t="shared" si="23"/>
        <v>0.96026665825997637</v>
      </c>
    </row>
    <row r="37" spans="1:63" x14ac:dyDescent="0.3">
      <c r="A37" s="29">
        <v>29</v>
      </c>
      <c r="B37" s="4" t="s">
        <v>32</v>
      </c>
      <c r="C37" s="5">
        <v>732776</v>
      </c>
      <c r="D37" s="5">
        <v>283703</v>
      </c>
      <c r="E37" s="9">
        <f t="shared" si="0"/>
        <v>126107</v>
      </c>
      <c r="F37" s="8">
        <v>409810</v>
      </c>
      <c r="G37" s="10">
        <f t="shared" si="1"/>
        <v>0.55925685339039488</v>
      </c>
      <c r="H37" s="5">
        <v>674591</v>
      </c>
      <c r="I37" s="5">
        <v>265798</v>
      </c>
      <c r="J37" s="9">
        <f t="shared" si="2"/>
        <v>147520</v>
      </c>
      <c r="K37" s="8">
        <v>413318</v>
      </c>
      <c r="L37" s="10">
        <f t="shared" si="3"/>
        <v>0.61269421026963</v>
      </c>
      <c r="M37" s="5">
        <v>737436</v>
      </c>
      <c r="N37" s="5">
        <v>299151</v>
      </c>
      <c r="O37" s="9">
        <f t="shared" si="4"/>
        <v>346123</v>
      </c>
      <c r="P37" s="8">
        <v>645274</v>
      </c>
      <c r="Q37" s="10">
        <f t="shared" si="5"/>
        <v>0.87502373087291641</v>
      </c>
      <c r="R37" s="5">
        <v>540612</v>
      </c>
      <c r="S37" s="5">
        <v>89693</v>
      </c>
      <c r="T37" s="9">
        <f t="shared" si="6"/>
        <v>330394</v>
      </c>
      <c r="U37" s="8">
        <v>420087</v>
      </c>
      <c r="V37" s="10">
        <f t="shared" si="7"/>
        <v>0.77705822290293225</v>
      </c>
      <c r="W37" s="5">
        <v>536259</v>
      </c>
      <c r="X37" s="5">
        <v>116429</v>
      </c>
      <c r="Y37" s="9">
        <f t="shared" si="8"/>
        <v>307352</v>
      </c>
      <c r="Z37" s="8">
        <v>423781</v>
      </c>
      <c r="AA37" s="10">
        <f t="shared" si="9"/>
        <v>0.79025433605776318</v>
      </c>
      <c r="AB37" s="5">
        <v>768520</v>
      </c>
      <c r="AC37" s="5">
        <v>434938</v>
      </c>
      <c r="AD37" s="9">
        <f t="shared" si="10"/>
        <v>226298</v>
      </c>
      <c r="AE37" s="8">
        <v>661236</v>
      </c>
      <c r="AF37" s="10">
        <f t="shared" si="11"/>
        <v>0.86040181127361681</v>
      </c>
      <c r="AG37" s="5">
        <v>524373</v>
      </c>
      <c r="AH37" s="5">
        <v>148973</v>
      </c>
      <c r="AI37" s="9">
        <f t="shared" si="12"/>
        <v>282824</v>
      </c>
      <c r="AJ37" s="8">
        <v>431797</v>
      </c>
      <c r="AK37" s="10">
        <f t="shared" si="13"/>
        <v>0.82345391543805646</v>
      </c>
      <c r="AL37" s="5">
        <v>516478</v>
      </c>
      <c r="AM37" s="7">
        <v>159373</v>
      </c>
      <c r="AN37" s="9">
        <f t="shared" si="14"/>
        <v>278008</v>
      </c>
      <c r="AO37" s="8">
        <v>437381</v>
      </c>
      <c r="AP37" s="10">
        <f t="shared" si="15"/>
        <v>0.84685310894171684</v>
      </c>
      <c r="AQ37" s="22">
        <v>769503</v>
      </c>
      <c r="AR37" s="5">
        <v>536807</v>
      </c>
      <c r="AS37" s="9">
        <f t="shared" si="16"/>
        <v>145938</v>
      </c>
      <c r="AT37" s="8">
        <v>682745</v>
      </c>
      <c r="AU37" s="10">
        <f t="shared" si="17"/>
        <v>0.88725450063222622</v>
      </c>
      <c r="AV37" s="22">
        <v>526610</v>
      </c>
      <c r="AW37" s="5">
        <v>207855</v>
      </c>
      <c r="AX37" s="9">
        <f t="shared" si="18"/>
        <v>255407</v>
      </c>
      <c r="AY37" s="9">
        <v>463262</v>
      </c>
      <c r="AZ37" s="10">
        <f t="shared" si="19"/>
        <v>0.87970604432122446</v>
      </c>
      <c r="BA37" s="22">
        <v>525208</v>
      </c>
      <c r="BB37" s="5">
        <v>223519</v>
      </c>
      <c r="BC37" s="9">
        <f t="shared" si="20"/>
        <v>248182</v>
      </c>
      <c r="BD37" s="8">
        <v>471701</v>
      </c>
      <c r="BE37" s="10">
        <f t="shared" si="21"/>
        <v>0.89812226774915838</v>
      </c>
      <c r="BF37" s="9">
        <v>765317</v>
      </c>
      <c r="BG37" s="8">
        <v>347169</v>
      </c>
      <c r="BH37" s="9">
        <f t="shared" si="22"/>
        <v>359938</v>
      </c>
      <c r="BI37" s="6">
        <v>707107</v>
      </c>
      <c r="BJ37" s="10">
        <f t="shared" si="23"/>
        <v>0.92394001439926199</v>
      </c>
    </row>
    <row r="38" spans="1:63" x14ac:dyDescent="0.3">
      <c r="A38" s="29">
        <v>30</v>
      </c>
      <c r="B38" s="4" t="s">
        <v>33</v>
      </c>
      <c r="C38" s="5">
        <v>35971</v>
      </c>
      <c r="D38" s="5">
        <v>8714</v>
      </c>
      <c r="E38" s="9">
        <f t="shared" si="0"/>
        <v>4236</v>
      </c>
      <c r="F38" s="8">
        <v>12950</v>
      </c>
      <c r="G38" s="10">
        <f t="shared" si="1"/>
        <v>0.36001223207583888</v>
      </c>
      <c r="H38" s="5">
        <v>32261</v>
      </c>
      <c r="I38" s="5">
        <v>8150</v>
      </c>
      <c r="J38" s="9">
        <f t="shared" si="2"/>
        <v>4849</v>
      </c>
      <c r="K38" s="8">
        <v>12999</v>
      </c>
      <c r="L38" s="10">
        <f t="shared" si="3"/>
        <v>0.40293233315768268</v>
      </c>
      <c r="M38" s="5">
        <v>35630</v>
      </c>
      <c r="N38" s="5">
        <v>13986</v>
      </c>
      <c r="O38" s="9">
        <f t="shared" si="4"/>
        <v>15619</v>
      </c>
      <c r="P38" s="8">
        <v>29605</v>
      </c>
      <c r="Q38" s="10">
        <f t="shared" si="5"/>
        <v>0.83090092618579847</v>
      </c>
      <c r="R38" s="5">
        <v>23074</v>
      </c>
      <c r="S38" s="5">
        <v>4118</v>
      </c>
      <c r="T38" s="9">
        <f t="shared" si="6"/>
        <v>9007</v>
      </c>
      <c r="U38" s="8">
        <v>13125</v>
      </c>
      <c r="V38" s="10">
        <f t="shared" si="7"/>
        <v>0.56882205079310044</v>
      </c>
      <c r="W38" s="5">
        <v>22269</v>
      </c>
      <c r="X38" s="5">
        <v>4755</v>
      </c>
      <c r="Y38" s="9">
        <f t="shared" si="8"/>
        <v>8392</v>
      </c>
      <c r="Z38" s="8">
        <v>13147</v>
      </c>
      <c r="AA38" s="10">
        <f t="shared" si="9"/>
        <v>0.59037226637927165</v>
      </c>
      <c r="AB38" s="5">
        <v>36289</v>
      </c>
      <c r="AC38" s="5">
        <v>18702</v>
      </c>
      <c r="AD38" s="9">
        <f t="shared" si="10"/>
        <v>11183</v>
      </c>
      <c r="AE38" s="8">
        <v>29885</v>
      </c>
      <c r="AF38" s="10">
        <f t="shared" si="11"/>
        <v>0.82352779079059768</v>
      </c>
      <c r="AG38" s="5">
        <v>20568</v>
      </c>
      <c r="AH38" s="5">
        <v>5691</v>
      </c>
      <c r="AI38" s="9">
        <f t="shared" si="12"/>
        <v>7652</v>
      </c>
      <c r="AJ38" s="8">
        <v>13343</v>
      </c>
      <c r="AK38" s="10">
        <f t="shared" si="13"/>
        <v>0.64872617658498644</v>
      </c>
      <c r="AL38" s="5">
        <v>20258</v>
      </c>
      <c r="AM38" s="7">
        <v>6052</v>
      </c>
      <c r="AN38" s="9">
        <f t="shared" si="14"/>
        <v>7388</v>
      </c>
      <c r="AO38" s="8">
        <v>13440</v>
      </c>
      <c r="AP38" s="10">
        <f t="shared" si="15"/>
        <v>0.66344160331720803</v>
      </c>
      <c r="AQ38" s="22">
        <v>36918</v>
      </c>
      <c r="AR38" s="5">
        <v>22521</v>
      </c>
      <c r="AS38" s="9">
        <f t="shared" si="16"/>
        <v>8120</v>
      </c>
      <c r="AT38" s="8">
        <v>30641</v>
      </c>
      <c r="AU38" s="10">
        <f t="shared" si="17"/>
        <v>0.82997453816566447</v>
      </c>
      <c r="AV38" s="22">
        <v>23527</v>
      </c>
      <c r="AW38" s="5">
        <v>7394</v>
      </c>
      <c r="AX38" s="9">
        <f t="shared" si="18"/>
        <v>10178</v>
      </c>
      <c r="AY38" s="9">
        <v>17572</v>
      </c>
      <c r="AZ38" s="10">
        <f t="shared" si="19"/>
        <v>0.74688655587197683</v>
      </c>
      <c r="BA38" s="22">
        <v>22628</v>
      </c>
      <c r="BB38" s="5">
        <v>8005</v>
      </c>
      <c r="BC38" s="9">
        <f t="shared" si="20"/>
        <v>9748</v>
      </c>
      <c r="BD38" s="8">
        <v>17753</v>
      </c>
      <c r="BE38" s="10">
        <f t="shared" si="21"/>
        <v>0.78455895350892702</v>
      </c>
      <c r="BF38" s="9">
        <v>35459</v>
      </c>
      <c r="BG38" s="8">
        <v>14325</v>
      </c>
      <c r="BH38" s="9">
        <f t="shared" si="22"/>
        <v>16723</v>
      </c>
      <c r="BI38" s="6">
        <v>31048</v>
      </c>
      <c r="BJ38" s="10">
        <f t="shared" si="23"/>
        <v>0.87560280887785891</v>
      </c>
    </row>
    <row r="39" spans="1:63" x14ac:dyDescent="0.3">
      <c r="A39" s="29">
        <v>31</v>
      </c>
      <c r="B39" s="4" t="s">
        <v>34</v>
      </c>
      <c r="C39" s="5">
        <v>261</v>
      </c>
      <c r="D39" s="5">
        <v>71</v>
      </c>
      <c r="E39" s="9">
        <f t="shared" si="0"/>
        <v>43</v>
      </c>
      <c r="F39" s="8">
        <v>114</v>
      </c>
      <c r="G39" s="10">
        <f t="shared" si="1"/>
        <v>0.43678160919540232</v>
      </c>
      <c r="H39" s="5">
        <v>248</v>
      </c>
      <c r="I39" s="5">
        <v>63</v>
      </c>
      <c r="J39" s="9">
        <f t="shared" si="2"/>
        <v>49</v>
      </c>
      <c r="K39" s="8">
        <v>112</v>
      </c>
      <c r="L39" s="10">
        <f t="shared" si="3"/>
        <v>0.45161290322580644</v>
      </c>
      <c r="M39" s="5">
        <v>266</v>
      </c>
      <c r="N39" s="5">
        <v>69</v>
      </c>
      <c r="O39" s="9">
        <f t="shared" si="4"/>
        <v>127</v>
      </c>
      <c r="P39" s="8">
        <v>196</v>
      </c>
      <c r="Q39" s="10">
        <f t="shared" si="5"/>
        <v>0.73684210526315785</v>
      </c>
      <c r="R39" s="5">
        <v>232</v>
      </c>
      <c r="S39" s="5">
        <v>37</v>
      </c>
      <c r="T39" s="9">
        <f t="shared" si="6"/>
        <v>79</v>
      </c>
      <c r="U39" s="8">
        <v>116</v>
      </c>
      <c r="V39" s="10">
        <f t="shared" si="7"/>
        <v>0.5</v>
      </c>
      <c r="W39" s="5">
        <v>238</v>
      </c>
      <c r="X39" s="5">
        <v>41</v>
      </c>
      <c r="Y39" s="9">
        <f t="shared" si="8"/>
        <v>78</v>
      </c>
      <c r="Z39" s="8">
        <v>119</v>
      </c>
      <c r="AA39" s="10">
        <f t="shared" si="9"/>
        <v>0.5</v>
      </c>
      <c r="AB39" s="5">
        <v>289</v>
      </c>
      <c r="AC39" s="5">
        <v>92</v>
      </c>
      <c r="AD39" s="9">
        <f t="shared" si="10"/>
        <v>120</v>
      </c>
      <c r="AE39" s="8">
        <v>212</v>
      </c>
      <c r="AF39" s="10">
        <f t="shared" si="11"/>
        <v>0.73356401384083048</v>
      </c>
      <c r="AG39" s="5">
        <v>226</v>
      </c>
      <c r="AH39" s="5">
        <v>45</v>
      </c>
      <c r="AI39" s="9">
        <f t="shared" si="12"/>
        <v>80</v>
      </c>
      <c r="AJ39" s="8">
        <v>125</v>
      </c>
      <c r="AK39" s="10">
        <f t="shared" si="13"/>
        <v>0.55309734513274333</v>
      </c>
      <c r="AL39" s="5">
        <v>223</v>
      </c>
      <c r="AM39" s="7">
        <v>55</v>
      </c>
      <c r="AN39" s="9">
        <f t="shared" si="14"/>
        <v>74</v>
      </c>
      <c r="AO39" s="8">
        <v>129</v>
      </c>
      <c r="AP39" s="10">
        <f t="shared" si="15"/>
        <v>0.57847533632286996</v>
      </c>
      <c r="AQ39" s="22">
        <v>275</v>
      </c>
      <c r="AR39" s="5">
        <v>125</v>
      </c>
      <c r="AS39" s="9">
        <f t="shared" si="16"/>
        <v>84</v>
      </c>
      <c r="AT39" s="8">
        <v>209</v>
      </c>
      <c r="AU39" s="10">
        <f t="shared" si="17"/>
        <v>0.76</v>
      </c>
      <c r="AV39" s="22">
        <v>225</v>
      </c>
      <c r="AW39" s="5">
        <v>56</v>
      </c>
      <c r="AX39" s="9">
        <f t="shared" si="18"/>
        <v>108</v>
      </c>
      <c r="AY39" s="9">
        <v>164</v>
      </c>
      <c r="AZ39" s="10">
        <f t="shared" si="19"/>
        <v>0.72888888888888892</v>
      </c>
      <c r="BA39" s="22">
        <v>222</v>
      </c>
      <c r="BB39" s="5">
        <v>62</v>
      </c>
      <c r="BC39" s="9">
        <f t="shared" si="20"/>
        <v>106</v>
      </c>
      <c r="BD39" s="8">
        <v>168</v>
      </c>
      <c r="BE39" s="10">
        <f t="shared" si="21"/>
        <v>0.7567567567567568</v>
      </c>
      <c r="BF39" s="9">
        <v>272</v>
      </c>
      <c r="BG39" s="8">
        <v>68</v>
      </c>
      <c r="BH39" s="9">
        <f t="shared" si="22"/>
        <v>147</v>
      </c>
      <c r="BI39" s="6">
        <v>215</v>
      </c>
      <c r="BJ39" s="10">
        <f t="shared" si="23"/>
        <v>0.7904411764705882</v>
      </c>
    </row>
    <row r="40" spans="1:63" x14ac:dyDescent="0.3">
      <c r="A40" s="29">
        <v>32</v>
      </c>
      <c r="B40" s="4" t="s">
        <v>35</v>
      </c>
      <c r="C40" s="5">
        <v>303334</v>
      </c>
      <c r="D40" s="5">
        <v>115921</v>
      </c>
      <c r="E40" s="9">
        <f t="shared" si="0"/>
        <v>58094</v>
      </c>
      <c r="F40" s="8">
        <v>174015</v>
      </c>
      <c r="G40" s="10">
        <f t="shared" si="1"/>
        <v>0.57367456335260802</v>
      </c>
      <c r="H40" s="5">
        <v>287028</v>
      </c>
      <c r="I40" s="5">
        <v>101692</v>
      </c>
      <c r="J40" s="9">
        <f t="shared" si="2"/>
        <v>72971</v>
      </c>
      <c r="K40" s="8">
        <v>174663</v>
      </c>
      <c r="L40" s="10">
        <f t="shared" si="3"/>
        <v>0.60852251348300512</v>
      </c>
      <c r="M40" s="5">
        <v>303033</v>
      </c>
      <c r="N40" s="5">
        <v>106886</v>
      </c>
      <c r="O40" s="9">
        <f t="shared" si="4"/>
        <v>166290</v>
      </c>
      <c r="P40" s="8">
        <v>273176</v>
      </c>
      <c r="Q40" s="10">
        <f t="shared" si="5"/>
        <v>0.90147277689228567</v>
      </c>
      <c r="R40" s="5">
        <v>226941</v>
      </c>
      <c r="S40" s="5">
        <v>26862</v>
      </c>
      <c r="T40" s="9">
        <f t="shared" si="6"/>
        <v>150781</v>
      </c>
      <c r="U40" s="8">
        <v>177643</v>
      </c>
      <c r="V40" s="10">
        <f t="shared" si="7"/>
        <v>0.78277173362239527</v>
      </c>
      <c r="W40" s="5">
        <v>224663</v>
      </c>
      <c r="X40" s="5">
        <v>47725</v>
      </c>
      <c r="Y40" s="9">
        <f t="shared" si="8"/>
        <v>132210</v>
      </c>
      <c r="Z40" s="8">
        <v>179935</v>
      </c>
      <c r="AA40" s="10">
        <f t="shared" si="9"/>
        <v>0.80091069735559484</v>
      </c>
      <c r="AB40" s="5">
        <v>313197</v>
      </c>
      <c r="AC40" s="5">
        <v>193286</v>
      </c>
      <c r="AD40" s="9">
        <f t="shared" si="10"/>
        <v>87379</v>
      </c>
      <c r="AE40" s="8">
        <v>280665</v>
      </c>
      <c r="AF40" s="10">
        <f t="shared" si="11"/>
        <v>0.89612927326890102</v>
      </c>
      <c r="AG40" s="5">
        <v>217708</v>
      </c>
      <c r="AH40" s="5">
        <v>92423</v>
      </c>
      <c r="AI40" s="9">
        <f t="shared" si="12"/>
        <v>92095</v>
      </c>
      <c r="AJ40" s="8">
        <v>184518</v>
      </c>
      <c r="AK40" s="10">
        <f t="shared" si="13"/>
        <v>0.8475480919396623</v>
      </c>
      <c r="AL40" s="5">
        <v>217966</v>
      </c>
      <c r="AM40" s="7">
        <v>98893</v>
      </c>
      <c r="AN40" s="9">
        <f t="shared" si="14"/>
        <v>88627</v>
      </c>
      <c r="AO40" s="8">
        <v>187520</v>
      </c>
      <c r="AP40" s="10">
        <f t="shared" si="15"/>
        <v>0.86031766422286049</v>
      </c>
      <c r="AQ40" s="22">
        <v>320883</v>
      </c>
      <c r="AR40" s="5">
        <v>236812</v>
      </c>
      <c r="AS40" s="9">
        <f t="shared" si="16"/>
        <v>54274</v>
      </c>
      <c r="AT40" s="8">
        <v>291086</v>
      </c>
      <c r="AU40" s="10">
        <f t="shared" si="17"/>
        <v>0.90714060888236525</v>
      </c>
      <c r="AV40" s="22">
        <v>237287</v>
      </c>
      <c r="AW40" s="5">
        <v>108630</v>
      </c>
      <c r="AX40" s="9">
        <f t="shared" si="18"/>
        <v>104147</v>
      </c>
      <c r="AY40" s="9">
        <v>212777</v>
      </c>
      <c r="AZ40" s="10">
        <f t="shared" si="19"/>
        <v>0.89670736281380781</v>
      </c>
      <c r="BA40" s="22">
        <v>231690</v>
      </c>
      <c r="BB40" s="5">
        <v>114882</v>
      </c>
      <c r="BC40" s="9">
        <f t="shared" si="20"/>
        <v>100503</v>
      </c>
      <c r="BD40" s="8">
        <v>215385</v>
      </c>
      <c r="BE40" s="10">
        <f t="shared" si="21"/>
        <v>0.92962579308558846</v>
      </c>
      <c r="BF40" s="9">
        <v>314391</v>
      </c>
      <c r="BG40" s="8">
        <v>151488</v>
      </c>
      <c r="BH40" s="9">
        <f t="shared" si="22"/>
        <v>147492</v>
      </c>
      <c r="BI40" s="6">
        <v>298980</v>
      </c>
      <c r="BJ40" s="10">
        <f t="shared" si="23"/>
        <v>0.95098142122388996</v>
      </c>
    </row>
    <row r="41" spans="1:63" x14ac:dyDescent="0.3">
      <c r="A41" s="29">
        <v>33</v>
      </c>
      <c r="B41" s="4" t="s">
        <v>36</v>
      </c>
      <c r="C41" s="5">
        <v>875149</v>
      </c>
      <c r="D41" s="5">
        <v>414691</v>
      </c>
      <c r="E41" s="9">
        <f t="shared" si="0"/>
        <v>174810</v>
      </c>
      <c r="F41" s="8">
        <v>589501</v>
      </c>
      <c r="G41" s="10">
        <f t="shared" si="1"/>
        <v>0.67360072399100035</v>
      </c>
      <c r="H41" s="5">
        <v>834053</v>
      </c>
      <c r="I41" s="5">
        <v>381081</v>
      </c>
      <c r="J41" s="9">
        <f t="shared" si="2"/>
        <v>212103</v>
      </c>
      <c r="K41" s="8">
        <v>593184</v>
      </c>
      <c r="L41" s="10">
        <f t="shared" si="3"/>
        <v>0.71120660197853136</v>
      </c>
      <c r="M41" s="5">
        <v>879453</v>
      </c>
      <c r="N41" s="5">
        <v>396084</v>
      </c>
      <c r="O41" s="9">
        <f t="shared" si="4"/>
        <v>392475</v>
      </c>
      <c r="P41" s="8">
        <v>788559</v>
      </c>
      <c r="Q41" s="10">
        <f t="shared" si="5"/>
        <v>0.89664712042599204</v>
      </c>
      <c r="R41" s="5">
        <v>738453</v>
      </c>
      <c r="S41" s="5">
        <v>119368</v>
      </c>
      <c r="T41" s="9">
        <f t="shared" si="6"/>
        <v>486342</v>
      </c>
      <c r="U41" s="8">
        <v>605710</v>
      </c>
      <c r="V41" s="10">
        <f t="shared" si="7"/>
        <v>0.82024177571219836</v>
      </c>
      <c r="W41" s="5">
        <v>740008</v>
      </c>
      <c r="X41" s="5">
        <v>183117</v>
      </c>
      <c r="Y41" s="9">
        <f t="shared" si="8"/>
        <v>428232</v>
      </c>
      <c r="Z41" s="8">
        <v>611349</v>
      </c>
      <c r="AA41" s="10">
        <f t="shared" si="9"/>
        <v>0.82613836607171809</v>
      </c>
      <c r="AB41" s="5">
        <v>928683</v>
      </c>
      <c r="AC41" s="5">
        <v>592518</v>
      </c>
      <c r="AD41" s="9">
        <f t="shared" si="10"/>
        <v>220802</v>
      </c>
      <c r="AE41" s="8">
        <v>813320</v>
      </c>
      <c r="AF41" s="10">
        <f t="shared" si="11"/>
        <v>0.87577784884616172</v>
      </c>
      <c r="AG41" s="5">
        <v>734303</v>
      </c>
      <c r="AH41" s="5">
        <v>247159</v>
      </c>
      <c r="AI41" s="9">
        <f t="shared" si="12"/>
        <v>376630</v>
      </c>
      <c r="AJ41" s="8">
        <v>623789</v>
      </c>
      <c r="AK41" s="10">
        <f t="shared" si="13"/>
        <v>0.84949809547284971</v>
      </c>
      <c r="AL41" s="5">
        <v>728636</v>
      </c>
      <c r="AM41" s="7">
        <v>273421</v>
      </c>
      <c r="AN41" s="9">
        <f t="shared" si="14"/>
        <v>358020</v>
      </c>
      <c r="AO41" s="8">
        <v>631441</v>
      </c>
      <c r="AP41" s="10">
        <f t="shared" si="15"/>
        <v>0.86660692032784548</v>
      </c>
      <c r="AQ41" s="22">
        <v>923873</v>
      </c>
      <c r="AR41" s="5">
        <v>701607</v>
      </c>
      <c r="AS41" s="9">
        <f t="shared" si="16"/>
        <v>140622</v>
      </c>
      <c r="AT41" s="8">
        <v>842229</v>
      </c>
      <c r="AU41" s="10">
        <f t="shared" si="17"/>
        <v>0.91162854634782053</v>
      </c>
      <c r="AV41" s="22">
        <v>726271</v>
      </c>
      <c r="AW41" s="5">
        <v>336997</v>
      </c>
      <c r="AX41" s="9">
        <f t="shared" si="18"/>
        <v>326026</v>
      </c>
      <c r="AY41" s="9">
        <v>663023</v>
      </c>
      <c r="AZ41" s="10">
        <f t="shared" si="19"/>
        <v>0.91291404998960446</v>
      </c>
      <c r="BA41" s="22">
        <v>715104</v>
      </c>
      <c r="BB41" s="5">
        <v>358758</v>
      </c>
      <c r="BC41" s="9">
        <f t="shared" si="20"/>
        <v>312370</v>
      </c>
      <c r="BD41" s="8">
        <v>671128</v>
      </c>
      <c r="BE41" s="10">
        <f t="shared" si="21"/>
        <v>0.93850404976059432</v>
      </c>
      <c r="BF41" s="9">
        <v>910875</v>
      </c>
      <c r="BG41" s="8">
        <v>469211</v>
      </c>
      <c r="BH41" s="9">
        <f t="shared" si="22"/>
        <v>398058</v>
      </c>
      <c r="BI41" s="6">
        <v>867269</v>
      </c>
      <c r="BJ41" s="10">
        <f t="shared" si="23"/>
        <v>0.95212735007547689</v>
      </c>
    </row>
    <row r="42" spans="1:63" x14ac:dyDescent="0.3">
      <c r="A42" s="29">
        <v>34</v>
      </c>
      <c r="B42" s="4" t="s">
        <v>37</v>
      </c>
      <c r="C42" s="5">
        <v>19641</v>
      </c>
      <c r="D42" s="5">
        <v>9026</v>
      </c>
      <c r="E42" s="9">
        <f t="shared" si="0"/>
        <v>3411</v>
      </c>
      <c r="F42" s="8">
        <v>12437</v>
      </c>
      <c r="G42" s="10">
        <f t="shared" si="1"/>
        <v>0.63321623135278249</v>
      </c>
      <c r="H42" s="5">
        <v>18257</v>
      </c>
      <c r="I42" s="5">
        <v>8164</v>
      </c>
      <c r="J42" s="9">
        <f t="shared" si="2"/>
        <v>4251</v>
      </c>
      <c r="K42" s="8">
        <v>12415</v>
      </c>
      <c r="L42" s="10">
        <f t="shared" si="3"/>
        <v>0.68001314564276716</v>
      </c>
      <c r="M42" s="5">
        <v>19399</v>
      </c>
      <c r="N42" s="5">
        <v>8800</v>
      </c>
      <c r="O42" s="9">
        <f t="shared" si="4"/>
        <v>8207</v>
      </c>
      <c r="P42" s="8">
        <v>17007</v>
      </c>
      <c r="Q42" s="10">
        <f t="shared" si="5"/>
        <v>0.8766946749832466</v>
      </c>
      <c r="R42" s="5">
        <v>15746</v>
      </c>
      <c r="S42" s="5">
        <v>3064</v>
      </c>
      <c r="T42" s="9">
        <f t="shared" si="6"/>
        <v>9615</v>
      </c>
      <c r="U42" s="8">
        <v>12679</v>
      </c>
      <c r="V42" s="10">
        <f t="shared" si="7"/>
        <v>0.80522037342817221</v>
      </c>
      <c r="W42" s="5">
        <v>15724</v>
      </c>
      <c r="X42" s="5">
        <v>3876</v>
      </c>
      <c r="Y42" s="9">
        <f t="shared" si="8"/>
        <v>8910</v>
      </c>
      <c r="Z42" s="8">
        <v>12786</v>
      </c>
      <c r="AA42" s="10">
        <f t="shared" si="9"/>
        <v>0.81315186975324349</v>
      </c>
      <c r="AB42" s="5">
        <v>20172</v>
      </c>
      <c r="AC42" s="5">
        <v>11826</v>
      </c>
      <c r="AD42" s="9">
        <f t="shared" si="10"/>
        <v>5509</v>
      </c>
      <c r="AE42" s="8">
        <v>17335</v>
      </c>
      <c r="AF42" s="10">
        <f t="shared" si="11"/>
        <v>0.85935950822922869</v>
      </c>
      <c r="AG42" s="5">
        <v>15422</v>
      </c>
      <c r="AH42" s="5">
        <v>5214</v>
      </c>
      <c r="AI42" s="9">
        <f t="shared" si="12"/>
        <v>7773</v>
      </c>
      <c r="AJ42" s="8">
        <v>12987</v>
      </c>
      <c r="AK42" s="10">
        <f t="shared" si="13"/>
        <v>0.84210867591752048</v>
      </c>
      <c r="AL42" s="5">
        <v>15413</v>
      </c>
      <c r="AM42" s="7">
        <v>5748</v>
      </c>
      <c r="AN42" s="9">
        <f t="shared" si="14"/>
        <v>7371</v>
      </c>
      <c r="AO42" s="8">
        <v>13119</v>
      </c>
      <c r="AP42" s="10">
        <f t="shared" si="15"/>
        <v>0.85116460131058203</v>
      </c>
      <c r="AQ42" s="22">
        <v>20149</v>
      </c>
      <c r="AR42" s="5">
        <v>14250</v>
      </c>
      <c r="AS42" s="9">
        <f t="shared" si="16"/>
        <v>3515</v>
      </c>
      <c r="AT42" s="8">
        <v>17765</v>
      </c>
      <c r="AU42" s="10">
        <f t="shared" si="17"/>
        <v>0.88168147302595667</v>
      </c>
      <c r="AV42" s="22">
        <v>15728</v>
      </c>
      <c r="AW42" s="5">
        <v>6751</v>
      </c>
      <c r="AX42" s="9">
        <f t="shared" si="18"/>
        <v>7277</v>
      </c>
      <c r="AY42" s="9">
        <v>14028</v>
      </c>
      <c r="AZ42" s="10">
        <f t="shared" si="19"/>
        <v>0.891912512716175</v>
      </c>
      <c r="BA42" s="22">
        <v>15666</v>
      </c>
      <c r="BB42" s="5">
        <v>7238</v>
      </c>
      <c r="BC42" s="9">
        <f t="shared" si="20"/>
        <v>6934</v>
      </c>
      <c r="BD42" s="8">
        <v>14172</v>
      </c>
      <c r="BE42" s="10">
        <f t="shared" si="21"/>
        <v>0.90463423975488322</v>
      </c>
      <c r="BF42" s="9">
        <v>19723</v>
      </c>
      <c r="BG42" s="8">
        <v>9293</v>
      </c>
      <c r="BH42" s="9">
        <f t="shared" si="22"/>
        <v>8846</v>
      </c>
      <c r="BI42" s="6">
        <v>18139</v>
      </c>
      <c r="BJ42" s="10">
        <f t="shared" si="23"/>
        <v>0.9196876742889013</v>
      </c>
    </row>
    <row r="43" spans="1:63" x14ac:dyDescent="0.3">
      <c r="A43" s="29">
        <v>35</v>
      </c>
      <c r="B43" s="4" t="s">
        <v>47</v>
      </c>
      <c r="C43" s="5">
        <v>3848</v>
      </c>
      <c r="D43" s="5">
        <v>1018</v>
      </c>
      <c r="E43" s="9">
        <f t="shared" si="0"/>
        <v>1085</v>
      </c>
      <c r="F43" s="8">
        <v>2103</v>
      </c>
      <c r="G43" s="10">
        <f t="shared" si="1"/>
        <v>0.5465176715176715</v>
      </c>
      <c r="H43" s="5">
        <v>3734</v>
      </c>
      <c r="I43" s="5">
        <v>955</v>
      </c>
      <c r="J43" s="9">
        <f t="shared" si="2"/>
        <v>1150</v>
      </c>
      <c r="K43" s="8">
        <v>2105</v>
      </c>
      <c r="L43" s="10">
        <f t="shared" si="3"/>
        <v>0.56373861810391002</v>
      </c>
      <c r="M43" s="5">
        <v>3825</v>
      </c>
      <c r="N43" s="5">
        <v>1137</v>
      </c>
      <c r="O43" s="9">
        <f t="shared" si="4"/>
        <v>2266</v>
      </c>
      <c r="P43" s="8">
        <v>3403</v>
      </c>
      <c r="Q43" s="10">
        <f t="shared" si="5"/>
        <v>0.8896732026143791</v>
      </c>
      <c r="R43" s="5">
        <v>3160</v>
      </c>
      <c r="S43" s="5">
        <v>246</v>
      </c>
      <c r="T43" s="9">
        <f t="shared" si="6"/>
        <v>1893</v>
      </c>
      <c r="U43" s="8">
        <v>2139</v>
      </c>
      <c r="V43" s="10">
        <f t="shared" si="7"/>
        <v>0.67689873417721524</v>
      </c>
      <c r="W43" s="5">
        <v>3114</v>
      </c>
      <c r="X43" s="5">
        <v>403</v>
      </c>
      <c r="Y43" s="9">
        <f t="shared" si="8"/>
        <v>1732</v>
      </c>
      <c r="Z43" s="8">
        <v>2135</v>
      </c>
      <c r="AA43" s="10">
        <f t="shared" si="9"/>
        <v>0.68561335902376364</v>
      </c>
      <c r="AB43" s="5">
        <v>3868</v>
      </c>
      <c r="AC43" s="5">
        <v>1474</v>
      </c>
      <c r="AD43" s="9">
        <f t="shared" si="10"/>
        <v>1955</v>
      </c>
      <c r="AE43" s="8">
        <v>3429</v>
      </c>
      <c r="AF43" s="10">
        <f t="shared" si="11"/>
        <v>0.88650465356773522</v>
      </c>
      <c r="AG43" s="5">
        <v>3008</v>
      </c>
      <c r="AH43" s="5">
        <v>477</v>
      </c>
      <c r="AI43" s="9">
        <f t="shared" si="12"/>
        <v>1688</v>
      </c>
      <c r="AJ43" s="8">
        <v>2165</v>
      </c>
      <c r="AK43" s="10">
        <f t="shared" si="13"/>
        <v>0.7197473404255319</v>
      </c>
      <c r="AL43" s="5">
        <v>2995</v>
      </c>
      <c r="AM43" s="7">
        <v>538</v>
      </c>
      <c r="AN43" s="9">
        <f t="shared" si="14"/>
        <v>1644</v>
      </c>
      <c r="AO43" s="8">
        <v>2182</v>
      </c>
      <c r="AP43" s="10">
        <f t="shared" si="15"/>
        <v>0.7285475792988314</v>
      </c>
      <c r="AQ43" s="22">
        <v>4014</v>
      </c>
      <c r="AR43" s="5">
        <v>2186</v>
      </c>
      <c r="AS43" s="9">
        <f t="shared" si="16"/>
        <v>1339</v>
      </c>
      <c r="AT43" s="8">
        <v>3525</v>
      </c>
      <c r="AU43" s="10">
        <f t="shared" si="17"/>
        <v>0.87817638266068765</v>
      </c>
      <c r="AV43" s="22">
        <v>3140</v>
      </c>
      <c r="AW43" s="5">
        <v>784</v>
      </c>
      <c r="AX43" s="9">
        <f t="shared" si="18"/>
        <v>1924</v>
      </c>
      <c r="AY43" s="9">
        <v>2708</v>
      </c>
      <c r="AZ43" s="10">
        <f t="shared" si="19"/>
        <v>0.86242038216560513</v>
      </c>
      <c r="BA43" s="22">
        <v>3100</v>
      </c>
      <c r="BB43" s="5">
        <v>829</v>
      </c>
      <c r="BC43" s="9">
        <f t="shared" si="20"/>
        <v>1906</v>
      </c>
      <c r="BD43" s="8">
        <v>2735</v>
      </c>
      <c r="BE43" s="10">
        <f t="shared" si="21"/>
        <v>0.88225806451612898</v>
      </c>
      <c r="BF43" s="9">
        <v>3984</v>
      </c>
      <c r="BG43" s="8">
        <v>1182</v>
      </c>
      <c r="BH43" s="9">
        <f t="shared" si="22"/>
        <v>2453</v>
      </c>
      <c r="BI43" s="6">
        <v>3635</v>
      </c>
      <c r="BJ43" s="10">
        <f t="shared" si="23"/>
        <v>0.91239959839357432</v>
      </c>
    </row>
    <row r="44" spans="1:63" x14ac:dyDescent="0.3">
      <c r="A44" s="29">
        <v>36</v>
      </c>
      <c r="B44" s="4" t="s">
        <v>38</v>
      </c>
      <c r="C44" s="5">
        <v>356902</v>
      </c>
      <c r="D44" s="5">
        <v>129954</v>
      </c>
      <c r="E44" s="9">
        <f t="shared" si="0"/>
        <v>61747</v>
      </c>
      <c r="F44" s="8">
        <v>191701</v>
      </c>
      <c r="G44" s="10">
        <f t="shared" si="1"/>
        <v>0.53712503712503712</v>
      </c>
      <c r="H44" s="5">
        <v>334097</v>
      </c>
      <c r="I44" s="5">
        <v>121851</v>
      </c>
      <c r="J44" s="9">
        <f t="shared" si="2"/>
        <v>70950</v>
      </c>
      <c r="K44" s="8">
        <v>192801</v>
      </c>
      <c r="L44" s="10">
        <f t="shared" si="3"/>
        <v>0.57708090764059539</v>
      </c>
      <c r="M44" s="5">
        <v>358237</v>
      </c>
      <c r="N44" s="5">
        <v>136097</v>
      </c>
      <c r="O44" s="9">
        <f t="shared" si="4"/>
        <v>149479</v>
      </c>
      <c r="P44" s="8">
        <v>285576</v>
      </c>
      <c r="Q44" s="10">
        <f t="shared" si="5"/>
        <v>0.79717058818603326</v>
      </c>
      <c r="R44" s="5">
        <v>284869</v>
      </c>
      <c r="S44" s="5">
        <v>37224</v>
      </c>
      <c r="T44" s="9">
        <f t="shared" si="6"/>
        <v>159517</v>
      </c>
      <c r="U44" s="8">
        <v>196741</v>
      </c>
      <c r="V44" s="10">
        <f t="shared" si="7"/>
        <v>0.69063674882138804</v>
      </c>
      <c r="W44" s="5">
        <v>281986</v>
      </c>
      <c r="X44" s="5">
        <v>48092</v>
      </c>
      <c r="Y44" s="9">
        <f t="shared" si="8"/>
        <v>150401</v>
      </c>
      <c r="Z44" s="8">
        <v>198493</v>
      </c>
      <c r="AA44" s="10">
        <f t="shared" si="9"/>
        <v>0.70391083245267494</v>
      </c>
      <c r="AB44" s="5">
        <v>371659</v>
      </c>
      <c r="AC44" s="5">
        <v>176167</v>
      </c>
      <c r="AD44" s="9">
        <f t="shared" si="10"/>
        <v>117185</v>
      </c>
      <c r="AE44" s="8">
        <v>293352</v>
      </c>
      <c r="AF44" s="10">
        <f t="shared" si="11"/>
        <v>0.78930417398744546</v>
      </c>
      <c r="AG44" s="5">
        <v>277254</v>
      </c>
      <c r="AH44" s="5">
        <v>58039</v>
      </c>
      <c r="AI44" s="9">
        <f t="shared" si="12"/>
        <v>144606</v>
      </c>
      <c r="AJ44" s="8">
        <v>202645</v>
      </c>
      <c r="AK44" s="10">
        <f t="shared" si="13"/>
        <v>0.73090018538957058</v>
      </c>
      <c r="AL44" s="5">
        <v>276584</v>
      </c>
      <c r="AM44" s="7">
        <v>61892</v>
      </c>
      <c r="AN44" s="9">
        <f t="shared" si="14"/>
        <v>143874</v>
      </c>
      <c r="AO44" s="8">
        <v>205766</v>
      </c>
      <c r="AP44" s="10">
        <f t="shared" si="15"/>
        <v>0.74395482023544379</v>
      </c>
      <c r="AQ44" s="22">
        <v>381213</v>
      </c>
      <c r="AR44" s="5">
        <v>227185</v>
      </c>
      <c r="AS44" s="9">
        <f t="shared" si="16"/>
        <v>79479</v>
      </c>
      <c r="AT44" s="8">
        <v>306664</v>
      </c>
      <c r="AU44" s="10">
        <f t="shared" si="17"/>
        <v>0.80444266066477266</v>
      </c>
      <c r="AV44" s="22">
        <v>286200</v>
      </c>
      <c r="AW44" s="5">
        <v>84376</v>
      </c>
      <c r="AX44" s="9">
        <f t="shared" si="18"/>
        <v>140928</v>
      </c>
      <c r="AY44" s="9">
        <v>225304</v>
      </c>
      <c r="AZ44" s="10">
        <f t="shared" si="19"/>
        <v>0.78722571628232008</v>
      </c>
      <c r="BA44" s="22">
        <v>282748</v>
      </c>
      <c r="BB44" s="5">
        <v>89799</v>
      </c>
      <c r="BC44" s="9">
        <f t="shared" si="20"/>
        <v>139545</v>
      </c>
      <c r="BD44" s="8">
        <v>229344</v>
      </c>
      <c r="BE44" s="10">
        <f t="shared" si="21"/>
        <v>0.81112510079646893</v>
      </c>
      <c r="BF44" s="9">
        <v>372165</v>
      </c>
      <c r="BG44" s="8">
        <v>127888</v>
      </c>
      <c r="BH44" s="9">
        <f t="shared" si="22"/>
        <v>189933</v>
      </c>
      <c r="BI44" s="6">
        <v>317821</v>
      </c>
      <c r="BJ44" s="10">
        <f t="shared" si="23"/>
        <v>0.85397874598632328</v>
      </c>
    </row>
    <row r="45" spans="1:63" x14ac:dyDescent="0.3">
      <c r="A45" s="29">
        <v>37</v>
      </c>
      <c r="B45" s="4" t="s">
        <v>39</v>
      </c>
      <c r="C45" s="5">
        <v>282260</v>
      </c>
      <c r="D45" s="5">
        <v>117881</v>
      </c>
      <c r="E45" s="9">
        <f t="shared" si="0"/>
        <v>49629</v>
      </c>
      <c r="F45" s="8">
        <v>167510</v>
      </c>
      <c r="G45" s="10">
        <f t="shared" si="1"/>
        <v>0.59345993056047619</v>
      </c>
      <c r="H45" s="5">
        <v>264867</v>
      </c>
      <c r="I45" s="5">
        <v>108710</v>
      </c>
      <c r="J45" s="9">
        <f t="shared" si="2"/>
        <v>59043</v>
      </c>
      <c r="K45" s="8">
        <v>167753</v>
      </c>
      <c r="L45" s="10">
        <f t="shared" si="3"/>
        <v>0.63334805770443281</v>
      </c>
      <c r="M45" s="5">
        <v>281786</v>
      </c>
      <c r="N45" s="5">
        <v>111413</v>
      </c>
      <c r="O45" s="9">
        <f t="shared" si="4"/>
        <v>129924</v>
      </c>
      <c r="P45" s="8">
        <v>241337</v>
      </c>
      <c r="Q45" s="10">
        <f t="shared" si="5"/>
        <v>0.85645489839807509</v>
      </c>
      <c r="R45" s="5">
        <v>221339</v>
      </c>
      <c r="S45" s="5">
        <v>30291</v>
      </c>
      <c r="T45" s="9">
        <f t="shared" si="6"/>
        <v>140346</v>
      </c>
      <c r="U45" s="8">
        <v>170637</v>
      </c>
      <c r="V45" s="10">
        <f t="shared" si="7"/>
        <v>0.770930563524729</v>
      </c>
      <c r="W45" s="5">
        <v>220187</v>
      </c>
      <c r="X45" s="5">
        <v>42717</v>
      </c>
      <c r="Y45" s="9">
        <f t="shared" si="8"/>
        <v>128839</v>
      </c>
      <c r="Z45" s="8">
        <v>171556</v>
      </c>
      <c r="AA45" s="10">
        <f t="shared" si="9"/>
        <v>0.77913773292701205</v>
      </c>
      <c r="AB45" s="5">
        <v>291802</v>
      </c>
      <c r="AC45" s="5">
        <v>160948</v>
      </c>
      <c r="AD45" s="9">
        <f t="shared" si="10"/>
        <v>84800</v>
      </c>
      <c r="AE45" s="8">
        <v>245748</v>
      </c>
      <c r="AF45" s="10">
        <f t="shared" si="11"/>
        <v>0.84217380278407961</v>
      </c>
      <c r="AG45" s="5">
        <v>216277</v>
      </c>
      <c r="AH45" s="5">
        <v>54902</v>
      </c>
      <c r="AI45" s="9">
        <f t="shared" si="12"/>
        <v>119865</v>
      </c>
      <c r="AJ45" s="8">
        <v>174767</v>
      </c>
      <c r="AK45" s="10">
        <f t="shared" si="13"/>
        <v>0.8080702062632642</v>
      </c>
      <c r="AL45" s="5">
        <v>214950</v>
      </c>
      <c r="AM45" s="7">
        <v>61074</v>
      </c>
      <c r="AN45" s="9">
        <f t="shared" si="14"/>
        <v>115742</v>
      </c>
      <c r="AO45" s="8">
        <v>176816</v>
      </c>
      <c r="AP45" s="10">
        <f t="shared" si="15"/>
        <v>0.82259130030239591</v>
      </c>
      <c r="AQ45" s="22">
        <v>297340</v>
      </c>
      <c r="AR45" s="5">
        <v>202786</v>
      </c>
      <c r="AS45" s="9">
        <f t="shared" si="16"/>
        <v>52920</v>
      </c>
      <c r="AT45" s="8">
        <v>255706</v>
      </c>
      <c r="AU45" s="10">
        <f t="shared" si="17"/>
        <v>0.85997847581892783</v>
      </c>
      <c r="AV45" s="22">
        <v>215263</v>
      </c>
      <c r="AW45" s="5">
        <v>82991</v>
      </c>
      <c r="AX45" s="9">
        <f t="shared" si="18"/>
        <v>99767</v>
      </c>
      <c r="AY45" s="9">
        <v>182758</v>
      </c>
      <c r="AZ45" s="10">
        <f t="shared" si="19"/>
        <v>0.84899866674718827</v>
      </c>
      <c r="BA45" s="22">
        <v>211125</v>
      </c>
      <c r="BB45" s="5">
        <v>83653</v>
      </c>
      <c r="BC45" s="9">
        <f t="shared" si="20"/>
        <v>101667</v>
      </c>
      <c r="BD45" s="8">
        <v>185320</v>
      </c>
      <c r="BE45" s="10">
        <f t="shared" si="21"/>
        <v>0.87777383066903492</v>
      </c>
      <c r="BF45" s="9">
        <v>290704</v>
      </c>
      <c r="BG45" s="8">
        <v>117554</v>
      </c>
      <c r="BH45" s="9">
        <f t="shared" si="22"/>
        <v>145220</v>
      </c>
      <c r="BI45" s="6">
        <v>262774</v>
      </c>
      <c r="BJ45" s="10">
        <f t="shared" si="23"/>
        <v>0.90392289063789977</v>
      </c>
    </row>
    <row r="46" spans="1:63" x14ac:dyDescent="0.3">
      <c r="A46" s="29">
        <v>38</v>
      </c>
      <c r="B46" s="4" t="s">
        <v>40</v>
      </c>
      <c r="C46" s="5">
        <v>2812</v>
      </c>
      <c r="D46" s="5">
        <v>262</v>
      </c>
      <c r="E46" s="9">
        <f t="shared" si="0"/>
        <v>247</v>
      </c>
      <c r="F46" s="8">
        <v>509</v>
      </c>
      <c r="G46" s="10">
        <f t="shared" si="1"/>
        <v>0.18100995732574679</v>
      </c>
      <c r="H46" s="5">
        <v>2129</v>
      </c>
      <c r="I46" s="5">
        <v>252</v>
      </c>
      <c r="J46" s="9">
        <f t="shared" si="2"/>
        <v>275</v>
      </c>
      <c r="K46" s="8">
        <v>527</v>
      </c>
      <c r="L46" s="10">
        <f t="shared" si="3"/>
        <v>0.24753405354626584</v>
      </c>
      <c r="M46" s="5">
        <v>3108</v>
      </c>
      <c r="N46" s="5">
        <v>954</v>
      </c>
      <c r="O46" s="9">
        <f t="shared" si="4"/>
        <v>1780</v>
      </c>
      <c r="P46" s="8">
        <v>2734</v>
      </c>
      <c r="Q46" s="10">
        <f t="shared" si="5"/>
        <v>0.87966537966537972</v>
      </c>
      <c r="R46" s="5">
        <v>1509</v>
      </c>
      <c r="S46" s="5">
        <v>113</v>
      </c>
      <c r="T46" s="9">
        <f t="shared" si="6"/>
        <v>449</v>
      </c>
      <c r="U46" s="8">
        <v>562</v>
      </c>
      <c r="V46" s="10">
        <f t="shared" si="7"/>
        <v>0.37243207422133862</v>
      </c>
      <c r="W46" s="5">
        <v>1439</v>
      </c>
      <c r="X46" s="5">
        <v>124</v>
      </c>
      <c r="Y46" s="9">
        <f t="shared" si="8"/>
        <v>462</v>
      </c>
      <c r="Z46" s="8">
        <v>586</v>
      </c>
      <c r="AA46" s="10">
        <f t="shared" si="9"/>
        <v>0.40722724113968034</v>
      </c>
      <c r="AB46" s="5">
        <v>3518</v>
      </c>
      <c r="AC46" s="5">
        <v>1180</v>
      </c>
      <c r="AD46" s="9">
        <f t="shared" si="10"/>
        <v>1891</v>
      </c>
      <c r="AE46" s="8">
        <v>3071</v>
      </c>
      <c r="AF46" s="10">
        <f t="shared" si="11"/>
        <v>0.87293916998294485</v>
      </c>
      <c r="AG46" s="5">
        <v>1259</v>
      </c>
      <c r="AH46" s="5">
        <v>131</v>
      </c>
      <c r="AI46" s="9">
        <f t="shared" si="12"/>
        <v>489</v>
      </c>
      <c r="AJ46" s="8">
        <v>620</v>
      </c>
      <c r="AK46" s="10">
        <f t="shared" si="13"/>
        <v>0.4924543288324067</v>
      </c>
      <c r="AL46" s="5">
        <v>1219</v>
      </c>
      <c r="AM46" s="7">
        <v>187</v>
      </c>
      <c r="AN46" s="9">
        <f t="shared" si="14"/>
        <v>447</v>
      </c>
      <c r="AO46" s="8">
        <v>634</v>
      </c>
      <c r="AP46" s="10">
        <f t="shared" si="15"/>
        <v>0.52009844134536509</v>
      </c>
      <c r="AQ46" s="22">
        <v>3842</v>
      </c>
      <c r="AR46" s="5">
        <v>1914</v>
      </c>
      <c r="AS46" s="9">
        <f t="shared" si="16"/>
        <v>1389</v>
      </c>
      <c r="AT46" s="8">
        <v>3303</v>
      </c>
      <c r="AU46" s="10">
        <f t="shared" si="17"/>
        <v>0.85970848516397713</v>
      </c>
      <c r="AV46" s="22">
        <v>1986</v>
      </c>
      <c r="AW46" s="5">
        <v>360</v>
      </c>
      <c r="AX46" s="9">
        <f t="shared" si="18"/>
        <v>1155</v>
      </c>
      <c r="AY46" s="9">
        <v>1515</v>
      </c>
      <c r="AZ46" s="10">
        <f t="shared" si="19"/>
        <v>0.76283987915407858</v>
      </c>
      <c r="BA46" s="22">
        <v>2072</v>
      </c>
      <c r="BB46" s="5">
        <v>436</v>
      </c>
      <c r="BC46" s="9">
        <f t="shared" si="20"/>
        <v>1268</v>
      </c>
      <c r="BD46" s="8">
        <v>1704</v>
      </c>
      <c r="BE46" s="10">
        <f t="shared" si="21"/>
        <v>0.82239382239382242</v>
      </c>
      <c r="BF46" s="9">
        <v>4235</v>
      </c>
      <c r="BG46" s="8">
        <v>1073</v>
      </c>
      <c r="BH46" s="9">
        <f t="shared" si="22"/>
        <v>2712</v>
      </c>
      <c r="BI46" s="6">
        <v>3785</v>
      </c>
      <c r="BJ46" s="10">
        <f t="shared" si="23"/>
        <v>0.89374262101534829</v>
      </c>
    </row>
    <row r="47" spans="1:63" x14ac:dyDescent="0.3">
      <c r="A47" s="30">
        <v>97</v>
      </c>
      <c r="B47" s="11" t="s">
        <v>26</v>
      </c>
      <c r="C47" s="12">
        <v>81</v>
      </c>
      <c r="D47" s="12">
        <v>55</v>
      </c>
      <c r="E47" s="13">
        <f t="shared" si="0"/>
        <v>4</v>
      </c>
      <c r="F47" s="8">
        <v>59</v>
      </c>
      <c r="G47" s="15">
        <f t="shared" si="1"/>
        <v>0.72839506172839508</v>
      </c>
      <c r="H47" s="12">
        <v>77</v>
      </c>
      <c r="I47" s="12">
        <v>54</v>
      </c>
      <c r="J47" s="13">
        <f t="shared" si="2"/>
        <v>5</v>
      </c>
      <c r="K47" s="8">
        <v>59</v>
      </c>
      <c r="L47" s="15">
        <f t="shared" si="3"/>
        <v>0.76623376623376627</v>
      </c>
      <c r="M47" s="12">
        <v>81</v>
      </c>
      <c r="N47" s="12">
        <v>59</v>
      </c>
      <c r="O47" s="13">
        <f t="shared" si="4"/>
        <v>7</v>
      </c>
      <c r="P47" s="8">
        <v>66</v>
      </c>
      <c r="Q47" s="15">
        <f t="shared" si="5"/>
        <v>0.81481481481481477</v>
      </c>
      <c r="R47" s="12">
        <v>75</v>
      </c>
      <c r="S47" s="12">
        <v>33</v>
      </c>
      <c r="T47" s="13">
        <f t="shared" si="6"/>
        <v>27</v>
      </c>
      <c r="U47" s="8">
        <v>60</v>
      </c>
      <c r="V47" s="15">
        <f t="shared" si="7"/>
        <v>0.8</v>
      </c>
      <c r="W47" s="12">
        <v>75</v>
      </c>
      <c r="X47" s="12">
        <v>51</v>
      </c>
      <c r="Y47" s="13">
        <f t="shared" si="8"/>
        <v>9</v>
      </c>
      <c r="Z47" s="8">
        <v>60</v>
      </c>
      <c r="AA47" s="15">
        <f t="shared" si="9"/>
        <v>0.8</v>
      </c>
      <c r="AB47" s="12">
        <v>82</v>
      </c>
      <c r="AC47" s="12">
        <v>61</v>
      </c>
      <c r="AD47" s="13">
        <f t="shared" si="10"/>
        <v>5</v>
      </c>
      <c r="AE47" s="8">
        <v>66</v>
      </c>
      <c r="AF47" s="15">
        <f t="shared" si="11"/>
        <v>0.80487804878048785</v>
      </c>
      <c r="AG47" s="12">
        <v>75</v>
      </c>
      <c r="AH47" s="12">
        <v>51</v>
      </c>
      <c r="AI47" s="13">
        <f t="shared" si="12"/>
        <v>9</v>
      </c>
      <c r="AJ47" s="8">
        <v>60</v>
      </c>
      <c r="AK47" s="15">
        <f t="shared" si="13"/>
        <v>0.8</v>
      </c>
      <c r="AL47" s="12">
        <v>75</v>
      </c>
      <c r="AM47" s="16">
        <v>49</v>
      </c>
      <c r="AN47" s="13">
        <f t="shared" si="14"/>
        <v>11</v>
      </c>
      <c r="AO47" s="8">
        <v>60</v>
      </c>
      <c r="AP47" s="15">
        <f t="shared" si="15"/>
        <v>0.8</v>
      </c>
      <c r="AQ47" s="23">
        <v>81</v>
      </c>
      <c r="AR47" s="12">
        <v>61</v>
      </c>
      <c r="AS47" s="13">
        <f t="shared" si="16"/>
        <v>6</v>
      </c>
      <c r="AT47" s="8">
        <v>67</v>
      </c>
      <c r="AU47" s="15">
        <f t="shared" si="17"/>
        <v>0.8271604938271605</v>
      </c>
      <c r="AV47" s="23">
        <v>74</v>
      </c>
      <c r="AW47" s="12">
        <v>45</v>
      </c>
      <c r="AX47" s="13">
        <f t="shared" si="18"/>
        <v>17</v>
      </c>
      <c r="AY47" s="9">
        <v>62</v>
      </c>
      <c r="AZ47" s="15">
        <f t="shared" si="19"/>
        <v>0.83783783783783783</v>
      </c>
      <c r="BA47" s="23">
        <v>75</v>
      </c>
      <c r="BB47" s="12">
        <v>54</v>
      </c>
      <c r="BC47" s="13">
        <f t="shared" si="20"/>
        <v>9</v>
      </c>
      <c r="BD47" s="8">
        <v>63</v>
      </c>
      <c r="BE47" s="15">
        <f t="shared" si="21"/>
        <v>0.84</v>
      </c>
      <c r="BF47" s="13">
        <v>81</v>
      </c>
      <c r="BG47" s="17">
        <v>63</v>
      </c>
      <c r="BH47" s="13">
        <f t="shared" si="22"/>
        <v>6</v>
      </c>
      <c r="BI47" s="14">
        <v>69</v>
      </c>
      <c r="BJ47" s="15">
        <f t="shared" si="23"/>
        <v>0.85185185185185186</v>
      </c>
    </row>
    <row r="48" spans="1:63" s="2" customFormat="1" ht="15.6" x14ac:dyDescent="0.3">
      <c r="A48" s="39" t="s">
        <v>41</v>
      </c>
      <c r="B48" s="39"/>
      <c r="C48" s="20">
        <f>SUM(C10:C47)</f>
        <v>10396914</v>
      </c>
      <c r="D48" s="21">
        <f>SUM(D10:D47)</f>
        <v>2664157</v>
      </c>
      <c r="E48" s="18">
        <f t="shared" si="0"/>
        <v>1253873</v>
      </c>
      <c r="F48" s="20">
        <f>SUM(F10:F47)</f>
        <v>3918030</v>
      </c>
      <c r="G48" s="19">
        <f t="shared" si="1"/>
        <v>0.37684547549397829</v>
      </c>
      <c r="H48" s="20">
        <f>SUM(H10:H47)</f>
        <v>9602035</v>
      </c>
      <c r="I48" s="21">
        <f>SUM(I10:I47)</f>
        <v>2476776</v>
      </c>
      <c r="J48" s="18">
        <f t="shared" si="2"/>
        <v>1452694</v>
      </c>
      <c r="K48" s="20">
        <f>SUM(K10:K47)</f>
        <v>3929470</v>
      </c>
      <c r="L48" s="19">
        <f t="shared" si="3"/>
        <v>0.40923304278728417</v>
      </c>
      <c r="M48" s="20">
        <f>SUM(M10:M47)</f>
        <v>10398099</v>
      </c>
      <c r="N48" s="21">
        <f>SUM(N10:N47)</f>
        <v>4118319</v>
      </c>
      <c r="O48" s="18">
        <f t="shared" si="4"/>
        <v>5094358</v>
      </c>
      <c r="P48" s="20">
        <f>SUM(P10:P47)</f>
        <v>9212677</v>
      </c>
      <c r="Q48" s="19">
        <f t="shared" si="5"/>
        <v>0.88599627681944559</v>
      </c>
      <c r="R48" s="20">
        <f>SUM(R10:R47)</f>
        <v>6012285</v>
      </c>
      <c r="S48" s="21">
        <f>SUM(S10:S47)</f>
        <v>919769</v>
      </c>
      <c r="T48" s="18">
        <f t="shared" si="6"/>
        <v>3085127</v>
      </c>
      <c r="U48" s="20">
        <f>SUM(U10:U47)</f>
        <v>4004896</v>
      </c>
      <c r="V48" s="19">
        <f t="shared" si="7"/>
        <v>0.66611878844732075</v>
      </c>
      <c r="W48" s="20">
        <f>SUM(W10:W47)</f>
        <v>5810614</v>
      </c>
      <c r="X48" s="21">
        <f>SUM(X10:X47)</f>
        <v>1213657</v>
      </c>
      <c r="Y48" s="18">
        <f t="shared" si="8"/>
        <v>2823529</v>
      </c>
      <c r="Z48" s="20">
        <f>SUM(Z10:Z47)</f>
        <v>4037186</v>
      </c>
      <c r="AA48" s="19">
        <f t="shared" si="9"/>
        <v>0.69479507673371521</v>
      </c>
      <c r="AB48" s="20">
        <f>SUM(AB10:AB47)</f>
        <v>10851006</v>
      </c>
      <c r="AC48" s="21">
        <f>SUM(AC10:AC47)</f>
        <v>5871022</v>
      </c>
      <c r="AD48" s="18">
        <f t="shared" si="10"/>
        <v>3618519</v>
      </c>
      <c r="AE48" s="20">
        <f>SUM(AE10:AE47)</f>
        <v>9489541</v>
      </c>
      <c r="AF48" s="19">
        <f t="shared" si="11"/>
        <v>0.87453098818671748</v>
      </c>
      <c r="AG48" s="20">
        <f>SUM(AG10:AG47)</f>
        <v>5463094</v>
      </c>
      <c r="AH48" s="21">
        <f>SUM(AH10:AH47)</f>
        <v>1530232</v>
      </c>
      <c r="AI48" s="18">
        <f t="shared" si="12"/>
        <v>2580283</v>
      </c>
      <c r="AJ48" s="20">
        <f>SUM(AJ10:AJ47)</f>
        <v>4110515</v>
      </c>
      <c r="AK48" s="19">
        <f t="shared" si="13"/>
        <v>0.75241520647457283</v>
      </c>
      <c r="AL48" s="20">
        <f>SUM(AL10:AL47)</f>
        <v>5348264</v>
      </c>
      <c r="AM48" s="21">
        <f>SUM(AM10:AM47)</f>
        <v>1635870</v>
      </c>
      <c r="AN48" s="18">
        <f t="shared" si="14"/>
        <v>2523390</v>
      </c>
      <c r="AO48" s="20">
        <f>SUM(AO10:AO47)</f>
        <v>4159260</v>
      </c>
      <c r="AP48" s="19">
        <f t="shared" si="15"/>
        <v>0.77768412329683057</v>
      </c>
      <c r="AQ48" s="20">
        <f>SUM(AQ10:AQ47)</f>
        <v>10984214</v>
      </c>
      <c r="AR48" s="21">
        <f>SUM(AR10:AR47)</f>
        <v>7545072</v>
      </c>
      <c r="AS48" s="18">
        <f t="shared" si="16"/>
        <v>2270929</v>
      </c>
      <c r="AT48" s="20">
        <f>SUM(AT10:AT47)</f>
        <v>9816001</v>
      </c>
      <c r="AU48" s="19">
        <f t="shared" si="17"/>
        <v>0.89364619079708385</v>
      </c>
      <c r="AV48" s="20">
        <f>SUM(AV10:AV47)</f>
        <v>6262450</v>
      </c>
      <c r="AW48" s="21">
        <f>SUM(AW10:AW47)</f>
        <v>2480273</v>
      </c>
      <c r="AX48" s="18">
        <f t="shared" si="18"/>
        <v>2882430</v>
      </c>
      <c r="AY48" s="20">
        <f>SUM(AY10:AY47)</f>
        <v>5362703</v>
      </c>
      <c r="AZ48" s="19">
        <f t="shared" si="19"/>
        <v>0.85632667725890022</v>
      </c>
      <c r="BA48" s="20">
        <f>SUM(BA10:BA47)</f>
        <v>6136693</v>
      </c>
      <c r="BB48" s="21">
        <f>SUM(BB10:BB47)</f>
        <v>2749344</v>
      </c>
      <c r="BC48" s="18">
        <f t="shared" si="20"/>
        <v>2728346</v>
      </c>
      <c r="BD48" s="20">
        <f>SUM(BD10:BD47)</f>
        <v>5477690</v>
      </c>
      <c r="BE48" s="19">
        <f t="shared" si="21"/>
        <v>0.89261268243335623</v>
      </c>
      <c r="BF48" s="20">
        <f>SUM(BF10:BF47)</f>
        <v>10779583</v>
      </c>
      <c r="BG48" s="21">
        <f>SUM(BG10:BG47)</f>
        <v>5179321</v>
      </c>
      <c r="BH48" s="18">
        <f t="shared" si="22"/>
        <v>4902704</v>
      </c>
      <c r="BI48" s="20">
        <f>SUM(BI10:BI47)</f>
        <v>10082025</v>
      </c>
      <c r="BJ48" s="19">
        <f t="shared" si="23"/>
        <v>0.93528896247656335</v>
      </c>
      <c r="BK48"/>
    </row>
    <row r="49" spans="1:6" ht="16.5" customHeight="1" x14ac:dyDescent="0.3"/>
    <row r="50" spans="1:6" ht="16.5" customHeight="1" x14ac:dyDescent="0.3"/>
    <row r="51" spans="1:6" ht="16.5" customHeight="1" x14ac:dyDescent="0.3"/>
    <row r="52" spans="1:6" ht="16.5" customHeight="1" x14ac:dyDescent="0.3"/>
    <row r="53" spans="1:6" ht="16.5" customHeight="1" x14ac:dyDescent="0.3"/>
    <row r="54" spans="1:6" ht="16.5" customHeight="1" x14ac:dyDescent="0.3"/>
    <row r="55" spans="1:6" ht="16.5" customHeight="1" x14ac:dyDescent="0.3"/>
    <row r="56" spans="1:6" ht="16.5" customHeight="1" x14ac:dyDescent="0.3"/>
    <row r="57" spans="1:6" x14ac:dyDescent="0.3">
      <c r="A57" s="40" t="s">
        <v>42</v>
      </c>
      <c r="B57" s="40"/>
      <c r="C57" s="40"/>
      <c r="D57" s="40"/>
      <c r="E57" s="40"/>
      <c r="F57" s="3"/>
    </row>
  </sheetData>
  <mergeCells count="19">
    <mergeCell ref="A48:B48"/>
    <mergeCell ref="A57:E57"/>
    <mergeCell ref="M8:Q8"/>
    <mergeCell ref="R8:V8"/>
    <mergeCell ref="W8:AA8"/>
    <mergeCell ref="A1:E1"/>
    <mergeCell ref="BF8:BJ8"/>
    <mergeCell ref="A3:B3"/>
    <mergeCell ref="A5:C5"/>
    <mergeCell ref="A8:A9"/>
    <mergeCell ref="B8:B9"/>
    <mergeCell ref="C8:G8"/>
    <mergeCell ref="H8:L8"/>
    <mergeCell ref="AQ8:AU8"/>
    <mergeCell ref="AV8:AZ8"/>
    <mergeCell ref="BA8:BE8"/>
    <mergeCell ref="AB8:AF8"/>
    <mergeCell ref="AG8:AK8"/>
    <mergeCell ref="AL8:AP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Budhiraja</dc:creator>
  <cp:lastModifiedBy>Krishan Pal Singh</cp:lastModifiedBy>
  <dcterms:created xsi:type="dcterms:W3CDTF">2021-04-12T08:10:31Z</dcterms:created>
  <dcterms:modified xsi:type="dcterms:W3CDTF">2026-09-09T11:40:51Z</dcterms:modified>
</cp:coreProperties>
</file>