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D91033FD-3306-4640-96BB-AF449BC7DB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7" i="2" l="1"/>
  <c r="AG47" i="2"/>
  <c r="AH47" i="2"/>
  <c r="BF47" i="2" l="1"/>
  <c r="BA47" i="2"/>
  <c r="AV47" i="2"/>
  <c r="AQ47" i="2"/>
  <c r="AL47" i="2"/>
  <c r="AB47" i="2"/>
  <c r="W47" i="2"/>
  <c r="R47" i="2"/>
  <c r="M47" i="2"/>
  <c r="H47" i="2"/>
  <c r="C47" i="2"/>
  <c r="AF47" i="2" l="1"/>
  <c r="BI47" i="2"/>
  <c r="BG47" i="2"/>
  <c r="BD47" i="2"/>
  <c r="BB47" i="2"/>
  <c r="AY47" i="2"/>
  <c r="AW47" i="2"/>
  <c r="AT47" i="2"/>
  <c r="AR47" i="2"/>
  <c r="AO47" i="2"/>
  <c r="AM47" i="2"/>
  <c r="AJ47" i="2"/>
  <c r="AC47" i="2"/>
  <c r="Z47" i="2"/>
  <c r="X47" i="2"/>
  <c r="U47" i="2"/>
  <c r="S47" i="2"/>
  <c r="P47" i="2"/>
  <c r="N47" i="2"/>
  <c r="K47" i="2"/>
  <c r="I47" i="2"/>
  <c r="F47" i="2"/>
  <c r="D47" i="2"/>
  <c r="AI47" i="2" l="1"/>
  <c r="AA47" i="2"/>
  <c r="AP47" i="2"/>
  <c r="AZ47" i="2"/>
  <c r="BJ47" i="2"/>
  <c r="BC47" i="2"/>
  <c r="E47" i="2"/>
  <c r="AS47" i="2"/>
  <c r="T47" i="2"/>
  <c r="AD47" i="2"/>
  <c r="J47" i="2"/>
  <c r="O47" i="2"/>
  <c r="BH47" i="2"/>
  <c r="BE47" i="2"/>
  <c r="AX47" i="2"/>
  <c r="AU47" i="2"/>
  <c r="AN47" i="2"/>
  <c r="AK47" i="2"/>
  <c r="Y47" i="2"/>
  <c r="V47" i="2"/>
  <c r="Q47" i="2"/>
  <c r="L47" i="2"/>
  <c r="G47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6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6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6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6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6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6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6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6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6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6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6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6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6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6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6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6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6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6" i="2"/>
  <c r="G9" i="2"/>
  <c r="L9" i="2"/>
  <c r="Q9" i="2"/>
  <c r="V9" i="2"/>
  <c r="AA9" i="2"/>
  <c r="AF9" i="2"/>
  <c r="AK9" i="2"/>
  <c r="AP9" i="2"/>
  <c r="AU9" i="2"/>
  <c r="AZ9" i="2"/>
  <c r="BE9" i="2"/>
  <c r="BJ9" i="2"/>
  <c r="BH9" i="2"/>
  <c r="BC9" i="2"/>
  <c r="AX9" i="2"/>
  <c r="AS9" i="2"/>
  <c r="AN9" i="2"/>
  <c r="AI9" i="2"/>
  <c r="AD9" i="2"/>
  <c r="Y9" i="2"/>
  <c r="T9" i="2"/>
  <c r="O9" i="2"/>
  <c r="J9" i="2"/>
  <c r="E9" i="2"/>
</calcChain>
</file>

<file path=xl/sharedStrings.xml><?xml version="1.0" encoding="utf-8"?>
<sst xmlns="http://schemas.openxmlformats.org/spreadsheetml/2006/main" count="150" uniqueCount="51">
  <si>
    <t>FINANCIAL YEAR 2019-2020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</si>
  <si>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</si>
  <si>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</si>
  <si>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</si>
  <si>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</si>
  <si>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</si>
  <si>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</si>
  <si>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</si>
  <si>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</si>
  <si>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</si>
  <si>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</si>
  <si>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</si>
  <si>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</si>
  <si>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</si>
  <si>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</si>
  <si>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</si>
  <si>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</si>
  <si>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</si>
  <si>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</si>
  <si>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</si>
  <si>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</si>
  <si>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</si>
  <si>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</si>
  <si>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</si>
  <si>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</si>
  <si>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</si>
  <si>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</si>
  <si>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</si>
  <si>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</si>
  <si>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</si>
  <si>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</si>
  <si>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</si>
  <si>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</si>
  <si>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</si>
  <si>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</si>
  <si>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</si>
  <si>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</si>
  <si>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</si>
  <si>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</si>
  <si>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</si>
  <si>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</si>
  <si>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</si>
  <si>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 xml:space="preserve">** Due  date for March 2020  extended upto 17th July 2020  due to COVID-19 pandemic. </t>
  </si>
  <si>
    <t>*  State Code 97 represents  territories other than States/UTs</t>
  </si>
  <si>
    <t>-</t>
  </si>
  <si>
    <t>Chhattisgarh</t>
  </si>
  <si>
    <t>Gujarat</t>
  </si>
  <si>
    <t>Maharashtra</t>
  </si>
  <si>
    <t>Andaman and Nicobar Islands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</si>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</sst>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name val="HelveticaNeue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165" fontId="3" fillId="2" borderId="1" xfId="2" applyNumberFormat="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horizontal="left"/>
    </xf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6" fillId="2" borderId="1" xfId="0" applyNumberFormat="1" applyFont="1" applyFill="1" applyBorder="1"/>
    <xf numFmtId="10" fontId="6" fillId="2" borderId="1" xfId="1" applyNumberFormat="1" applyFont="1" applyFill="1" applyBorder="1" applyAlignment="1">
      <alignment horizontal="right" vertical="center" wrapText="1"/>
    </xf>
    <xf numFmtId="165" fontId="6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6" fontId="0" fillId="0" borderId="1" xfId="3" applyNumberFormat="1" applyFont="1" applyFill="1" applyBorder="1"/>
    <xf numFmtId="165" fontId="0" fillId="0" borderId="1" xfId="0" applyNumberFormat="1" applyBorder="1" applyAlignment="1">
      <alignment horizontal="right" vertical="center" wrapText="1"/>
    </xf>
    <xf numFmtId="3" fontId="7" fillId="0" borderId="1" xfId="2" applyNumberFormat="1" applyFont="1" applyFill="1" applyBorder="1" applyAlignment="1">
      <alignment horizontal="right" vertical="center" wrapText="1"/>
    </xf>
    <xf numFmtId="166" fontId="0" fillId="0" borderId="1" xfId="3" applyNumberFormat="1" applyFon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0" fontId="0" fillId="0" borderId="0" xfId="0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</cellXfs>
  <cellStyles count="4">
    <cellStyle name="Comma" xfId="3" builtinId="3"/>
    <cellStyle name="Comma 2" xfId="2" xr:uid="{00000000-0005-0000-0000-000001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0"/>
  <sheetViews>
    <sheetView tabSelected="1" zoomScale="56" zoomScaleNormal="52" workbookViewId="0">
      <selection activeCell="A9" sqref="A9"/>
    </sheetView>
  </sheetViews>
  <sheetFormatPr defaultColWidth="8.77734375" defaultRowHeight="14.4" x14ac:dyDescent="0.3"/>
  <cols>
    <col min="2" max="2" width="26.77734375" bestFit="1" customWidth="1"/>
    <col min="3" max="62" width="18.77734375" customWidth="1"/>
  </cols>
  <sheetData>
    <row r="1" spans="1:62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62" ht="15.6" x14ac:dyDescent="0.3">
      <c r="A2" s="25" t="s">
        <v>0</v>
      </c>
      <c r="B2" s="25"/>
      <c r="C2" s="25"/>
      <c r="D2" s="1"/>
      <c r="E2" s="1"/>
      <c r="F2" s="1"/>
      <c r="G2" s="1"/>
      <c r="H2" s="1"/>
      <c r="I2" s="1"/>
      <c r="J2" s="1"/>
      <c r="K2" s="1"/>
      <c r="L2" s="1"/>
    </row>
    <row r="3" spans="1:62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62" ht="15.6" x14ac:dyDescent="0.3">
      <c r="A4" s="28" t="s">
        <v>49</v>
      </c>
      <c r="B4" s="28"/>
      <c r="C4" s="28"/>
    </row>
    <row r="7" spans="1:62" s="19" customFormat="1" ht="15.6" x14ac:dyDescent="0.3">
      <c r="A7" s="29" t="s">
        <v>1</v>
      </c>
      <c r="B7" s="24" t="s">
        <v>2</v>
      </c>
      <c r="C7" s="30">
        <v>43556</v>
      </c>
      <c r="D7" s="31"/>
      <c r="E7" s="31"/>
      <c r="F7" s="31"/>
      <c r="G7" s="32"/>
      <c r="H7" s="23">
        <v>43586</v>
      </c>
      <c r="I7" s="24"/>
      <c r="J7" s="24"/>
      <c r="K7" s="24"/>
      <c r="L7" s="24"/>
      <c r="M7" s="23">
        <v>43617</v>
      </c>
      <c r="N7" s="24"/>
      <c r="O7" s="24"/>
      <c r="P7" s="24"/>
      <c r="Q7" s="24"/>
      <c r="R7" s="23">
        <v>43647</v>
      </c>
      <c r="S7" s="24"/>
      <c r="T7" s="24"/>
      <c r="U7" s="24"/>
      <c r="V7" s="24"/>
      <c r="W7" s="23">
        <v>43678</v>
      </c>
      <c r="X7" s="24"/>
      <c r="Y7" s="24"/>
      <c r="Z7" s="24"/>
      <c r="AA7" s="24"/>
      <c r="AB7" s="23">
        <v>43709</v>
      </c>
      <c r="AC7" s="24"/>
      <c r="AD7" s="24"/>
      <c r="AE7" s="24"/>
      <c r="AF7" s="24"/>
      <c r="AG7" s="23">
        <v>43739</v>
      </c>
      <c r="AH7" s="24"/>
      <c r="AI7" s="24"/>
      <c r="AJ7" s="24"/>
      <c r="AK7" s="24"/>
      <c r="AL7" s="23">
        <v>43770</v>
      </c>
      <c r="AM7" s="24"/>
      <c r="AN7" s="24"/>
      <c r="AO7" s="24"/>
      <c r="AP7" s="24"/>
      <c r="AQ7" s="23">
        <v>43800</v>
      </c>
      <c r="AR7" s="24"/>
      <c r="AS7" s="24"/>
      <c r="AT7" s="24"/>
      <c r="AU7" s="24"/>
      <c r="AV7" s="23">
        <v>43831</v>
      </c>
      <c r="AW7" s="24"/>
      <c r="AX7" s="24"/>
      <c r="AY7" s="24"/>
      <c r="AZ7" s="24"/>
      <c r="BA7" s="23">
        <v>43862</v>
      </c>
      <c r="BB7" s="24"/>
      <c r="BC7" s="24"/>
      <c r="BD7" s="24"/>
      <c r="BE7" s="24"/>
      <c r="BF7" s="23">
        <v>43891</v>
      </c>
      <c r="BG7" s="24"/>
      <c r="BH7" s="24"/>
      <c r="BI7" s="24"/>
      <c r="BJ7" s="24"/>
    </row>
    <row r="8" spans="1:62" s="19" customFormat="1" ht="46.8" x14ac:dyDescent="0.3">
      <c r="A8" s="29"/>
      <c r="B8" s="24"/>
      <c r="C8" s="22" t="s">
        <v>3</v>
      </c>
      <c r="D8" s="22" t="s">
        <v>4</v>
      </c>
      <c r="E8" s="22" t="s">
        <v>5</v>
      </c>
      <c r="F8" s="2" t="s">
        <v>6</v>
      </c>
      <c r="G8" s="22" t="s">
        <v>50</v>
      </c>
      <c r="H8" s="22" t="s">
        <v>3</v>
      </c>
      <c r="I8" s="22" t="s">
        <v>4</v>
      </c>
      <c r="J8" s="22" t="s">
        <v>5</v>
      </c>
      <c r="K8" s="2" t="s">
        <v>6</v>
      </c>
      <c r="L8" s="22" t="s">
        <v>50</v>
      </c>
      <c r="M8" s="22" t="s">
        <v>3</v>
      </c>
      <c r="N8" s="22" t="s">
        <v>4</v>
      </c>
      <c r="O8" s="22" t="s">
        <v>5</v>
      </c>
      <c r="P8" s="2" t="s">
        <v>6</v>
      </c>
      <c r="Q8" s="22" t="s">
        <v>50</v>
      </c>
      <c r="R8" s="22" t="s">
        <v>3</v>
      </c>
      <c r="S8" s="22" t="s">
        <v>4</v>
      </c>
      <c r="T8" s="22" t="s">
        <v>5</v>
      </c>
      <c r="U8" s="2" t="s">
        <v>6</v>
      </c>
      <c r="V8" s="22" t="s">
        <v>50</v>
      </c>
      <c r="W8" s="22" t="s">
        <v>3</v>
      </c>
      <c r="X8" s="22" t="s">
        <v>4</v>
      </c>
      <c r="Y8" s="22" t="s">
        <v>5</v>
      </c>
      <c r="Z8" s="2" t="s">
        <v>6</v>
      </c>
      <c r="AA8" s="22" t="s">
        <v>50</v>
      </c>
      <c r="AB8" s="22" t="s">
        <v>3</v>
      </c>
      <c r="AC8" s="22" t="s">
        <v>4</v>
      </c>
      <c r="AD8" s="22" t="s">
        <v>5</v>
      </c>
      <c r="AE8" s="2" t="s">
        <v>6</v>
      </c>
      <c r="AF8" s="22" t="s">
        <v>50</v>
      </c>
      <c r="AG8" s="22" t="s">
        <v>3</v>
      </c>
      <c r="AH8" s="22" t="s">
        <v>4</v>
      </c>
      <c r="AI8" s="22" t="s">
        <v>5</v>
      </c>
      <c r="AJ8" s="2" t="s">
        <v>6</v>
      </c>
      <c r="AK8" s="22" t="s">
        <v>50</v>
      </c>
      <c r="AL8" s="22" t="s">
        <v>3</v>
      </c>
      <c r="AM8" s="22" t="s">
        <v>4</v>
      </c>
      <c r="AN8" s="22" t="s">
        <v>5</v>
      </c>
      <c r="AO8" s="2" t="s">
        <v>6</v>
      </c>
      <c r="AP8" s="22" t="s">
        <v>50</v>
      </c>
      <c r="AQ8" s="22" t="s">
        <v>3</v>
      </c>
      <c r="AR8" s="22" t="s">
        <v>4</v>
      </c>
      <c r="AS8" s="22" t="s">
        <v>5</v>
      </c>
      <c r="AT8" s="2" t="s">
        <v>6</v>
      </c>
      <c r="AU8" s="22" t="s">
        <v>50</v>
      </c>
      <c r="AV8" s="22" t="s">
        <v>3</v>
      </c>
      <c r="AW8" s="22" t="s">
        <v>4</v>
      </c>
      <c r="AX8" s="22" t="s">
        <v>5</v>
      </c>
      <c r="AY8" s="2" t="s">
        <v>6</v>
      </c>
      <c r="AZ8" s="22" t="s">
        <v>50</v>
      </c>
      <c r="BA8" s="22" t="s">
        <v>3</v>
      </c>
      <c r="BB8" s="22" t="s">
        <v>4</v>
      </c>
      <c r="BC8" s="22" t="s">
        <v>5</v>
      </c>
      <c r="BD8" s="2" t="s">
        <v>6</v>
      </c>
      <c r="BE8" s="22" t="s">
        <v>50</v>
      </c>
      <c r="BF8" s="22" t="s">
        <v>3</v>
      </c>
      <c r="BG8" s="22" t="s">
        <v>4</v>
      </c>
      <c r="BH8" s="22" t="s">
        <v>5</v>
      </c>
      <c r="BI8" s="2" t="s">
        <v>6</v>
      </c>
      <c r="BJ8" s="22" t="s">
        <v>50</v>
      </c>
    </row>
    <row r="9" spans="1:62" x14ac:dyDescent="0.3">
      <c r="A9" s="20">
        <v>1</v>
      </c>
      <c r="B9" s="12" t="s">
        <v>7</v>
      </c>
      <c r="C9" s="13">
        <v>48072</v>
      </c>
      <c r="D9" s="13">
        <v>6997</v>
      </c>
      <c r="E9" s="6">
        <f>F9-D9</f>
        <v>20325</v>
      </c>
      <c r="F9" s="14">
        <v>27322</v>
      </c>
      <c r="G9" s="7">
        <f>F9/C9</f>
        <v>0.5683557996338825</v>
      </c>
      <c r="H9" s="13">
        <v>46923</v>
      </c>
      <c r="I9" s="13">
        <v>6739</v>
      </c>
      <c r="J9" s="6">
        <f>K9-I9</f>
        <v>20707</v>
      </c>
      <c r="K9" s="14">
        <v>27446</v>
      </c>
      <c r="L9" s="7">
        <f>K9/H9</f>
        <v>0.58491571297657863</v>
      </c>
      <c r="M9" s="13">
        <v>90874</v>
      </c>
      <c r="N9" s="13">
        <v>24941</v>
      </c>
      <c r="O9" s="6">
        <f>P9-N9</f>
        <v>48849</v>
      </c>
      <c r="P9" s="15">
        <v>73790</v>
      </c>
      <c r="Q9" s="7">
        <f>P9/M9</f>
        <v>0.81200343332526359</v>
      </c>
      <c r="R9" s="13">
        <v>43438</v>
      </c>
      <c r="S9" s="13">
        <v>3444</v>
      </c>
      <c r="T9" s="6">
        <f>U9-S9</f>
        <v>23937</v>
      </c>
      <c r="U9" s="14">
        <v>27381</v>
      </c>
      <c r="V9" s="7">
        <f>U9/R9</f>
        <v>0.63034670104516788</v>
      </c>
      <c r="W9" s="13">
        <v>43229</v>
      </c>
      <c r="X9" s="13">
        <v>3119</v>
      </c>
      <c r="Y9" s="6">
        <f>Z9-X9</f>
        <v>24264</v>
      </c>
      <c r="Z9" s="14">
        <v>27383</v>
      </c>
      <c r="AA9" s="7">
        <f>Z9/W9</f>
        <v>0.63344051446945338</v>
      </c>
      <c r="AB9" s="13">
        <v>92462</v>
      </c>
      <c r="AC9" s="13">
        <v>8312</v>
      </c>
      <c r="AD9" s="6">
        <f>AE9-AC9</f>
        <v>65091</v>
      </c>
      <c r="AE9" s="15">
        <v>73403</v>
      </c>
      <c r="AF9" s="7">
        <f>AE9/AB9</f>
        <v>0.7938720771776514</v>
      </c>
      <c r="AG9" s="13">
        <v>42646</v>
      </c>
      <c r="AH9" s="13">
        <v>3083</v>
      </c>
      <c r="AI9" s="6">
        <f>AJ9-AH9</f>
        <v>24432</v>
      </c>
      <c r="AJ9" s="14">
        <v>27515</v>
      </c>
      <c r="AK9" s="7">
        <f>AJ9/AG9</f>
        <v>0.64519532898747833</v>
      </c>
      <c r="AL9" s="13">
        <v>41914</v>
      </c>
      <c r="AM9" s="13">
        <v>4048</v>
      </c>
      <c r="AN9" s="6">
        <f>AO9-AM9</f>
        <v>23617</v>
      </c>
      <c r="AO9" s="14">
        <v>27665</v>
      </c>
      <c r="AP9" s="7">
        <f>AO9/AL9</f>
        <v>0.66004199074294989</v>
      </c>
      <c r="AQ9" s="13">
        <v>92194</v>
      </c>
      <c r="AR9" s="13">
        <v>24884</v>
      </c>
      <c r="AS9" s="6">
        <f>AT9-AR9</f>
        <v>48898</v>
      </c>
      <c r="AT9" s="15">
        <v>73782</v>
      </c>
      <c r="AU9" s="7">
        <f>AT9/AQ9</f>
        <v>0.80029069136820186</v>
      </c>
      <c r="AV9" s="13">
        <v>39353</v>
      </c>
      <c r="AW9" s="13">
        <v>7077</v>
      </c>
      <c r="AX9" s="6">
        <f>AY9-AW9</f>
        <v>20441</v>
      </c>
      <c r="AY9" s="14">
        <v>27518</v>
      </c>
      <c r="AZ9" s="7">
        <f>AY9/AV9</f>
        <v>0.69926053922191445</v>
      </c>
      <c r="BA9" s="13">
        <v>39314</v>
      </c>
      <c r="BB9" s="13">
        <v>13695</v>
      </c>
      <c r="BC9" s="6">
        <f>BD9-BB9</f>
        <v>13823</v>
      </c>
      <c r="BD9" s="14">
        <v>27518</v>
      </c>
      <c r="BE9" s="7">
        <f>BD9/BA9</f>
        <v>0.6999542147835377</v>
      </c>
      <c r="BF9" s="13">
        <v>85741</v>
      </c>
      <c r="BG9" s="13">
        <v>34032</v>
      </c>
      <c r="BH9" s="6">
        <f>BI9-BG9</f>
        <v>37508</v>
      </c>
      <c r="BI9" s="15">
        <v>71540</v>
      </c>
      <c r="BJ9" s="7">
        <f>BI9/BF9</f>
        <v>0.8343732869922208</v>
      </c>
    </row>
    <row r="10" spans="1:62" x14ac:dyDescent="0.3">
      <c r="A10" s="20">
        <v>2</v>
      </c>
      <c r="B10" s="12" t="s">
        <v>8</v>
      </c>
      <c r="C10" s="13">
        <v>37394</v>
      </c>
      <c r="D10" s="13">
        <v>7311</v>
      </c>
      <c r="E10" s="6">
        <f t="shared" ref="E10:E46" si="0">F10-D10</f>
        <v>10783</v>
      </c>
      <c r="F10" s="14">
        <v>18094</v>
      </c>
      <c r="G10" s="7">
        <f t="shared" ref="G10:G46" si="1">F10/C10</f>
        <v>0.48387441835588596</v>
      </c>
      <c r="H10" s="13">
        <v>35683</v>
      </c>
      <c r="I10" s="13">
        <v>7347</v>
      </c>
      <c r="J10" s="6">
        <f t="shared" ref="J10:J46" si="2">K10-I10</f>
        <v>10767</v>
      </c>
      <c r="K10" s="14">
        <v>18114</v>
      </c>
      <c r="L10" s="7">
        <f t="shared" ref="L10:L46" si="3">K10/H10</f>
        <v>0.50763668974021248</v>
      </c>
      <c r="M10" s="13">
        <v>88064</v>
      </c>
      <c r="N10" s="13">
        <v>43206</v>
      </c>
      <c r="O10" s="6">
        <f t="shared" ref="O10:O46" si="4">P10-N10</f>
        <v>32944</v>
      </c>
      <c r="P10" s="15">
        <v>76150</v>
      </c>
      <c r="Q10" s="7">
        <f t="shared" ref="Q10:Q46" si="5">P10/M10</f>
        <v>0.86471202761627908</v>
      </c>
      <c r="R10" s="13">
        <v>32605</v>
      </c>
      <c r="S10" s="13">
        <v>7038</v>
      </c>
      <c r="T10" s="6">
        <f t="shared" ref="T10:T46" si="6">U10-S10</f>
        <v>11354</v>
      </c>
      <c r="U10" s="14">
        <v>18392</v>
      </c>
      <c r="V10" s="7">
        <f t="shared" ref="V10:V46" si="7">U10/R10</f>
        <v>0.56408526299647288</v>
      </c>
      <c r="W10" s="13">
        <v>31156</v>
      </c>
      <c r="X10" s="13">
        <v>7697</v>
      </c>
      <c r="Y10" s="6">
        <f t="shared" ref="Y10:Y46" si="8">Z10-X10</f>
        <v>10802</v>
      </c>
      <c r="Z10" s="14">
        <v>18499</v>
      </c>
      <c r="AA10" s="7">
        <f t="shared" ref="AA10:AA46" si="9">Z10/W10</f>
        <v>0.59375401206830147</v>
      </c>
      <c r="AB10" s="13">
        <v>89912</v>
      </c>
      <c r="AC10" s="13">
        <v>35435</v>
      </c>
      <c r="AD10" s="6">
        <f t="shared" ref="AD10:AD46" si="10">AE10-AC10</f>
        <v>42744</v>
      </c>
      <c r="AE10" s="15">
        <v>78179</v>
      </c>
      <c r="AF10" s="7">
        <f t="shared" ref="AF10:AF46" si="11">AE10/AB10</f>
        <v>0.86950573894474592</v>
      </c>
      <c r="AG10" s="13">
        <v>29485</v>
      </c>
      <c r="AH10" s="13">
        <v>6730</v>
      </c>
      <c r="AI10" s="6">
        <f t="shared" ref="AI10:AI46" si="12">AJ10-AH10</f>
        <v>12035</v>
      </c>
      <c r="AJ10" s="14">
        <v>18765</v>
      </c>
      <c r="AK10" s="7">
        <f t="shared" ref="AK10:AK46" si="13">AJ10/AG10</f>
        <v>0.63642530100050876</v>
      </c>
      <c r="AL10" s="13">
        <v>28002</v>
      </c>
      <c r="AM10" s="13">
        <v>7979</v>
      </c>
      <c r="AN10" s="6">
        <f t="shared" ref="AN10:AN46" si="14">AO10-AM10</f>
        <v>11018</v>
      </c>
      <c r="AO10" s="14">
        <v>18997</v>
      </c>
      <c r="AP10" s="7">
        <f t="shared" ref="AP10:AP46" si="15">AO10/AL10</f>
        <v>0.67841582744089712</v>
      </c>
      <c r="AQ10" s="13">
        <v>88745</v>
      </c>
      <c r="AR10" s="13">
        <v>57329</v>
      </c>
      <c r="AS10" s="6">
        <f t="shared" ref="AS10:AS46" si="16">AT10-AR10</f>
        <v>21639</v>
      </c>
      <c r="AT10" s="15">
        <v>78968</v>
      </c>
      <c r="AU10" s="7">
        <f t="shared" ref="AU10:AU46" si="17">AT10/AQ10</f>
        <v>0.88983041298101306</v>
      </c>
      <c r="AV10" s="13">
        <v>24254</v>
      </c>
      <c r="AW10" s="13">
        <v>10351</v>
      </c>
      <c r="AX10" s="6">
        <f t="shared" ref="AX10:AX46" si="18">AY10-AW10</f>
        <v>8726</v>
      </c>
      <c r="AY10" s="14">
        <v>19077</v>
      </c>
      <c r="AZ10" s="7">
        <f t="shared" ref="AZ10:AZ46" si="19">AY10/AV10</f>
        <v>0.78655067205409412</v>
      </c>
      <c r="BA10" s="13">
        <v>23136</v>
      </c>
      <c r="BB10" s="13">
        <v>14858</v>
      </c>
      <c r="BC10" s="6">
        <f t="shared" ref="BC10:BC46" si="20">BD10-BB10</f>
        <v>4136</v>
      </c>
      <c r="BD10" s="14">
        <v>18994</v>
      </c>
      <c r="BE10" s="7">
        <f t="shared" ref="BE10:BE46" si="21">BD10/BA10</f>
        <v>0.82097164591977867</v>
      </c>
      <c r="BF10" s="13">
        <v>86286</v>
      </c>
      <c r="BG10" s="13">
        <v>57101</v>
      </c>
      <c r="BH10" s="6">
        <f t="shared" ref="BH10:BH46" si="22">BI10-BG10</f>
        <v>21753</v>
      </c>
      <c r="BI10" s="15">
        <v>78854</v>
      </c>
      <c r="BJ10" s="7">
        <f t="shared" ref="BJ10:BJ46" si="23">BI10/BF10</f>
        <v>0.91386783487471901</v>
      </c>
    </row>
    <row r="11" spans="1:62" x14ac:dyDescent="0.3">
      <c r="A11" s="20">
        <v>3</v>
      </c>
      <c r="B11" s="12" t="s">
        <v>9</v>
      </c>
      <c r="C11" s="13">
        <v>123462</v>
      </c>
      <c r="D11" s="13">
        <v>46610</v>
      </c>
      <c r="E11" s="6">
        <f t="shared" si="0"/>
        <v>33674</v>
      </c>
      <c r="F11" s="14">
        <v>80284</v>
      </c>
      <c r="G11" s="7">
        <f t="shared" si="1"/>
        <v>0.65027295848115207</v>
      </c>
      <c r="H11" s="13">
        <v>119967</v>
      </c>
      <c r="I11" s="13">
        <v>48125</v>
      </c>
      <c r="J11" s="6">
        <f t="shared" si="2"/>
        <v>32237</v>
      </c>
      <c r="K11" s="14">
        <v>80362</v>
      </c>
      <c r="L11" s="7">
        <f t="shared" si="3"/>
        <v>0.66986754690873318</v>
      </c>
      <c r="M11" s="13">
        <v>308875</v>
      </c>
      <c r="N11" s="13">
        <v>180468</v>
      </c>
      <c r="O11" s="6">
        <f t="shared" si="4"/>
        <v>98780</v>
      </c>
      <c r="P11" s="15">
        <v>279248</v>
      </c>
      <c r="Q11" s="7">
        <f t="shared" si="5"/>
        <v>0.90408093889113716</v>
      </c>
      <c r="R11" s="13">
        <v>109710</v>
      </c>
      <c r="S11" s="13">
        <v>42897</v>
      </c>
      <c r="T11" s="6">
        <f t="shared" si="6"/>
        <v>37778</v>
      </c>
      <c r="U11" s="14">
        <v>80675</v>
      </c>
      <c r="V11" s="7">
        <f t="shared" si="7"/>
        <v>0.73534773493756267</v>
      </c>
      <c r="W11" s="13">
        <v>106470</v>
      </c>
      <c r="X11" s="13">
        <v>45559</v>
      </c>
      <c r="Y11" s="6">
        <f t="shared" si="8"/>
        <v>35325</v>
      </c>
      <c r="Z11" s="14">
        <v>80884</v>
      </c>
      <c r="AA11" s="7">
        <f t="shared" si="9"/>
        <v>0.75968817507279041</v>
      </c>
      <c r="AB11" s="13">
        <v>311089</v>
      </c>
      <c r="AC11" s="13">
        <v>137144</v>
      </c>
      <c r="AD11" s="6">
        <f t="shared" si="10"/>
        <v>145909</v>
      </c>
      <c r="AE11" s="15">
        <v>283053</v>
      </c>
      <c r="AF11" s="7">
        <f t="shared" si="11"/>
        <v>0.90987788060651453</v>
      </c>
      <c r="AG11" s="13">
        <v>101504</v>
      </c>
      <c r="AH11" s="13">
        <v>39383</v>
      </c>
      <c r="AI11" s="6">
        <f t="shared" si="12"/>
        <v>41901</v>
      </c>
      <c r="AJ11" s="14">
        <v>81284</v>
      </c>
      <c r="AK11" s="7">
        <f t="shared" si="13"/>
        <v>0.80079602774274905</v>
      </c>
      <c r="AL11" s="13">
        <v>97659</v>
      </c>
      <c r="AM11" s="13">
        <v>46541</v>
      </c>
      <c r="AN11" s="6">
        <f t="shared" si="14"/>
        <v>35082</v>
      </c>
      <c r="AO11" s="14">
        <v>81623</v>
      </c>
      <c r="AP11" s="7">
        <f t="shared" si="15"/>
        <v>0.83579598398509103</v>
      </c>
      <c r="AQ11" s="13">
        <v>308579</v>
      </c>
      <c r="AR11" s="13">
        <v>225736</v>
      </c>
      <c r="AS11" s="6">
        <f t="shared" si="16"/>
        <v>60444</v>
      </c>
      <c r="AT11" s="15">
        <v>286180</v>
      </c>
      <c r="AU11" s="7">
        <f t="shared" si="17"/>
        <v>0.92741242923206046</v>
      </c>
      <c r="AV11" s="13">
        <v>95635</v>
      </c>
      <c r="AW11" s="13">
        <v>59206</v>
      </c>
      <c r="AX11" s="6">
        <f t="shared" si="18"/>
        <v>22641</v>
      </c>
      <c r="AY11" s="14">
        <v>81847</v>
      </c>
      <c r="AZ11" s="7">
        <f t="shared" si="19"/>
        <v>0.8558268416374758</v>
      </c>
      <c r="BA11" s="13">
        <v>94540</v>
      </c>
      <c r="BB11" s="13">
        <v>71371</v>
      </c>
      <c r="BC11" s="6">
        <f t="shared" si="20"/>
        <v>10547</v>
      </c>
      <c r="BD11" s="14">
        <v>81918</v>
      </c>
      <c r="BE11" s="7">
        <f t="shared" si="21"/>
        <v>0.86649037444467947</v>
      </c>
      <c r="BF11" s="13">
        <v>312194</v>
      </c>
      <c r="BG11" s="13">
        <v>234063</v>
      </c>
      <c r="BH11" s="6">
        <f t="shared" si="22"/>
        <v>52707</v>
      </c>
      <c r="BI11" s="15">
        <v>286770</v>
      </c>
      <c r="BJ11" s="7">
        <f t="shared" si="23"/>
        <v>0.91856345733742484</v>
      </c>
    </row>
    <row r="12" spans="1:62" x14ac:dyDescent="0.3">
      <c r="A12" s="20">
        <v>4</v>
      </c>
      <c r="B12" s="12" t="s">
        <v>10</v>
      </c>
      <c r="C12" s="13">
        <v>12580</v>
      </c>
      <c r="D12" s="13">
        <v>4954</v>
      </c>
      <c r="E12" s="6">
        <f t="shared" si="0"/>
        <v>3832</v>
      </c>
      <c r="F12" s="14">
        <v>8786</v>
      </c>
      <c r="G12" s="7">
        <f t="shared" si="1"/>
        <v>0.69841017488076307</v>
      </c>
      <c r="H12" s="13">
        <v>11968</v>
      </c>
      <c r="I12" s="13">
        <v>5088</v>
      </c>
      <c r="J12" s="6">
        <f t="shared" si="2"/>
        <v>3657</v>
      </c>
      <c r="K12" s="14">
        <v>8745</v>
      </c>
      <c r="L12" s="7">
        <f t="shared" si="3"/>
        <v>0.73069852941176472</v>
      </c>
      <c r="M12" s="13">
        <v>27619</v>
      </c>
      <c r="N12" s="13">
        <v>16123</v>
      </c>
      <c r="O12" s="6">
        <f t="shared" si="4"/>
        <v>9499</v>
      </c>
      <c r="P12" s="15">
        <v>25622</v>
      </c>
      <c r="Q12" s="7">
        <f t="shared" si="5"/>
        <v>0.92769470292190159</v>
      </c>
      <c r="R12" s="13">
        <v>10876</v>
      </c>
      <c r="S12" s="13">
        <v>4824</v>
      </c>
      <c r="T12" s="6">
        <f t="shared" si="6"/>
        <v>3983</v>
      </c>
      <c r="U12" s="14">
        <v>8807</v>
      </c>
      <c r="V12" s="7">
        <f t="shared" si="7"/>
        <v>0.8097646193453476</v>
      </c>
      <c r="W12" s="13">
        <v>10567</v>
      </c>
      <c r="X12" s="13">
        <v>5105</v>
      </c>
      <c r="Y12" s="6">
        <f t="shared" si="8"/>
        <v>3720</v>
      </c>
      <c r="Z12" s="14">
        <v>8825</v>
      </c>
      <c r="AA12" s="7">
        <f t="shared" si="9"/>
        <v>0.83514715624112801</v>
      </c>
      <c r="AB12" s="13">
        <v>27465</v>
      </c>
      <c r="AC12" s="13">
        <v>13512</v>
      </c>
      <c r="AD12" s="6">
        <f t="shared" si="10"/>
        <v>12177</v>
      </c>
      <c r="AE12" s="15">
        <v>25689</v>
      </c>
      <c r="AF12" s="7">
        <f t="shared" si="11"/>
        <v>0.93533588203167672</v>
      </c>
      <c r="AG12" s="13">
        <v>10185</v>
      </c>
      <c r="AH12" s="13">
        <v>4702</v>
      </c>
      <c r="AI12" s="6">
        <f t="shared" si="12"/>
        <v>4205</v>
      </c>
      <c r="AJ12" s="14">
        <v>8907</v>
      </c>
      <c r="AK12" s="7">
        <f t="shared" si="13"/>
        <v>0.87452135493372607</v>
      </c>
      <c r="AL12" s="13">
        <v>9714</v>
      </c>
      <c r="AM12" s="13">
        <v>5327</v>
      </c>
      <c r="AN12" s="6">
        <f t="shared" si="14"/>
        <v>3598</v>
      </c>
      <c r="AO12" s="14">
        <v>8925</v>
      </c>
      <c r="AP12" s="7">
        <f t="shared" si="15"/>
        <v>0.91877702285361329</v>
      </c>
      <c r="AQ12" s="13">
        <v>27106</v>
      </c>
      <c r="AR12" s="13">
        <v>20035</v>
      </c>
      <c r="AS12" s="6">
        <f t="shared" si="16"/>
        <v>5814</v>
      </c>
      <c r="AT12" s="15">
        <v>25849</v>
      </c>
      <c r="AU12" s="7">
        <f t="shared" si="17"/>
        <v>0.95362650335719024</v>
      </c>
      <c r="AV12" s="13">
        <v>9816</v>
      </c>
      <c r="AW12" s="13">
        <v>6506</v>
      </c>
      <c r="AX12" s="6">
        <f t="shared" si="18"/>
        <v>2449</v>
      </c>
      <c r="AY12" s="14">
        <v>8955</v>
      </c>
      <c r="AZ12" s="7">
        <f t="shared" si="19"/>
        <v>0.91228606356968212</v>
      </c>
      <c r="BA12" s="13">
        <v>9666</v>
      </c>
      <c r="BB12" s="13">
        <v>7826</v>
      </c>
      <c r="BC12" s="6">
        <f t="shared" si="20"/>
        <v>1122</v>
      </c>
      <c r="BD12" s="14">
        <v>8948</v>
      </c>
      <c r="BE12" s="7">
        <f t="shared" si="21"/>
        <v>0.92571901510448995</v>
      </c>
      <c r="BF12" s="13">
        <v>27176</v>
      </c>
      <c r="BG12" s="13">
        <v>20426</v>
      </c>
      <c r="BH12" s="6">
        <f t="shared" si="22"/>
        <v>5229</v>
      </c>
      <c r="BI12" s="15">
        <v>25655</v>
      </c>
      <c r="BJ12" s="7">
        <f t="shared" si="23"/>
        <v>0.94403149838092437</v>
      </c>
    </row>
    <row r="13" spans="1:62" x14ac:dyDescent="0.3">
      <c r="A13" s="20">
        <v>5</v>
      </c>
      <c r="B13" s="12" t="s">
        <v>11</v>
      </c>
      <c r="C13" s="13">
        <v>63886</v>
      </c>
      <c r="D13" s="13">
        <v>9076</v>
      </c>
      <c r="E13" s="6">
        <f t="shared" si="0"/>
        <v>21652</v>
      </c>
      <c r="F13" s="14">
        <v>30728</v>
      </c>
      <c r="G13" s="7">
        <f t="shared" si="1"/>
        <v>0.48098174873994304</v>
      </c>
      <c r="H13" s="13">
        <v>59731</v>
      </c>
      <c r="I13" s="13">
        <v>8983</v>
      </c>
      <c r="J13" s="6">
        <f t="shared" si="2"/>
        <v>21941</v>
      </c>
      <c r="K13" s="14">
        <v>30924</v>
      </c>
      <c r="L13" s="7">
        <f t="shared" si="3"/>
        <v>0.5177211163382498</v>
      </c>
      <c r="M13" s="13">
        <v>129422</v>
      </c>
      <c r="N13" s="13">
        <v>41948</v>
      </c>
      <c r="O13" s="6">
        <f t="shared" si="4"/>
        <v>68082</v>
      </c>
      <c r="P13" s="15">
        <v>110030</v>
      </c>
      <c r="Q13" s="7">
        <f t="shared" si="5"/>
        <v>0.85016457789247579</v>
      </c>
      <c r="R13" s="13">
        <v>54062</v>
      </c>
      <c r="S13" s="13">
        <v>8722</v>
      </c>
      <c r="T13" s="6">
        <f t="shared" si="6"/>
        <v>22612</v>
      </c>
      <c r="U13" s="14">
        <v>31334</v>
      </c>
      <c r="V13" s="7">
        <f t="shared" si="7"/>
        <v>0.57959379971144243</v>
      </c>
      <c r="W13" s="13">
        <v>51426</v>
      </c>
      <c r="X13" s="13">
        <v>9149</v>
      </c>
      <c r="Y13" s="6">
        <f t="shared" si="8"/>
        <v>22438</v>
      </c>
      <c r="Z13" s="14">
        <v>31587</v>
      </c>
      <c r="AA13" s="7">
        <f t="shared" si="9"/>
        <v>0.614222377785556</v>
      </c>
      <c r="AB13" s="13">
        <v>131532</v>
      </c>
      <c r="AC13" s="13">
        <v>36806</v>
      </c>
      <c r="AD13" s="6">
        <f t="shared" si="10"/>
        <v>76403</v>
      </c>
      <c r="AE13" s="15">
        <v>113209</v>
      </c>
      <c r="AF13" s="7">
        <f t="shared" si="11"/>
        <v>0.86069549615302743</v>
      </c>
      <c r="AG13" s="13">
        <v>48183</v>
      </c>
      <c r="AH13" s="13">
        <v>8536</v>
      </c>
      <c r="AI13" s="6">
        <f t="shared" si="12"/>
        <v>23606</v>
      </c>
      <c r="AJ13" s="14">
        <v>32142</v>
      </c>
      <c r="AK13" s="7">
        <f t="shared" si="13"/>
        <v>0.66708175082497978</v>
      </c>
      <c r="AL13" s="13">
        <v>44607</v>
      </c>
      <c r="AM13" s="13">
        <v>10679</v>
      </c>
      <c r="AN13" s="6">
        <f t="shared" si="14"/>
        <v>21904</v>
      </c>
      <c r="AO13" s="14">
        <v>32583</v>
      </c>
      <c r="AP13" s="7">
        <f t="shared" si="15"/>
        <v>0.73044589414217498</v>
      </c>
      <c r="AQ13" s="13">
        <v>128458</v>
      </c>
      <c r="AR13" s="13">
        <v>72827</v>
      </c>
      <c r="AS13" s="6">
        <f t="shared" si="16"/>
        <v>42779</v>
      </c>
      <c r="AT13" s="15">
        <v>115606</v>
      </c>
      <c r="AU13" s="7">
        <f t="shared" si="17"/>
        <v>0.89995173519749649</v>
      </c>
      <c r="AV13" s="13">
        <v>43497</v>
      </c>
      <c r="AW13" s="13">
        <v>16192</v>
      </c>
      <c r="AX13" s="6">
        <f t="shared" si="18"/>
        <v>16349</v>
      </c>
      <c r="AY13" s="14">
        <v>32541</v>
      </c>
      <c r="AZ13" s="7">
        <f t="shared" si="19"/>
        <v>0.74812056003862337</v>
      </c>
      <c r="BA13" s="13">
        <v>42767</v>
      </c>
      <c r="BB13" s="13">
        <v>23867</v>
      </c>
      <c r="BC13" s="6">
        <f t="shared" si="20"/>
        <v>8693</v>
      </c>
      <c r="BD13" s="14">
        <v>32560</v>
      </c>
      <c r="BE13" s="7">
        <f t="shared" si="21"/>
        <v>0.76133467393083454</v>
      </c>
      <c r="BF13" s="13">
        <v>131773</v>
      </c>
      <c r="BG13" s="13">
        <v>76153</v>
      </c>
      <c r="BH13" s="6">
        <f t="shared" si="22"/>
        <v>38739</v>
      </c>
      <c r="BI13" s="15">
        <v>114892</v>
      </c>
      <c r="BJ13" s="7">
        <f t="shared" si="23"/>
        <v>0.87189333171438765</v>
      </c>
    </row>
    <row r="14" spans="1:62" x14ac:dyDescent="0.3">
      <c r="A14" s="20">
        <v>6</v>
      </c>
      <c r="B14" s="12" t="s">
        <v>12</v>
      </c>
      <c r="C14" s="13">
        <v>201278</v>
      </c>
      <c r="D14" s="13">
        <v>54761</v>
      </c>
      <c r="E14" s="6">
        <f t="shared" si="0"/>
        <v>63921</v>
      </c>
      <c r="F14" s="14">
        <v>118682</v>
      </c>
      <c r="G14" s="7">
        <f t="shared" si="1"/>
        <v>0.58964218642872046</v>
      </c>
      <c r="H14" s="13">
        <v>192033</v>
      </c>
      <c r="I14" s="13">
        <v>57044</v>
      </c>
      <c r="J14" s="6">
        <f t="shared" si="2"/>
        <v>61982</v>
      </c>
      <c r="K14" s="14">
        <v>119026</v>
      </c>
      <c r="L14" s="7">
        <f t="shared" si="3"/>
        <v>0.61982055167601402</v>
      </c>
      <c r="M14" s="13">
        <v>423764</v>
      </c>
      <c r="N14" s="13">
        <v>203791</v>
      </c>
      <c r="O14" s="6">
        <f t="shared" si="4"/>
        <v>167146</v>
      </c>
      <c r="P14" s="15">
        <v>370937</v>
      </c>
      <c r="Q14" s="7">
        <f t="shared" si="5"/>
        <v>0.87533863188000871</v>
      </c>
      <c r="R14" s="13">
        <v>173026</v>
      </c>
      <c r="S14" s="13">
        <v>53550</v>
      </c>
      <c r="T14" s="6">
        <f t="shared" si="6"/>
        <v>66506</v>
      </c>
      <c r="U14" s="14">
        <v>120056</v>
      </c>
      <c r="V14" s="7">
        <f t="shared" si="7"/>
        <v>0.69386103822546896</v>
      </c>
      <c r="W14" s="13">
        <v>166832</v>
      </c>
      <c r="X14" s="13">
        <v>57350</v>
      </c>
      <c r="Y14" s="6">
        <f t="shared" si="8"/>
        <v>63306</v>
      </c>
      <c r="Z14" s="14">
        <v>120656</v>
      </c>
      <c r="AA14" s="7">
        <f t="shared" si="9"/>
        <v>0.72321856718135613</v>
      </c>
      <c r="AB14" s="13">
        <v>423483</v>
      </c>
      <c r="AC14" s="13">
        <v>162525</v>
      </c>
      <c r="AD14" s="6">
        <f t="shared" si="10"/>
        <v>215079</v>
      </c>
      <c r="AE14" s="15">
        <v>377604</v>
      </c>
      <c r="AF14" s="7">
        <f t="shared" si="11"/>
        <v>0.89166271137212116</v>
      </c>
      <c r="AG14" s="13">
        <v>160277</v>
      </c>
      <c r="AH14" s="13">
        <v>49199</v>
      </c>
      <c r="AI14" s="6">
        <f t="shared" si="12"/>
        <v>72584</v>
      </c>
      <c r="AJ14" s="14">
        <v>121783</v>
      </c>
      <c r="AK14" s="7">
        <f t="shared" si="13"/>
        <v>0.75982829726036794</v>
      </c>
      <c r="AL14" s="13">
        <v>154903</v>
      </c>
      <c r="AM14" s="13">
        <v>58722</v>
      </c>
      <c r="AN14" s="6">
        <f t="shared" si="14"/>
        <v>64412</v>
      </c>
      <c r="AO14" s="14">
        <v>123134</v>
      </c>
      <c r="AP14" s="7">
        <f t="shared" si="15"/>
        <v>0.7949103632595883</v>
      </c>
      <c r="AQ14" s="13">
        <v>424443</v>
      </c>
      <c r="AR14" s="13">
        <v>279971</v>
      </c>
      <c r="AS14" s="6">
        <f t="shared" si="16"/>
        <v>103996</v>
      </c>
      <c r="AT14" s="15">
        <v>383967</v>
      </c>
      <c r="AU14" s="7">
        <f t="shared" si="17"/>
        <v>0.9046373718025742</v>
      </c>
      <c r="AV14" s="13">
        <v>153606</v>
      </c>
      <c r="AW14" s="13">
        <v>79984</v>
      </c>
      <c r="AX14" s="6">
        <f t="shared" si="18"/>
        <v>43832</v>
      </c>
      <c r="AY14" s="14">
        <v>123816</v>
      </c>
      <c r="AZ14" s="7">
        <f t="shared" si="19"/>
        <v>0.80606226319284402</v>
      </c>
      <c r="BA14" s="13">
        <v>146565</v>
      </c>
      <c r="BB14" s="13">
        <v>102643</v>
      </c>
      <c r="BC14" s="6">
        <f t="shared" si="20"/>
        <v>21106</v>
      </c>
      <c r="BD14" s="14">
        <v>123749</v>
      </c>
      <c r="BE14" s="7">
        <f t="shared" si="21"/>
        <v>0.84432845495172792</v>
      </c>
      <c r="BF14" s="13">
        <v>423351</v>
      </c>
      <c r="BG14" s="13">
        <v>295079</v>
      </c>
      <c r="BH14" s="6">
        <f t="shared" si="22"/>
        <v>88266</v>
      </c>
      <c r="BI14" s="15">
        <v>383345</v>
      </c>
      <c r="BJ14" s="7">
        <f t="shared" si="23"/>
        <v>0.90550158143006632</v>
      </c>
    </row>
    <row r="15" spans="1:62" x14ac:dyDescent="0.3">
      <c r="A15" s="20">
        <v>7</v>
      </c>
      <c r="B15" s="12" t="s">
        <v>13</v>
      </c>
      <c r="C15" s="13">
        <v>364482</v>
      </c>
      <c r="D15" s="13">
        <v>70987</v>
      </c>
      <c r="E15" s="6">
        <f t="shared" si="0"/>
        <v>98667</v>
      </c>
      <c r="F15" s="14">
        <v>169654</v>
      </c>
      <c r="G15" s="7">
        <f t="shared" si="1"/>
        <v>0.46546605868053842</v>
      </c>
      <c r="H15" s="13">
        <v>355644</v>
      </c>
      <c r="I15" s="13">
        <v>72573</v>
      </c>
      <c r="J15" s="6">
        <f t="shared" si="2"/>
        <v>98125</v>
      </c>
      <c r="K15" s="14">
        <v>170698</v>
      </c>
      <c r="L15" s="7">
        <f t="shared" si="3"/>
        <v>0.47996873277772156</v>
      </c>
      <c r="M15" s="13">
        <v>759157</v>
      </c>
      <c r="N15" s="13">
        <v>337223</v>
      </c>
      <c r="O15" s="6">
        <f t="shared" si="4"/>
        <v>279886</v>
      </c>
      <c r="P15" s="15">
        <v>617109</v>
      </c>
      <c r="Q15" s="7">
        <f t="shared" si="5"/>
        <v>0.81288718934291593</v>
      </c>
      <c r="R15" s="13">
        <v>323034</v>
      </c>
      <c r="S15" s="13">
        <v>70025</v>
      </c>
      <c r="T15" s="6">
        <f t="shared" si="6"/>
        <v>103184</v>
      </c>
      <c r="U15" s="14">
        <v>173209</v>
      </c>
      <c r="V15" s="7">
        <f t="shared" si="7"/>
        <v>0.53619433248512538</v>
      </c>
      <c r="W15" s="13">
        <v>309950</v>
      </c>
      <c r="X15" s="13">
        <v>74722</v>
      </c>
      <c r="Y15" s="6">
        <f t="shared" si="8"/>
        <v>99469</v>
      </c>
      <c r="Z15" s="14">
        <v>174191</v>
      </c>
      <c r="AA15" s="7">
        <f t="shared" si="9"/>
        <v>0.56199709630585581</v>
      </c>
      <c r="AB15" s="13">
        <v>766277</v>
      </c>
      <c r="AC15" s="13">
        <v>266498</v>
      </c>
      <c r="AD15" s="6">
        <f t="shared" si="10"/>
        <v>363283</v>
      </c>
      <c r="AE15" s="15">
        <v>629781</v>
      </c>
      <c r="AF15" s="7">
        <f t="shared" si="11"/>
        <v>0.82187120323329554</v>
      </c>
      <c r="AG15" s="13">
        <v>285320</v>
      </c>
      <c r="AH15" s="13">
        <v>65780</v>
      </c>
      <c r="AI15" s="6">
        <f t="shared" si="12"/>
        <v>111037</v>
      </c>
      <c r="AJ15" s="14">
        <v>176817</v>
      </c>
      <c r="AK15" s="7">
        <f t="shared" si="13"/>
        <v>0.61971470629468661</v>
      </c>
      <c r="AL15" s="13">
        <v>274081</v>
      </c>
      <c r="AM15" s="13">
        <v>80807</v>
      </c>
      <c r="AN15" s="6">
        <f t="shared" si="14"/>
        <v>98372</v>
      </c>
      <c r="AO15" s="14">
        <v>179179</v>
      </c>
      <c r="AP15" s="7">
        <f t="shared" si="15"/>
        <v>0.65374469591106277</v>
      </c>
      <c r="AQ15" s="13">
        <v>746559</v>
      </c>
      <c r="AR15" s="13">
        <v>460035</v>
      </c>
      <c r="AS15" s="6">
        <f t="shared" si="16"/>
        <v>180119</v>
      </c>
      <c r="AT15" s="15">
        <v>640154</v>
      </c>
      <c r="AU15" s="7">
        <f t="shared" si="17"/>
        <v>0.85747275165124259</v>
      </c>
      <c r="AV15" s="13">
        <v>253369</v>
      </c>
      <c r="AW15" s="13">
        <v>104289</v>
      </c>
      <c r="AX15" s="6">
        <f t="shared" si="18"/>
        <v>76298</v>
      </c>
      <c r="AY15" s="14">
        <v>180587</v>
      </c>
      <c r="AZ15" s="7">
        <f t="shared" si="19"/>
        <v>0.71274307433032458</v>
      </c>
      <c r="BA15" s="13">
        <v>251087</v>
      </c>
      <c r="BB15" s="13">
        <v>140232</v>
      </c>
      <c r="BC15" s="6">
        <f t="shared" si="20"/>
        <v>41080</v>
      </c>
      <c r="BD15" s="14">
        <v>181312</v>
      </c>
      <c r="BE15" s="7">
        <f t="shared" si="21"/>
        <v>0.72210827322800464</v>
      </c>
      <c r="BF15" s="13">
        <v>752110</v>
      </c>
      <c r="BG15" s="13">
        <v>456725</v>
      </c>
      <c r="BH15" s="6">
        <f t="shared" si="22"/>
        <v>177751</v>
      </c>
      <c r="BI15" s="15">
        <v>634476</v>
      </c>
      <c r="BJ15" s="7">
        <f t="shared" si="23"/>
        <v>0.84359468694738804</v>
      </c>
    </row>
    <row r="16" spans="1:62" x14ac:dyDescent="0.3">
      <c r="A16" s="20">
        <v>8</v>
      </c>
      <c r="B16" s="12" t="s">
        <v>14</v>
      </c>
      <c r="C16" s="13">
        <v>246498</v>
      </c>
      <c r="D16" s="13">
        <v>51178</v>
      </c>
      <c r="E16" s="6">
        <f t="shared" si="0"/>
        <v>70977</v>
      </c>
      <c r="F16" s="14">
        <v>122155</v>
      </c>
      <c r="G16" s="7">
        <f t="shared" si="1"/>
        <v>0.4955618301162687</v>
      </c>
      <c r="H16" s="13">
        <v>236220</v>
      </c>
      <c r="I16" s="13">
        <v>54427</v>
      </c>
      <c r="J16" s="6">
        <f t="shared" si="2"/>
        <v>67813</v>
      </c>
      <c r="K16" s="14">
        <v>122240</v>
      </c>
      <c r="L16" s="7">
        <f t="shared" si="3"/>
        <v>0.51748370163406998</v>
      </c>
      <c r="M16" s="13">
        <v>560439</v>
      </c>
      <c r="N16" s="13">
        <v>263161</v>
      </c>
      <c r="O16" s="6">
        <f t="shared" si="4"/>
        <v>226152</v>
      </c>
      <c r="P16" s="15">
        <v>489313</v>
      </c>
      <c r="Q16" s="7">
        <f t="shared" si="5"/>
        <v>0.8730887750495594</v>
      </c>
      <c r="R16" s="13">
        <v>205814</v>
      </c>
      <c r="S16" s="13">
        <v>50965</v>
      </c>
      <c r="T16" s="6">
        <f t="shared" si="6"/>
        <v>72876</v>
      </c>
      <c r="U16" s="14">
        <v>123841</v>
      </c>
      <c r="V16" s="7">
        <f t="shared" si="7"/>
        <v>0.6017131973529497</v>
      </c>
      <c r="W16" s="13">
        <v>193923</v>
      </c>
      <c r="X16" s="13">
        <v>54220</v>
      </c>
      <c r="Y16" s="6">
        <f t="shared" si="8"/>
        <v>69749</v>
      </c>
      <c r="Z16" s="14">
        <v>123969</v>
      </c>
      <c r="AA16" s="7">
        <f t="shared" si="9"/>
        <v>0.63926919447409536</v>
      </c>
      <c r="AB16" s="13">
        <v>559918</v>
      </c>
      <c r="AC16" s="13">
        <v>199263</v>
      </c>
      <c r="AD16" s="6">
        <f t="shared" si="10"/>
        <v>300041</v>
      </c>
      <c r="AE16" s="15">
        <v>499304</v>
      </c>
      <c r="AF16" s="7">
        <f t="shared" si="11"/>
        <v>0.89174486264060093</v>
      </c>
      <c r="AG16" s="13">
        <v>184413</v>
      </c>
      <c r="AH16" s="13">
        <v>43294</v>
      </c>
      <c r="AI16" s="6">
        <f t="shared" si="12"/>
        <v>81880</v>
      </c>
      <c r="AJ16" s="14">
        <v>125174</v>
      </c>
      <c r="AK16" s="7">
        <f t="shared" si="13"/>
        <v>0.67876993487443948</v>
      </c>
      <c r="AL16" s="13">
        <v>173833</v>
      </c>
      <c r="AM16" s="13">
        <v>55711</v>
      </c>
      <c r="AN16" s="6">
        <f t="shared" si="14"/>
        <v>72251</v>
      </c>
      <c r="AO16" s="14">
        <v>127962</v>
      </c>
      <c r="AP16" s="7">
        <f t="shared" si="15"/>
        <v>0.736120299367784</v>
      </c>
      <c r="AQ16" s="13">
        <v>541872</v>
      </c>
      <c r="AR16" s="13">
        <v>368743</v>
      </c>
      <c r="AS16" s="6">
        <f t="shared" si="16"/>
        <v>139198</v>
      </c>
      <c r="AT16" s="15">
        <v>507941</v>
      </c>
      <c r="AU16" s="7">
        <f t="shared" si="17"/>
        <v>0.93738189092627044</v>
      </c>
      <c r="AV16" s="13">
        <v>152784</v>
      </c>
      <c r="AW16" s="13">
        <v>78919</v>
      </c>
      <c r="AX16" s="6">
        <f t="shared" si="18"/>
        <v>47569</v>
      </c>
      <c r="AY16" s="14">
        <v>126488</v>
      </c>
      <c r="AZ16" s="7">
        <f t="shared" si="19"/>
        <v>0.82788773693580475</v>
      </c>
      <c r="BA16" s="13">
        <v>150750</v>
      </c>
      <c r="BB16" s="13">
        <v>102068</v>
      </c>
      <c r="BC16" s="6">
        <f t="shared" si="20"/>
        <v>24130</v>
      </c>
      <c r="BD16" s="14">
        <v>126198</v>
      </c>
      <c r="BE16" s="7">
        <f t="shared" si="21"/>
        <v>0.837134328358209</v>
      </c>
      <c r="BF16" s="13">
        <v>552190</v>
      </c>
      <c r="BG16" s="13">
        <v>377455</v>
      </c>
      <c r="BH16" s="6">
        <f t="shared" si="22"/>
        <v>134291</v>
      </c>
      <c r="BI16" s="15">
        <v>511746</v>
      </c>
      <c r="BJ16" s="7">
        <f t="shared" si="23"/>
        <v>0.92675709447834986</v>
      </c>
    </row>
    <row r="17" spans="1:62" x14ac:dyDescent="0.3">
      <c r="A17" s="20">
        <v>9</v>
      </c>
      <c r="B17" s="12" t="s">
        <v>15</v>
      </c>
      <c r="C17" s="13">
        <v>524456</v>
      </c>
      <c r="D17" s="13">
        <v>79858</v>
      </c>
      <c r="E17" s="6">
        <f t="shared" si="0"/>
        <v>210831</v>
      </c>
      <c r="F17" s="14">
        <v>290689</v>
      </c>
      <c r="G17" s="7">
        <f t="shared" si="1"/>
        <v>0.55426766020409723</v>
      </c>
      <c r="H17" s="13">
        <v>496559</v>
      </c>
      <c r="I17" s="13">
        <v>78716</v>
      </c>
      <c r="J17" s="6">
        <f t="shared" si="2"/>
        <v>213171</v>
      </c>
      <c r="K17" s="14">
        <v>291887</v>
      </c>
      <c r="L17" s="7">
        <f t="shared" si="3"/>
        <v>0.58781937292446618</v>
      </c>
      <c r="M17" s="13">
        <v>1118687</v>
      </c>
      <c r="N17" s="13">
        <v>367818</v>
      </c>
      <c r="O17" s="6">
        <f t="shared" si="4"/>
        <v>588940</v>
      </c>
      <c r="P17" s="15">
        <v>956758</v>
      </c>
      <c r="Q17" s="7">
        <f t="shared" si="5"/>
        <v>0.85525084317597322</v>
      </c>
      <c r="R17" s="13">
        <v>453407</v>
      </c>
      <c r="S17" s="13">
        <v>73238</v>
      </c>
      <c r="T17" s="6">
        <f t="shared" si="6"/>
        <v>222426</v>
      </c>
      <c r="U17" s="14">
        <v>295664</v>
      </c>
      <c r="V17" s="7">
        <f t="shared" si="7"/>
        <v>0.65209403471935812</v>
      </c>
      <c r="W17" s="13">
        <v>432883</v>
      </c>
      <c r="X17" s="13">
        <v>76803</v>
      </c>
      <c r="Y17" s="6">
        <f t="shared" si="8"/>
        <v>221223</v>
      </c>
      <c r="Z17" s="14">
        <v>298026</v>
      </c>
      <c r="AA17" s="7">
        <f t="shared" si="9"/>
        <v>0.68846778459768576</v>
      </c>
      <c r="AB17" s="13">
        <v>1126122</v>
      </c>
      <c r="AC17" s="13">
        <v>285334</v>
      </c>
      <c r="AD17" s="6">
        <f t="shared" si="10"/>
        <v>697990</v>
      </c>
      <c r="AE17" s="15">
        <v>983324</v>
      </c>
      <c r="AF17" s="7">
        <f t="shared" si="11"/>
        <v>0.87319491138615535</v>
      </c>
      <c r="AG17" s="13">
        <v>411675</v>
      </c>
      <c r="AH17" s="13">
        <v>66568</v>
      </c>
      <c r="AI17" s="6">
        <f t="shared" si="12"/>
        <v>236499</v>
      </c>
      <c r="AJ17" s="14">
        <v>303067</v>
      </c>
      <c r="AK17" s="7">
        <f t="shared" si="13"/>
        <v>0.73618023926641163</v>
      </c>
      <c r="AL17" s="13">
        <v>391787</v>
      </c>
      <c r="AM17" s="13">
        <v>82687</v>
      </c>
      <c r="AN17" s="6">
        <f t="shared" si="14"/>
        <v>224659</v>
      </c>
      <c r="AO17" s="14">
        <v>307346</v>
      </c>
      <c r="AP17" s="7">
        <f t="shared" si="15"/>
        <v>0.78447217493178689</v>
      </c>
      <c r="AQ17" s="13">
        <v>1127354</v>
      </c>
      <c r="AR17" s="13">
        <v>624423</v>
      </c>
      <c r="AS17" s="6">
        <f t="shared" si="16"/>
        <v>381281</v>
      </c>
      <c r="AT17" s="15">
        <v>1005704</v>
      </c>
      <c r="AU17" s="7">
        <f t="shared" si="17"/>
        <v>0.89209245720510155</v>
      </c>
      <c r="AV17" s="13">
        <v>386848</v>
      </c>
      <c r="AW17" s="13">
        <v>137990</v>
      </c>
      <c r="AX17" s="6">
        <f t="shared" si="18"/>
        <v>170745</v>
      </c>
      <c r="AY17" s="14">
        <v>308735</v>
      </c>
      <c r="AZ17" s="7">
        <f t="shared" si="19"/>
        <v>0.7980783149971048</v>
      </c>
      <c r="BA17" s="13">
        <v>379844</v>
      </c>
      <c r="BB17" s="13">
        <v>215306</v>
      </c>
      <c r="BC17" s="6">
        <f t="shared" si="20"/>
        <v>93343</v>
      </c>
      <c r="BD17" s="14">
        <v>308649</v>
      </c>
      <c r="BE17" s="7">
        <f t="shared" si="21"/>
        <v>0.81256779098787923</v>
      </c>
      <c r="BF17" s="13">
        <v>1155076</v>
      </c>
      <c r="BG17" s="13">
        <v>632633</v>
      </c>
      <c r="BH17" s="6">
        <f t="shared" si="22"/>
        <v>370551</v>
      </c>
      <c r="BI17" s="15">
        <v>1003184</v>
      </c>
      <c r="BJ17" s="7">
        <f t="shared" si="23"/>
        <v>0.86850042767748614</v>
      </c>
    </row>
    <row r="18" spans="1:62" x14ac:dyDescent="0.3">
      <c r="A18" s="21">
        <v>10</v>
      </c>
      <c r="B18" s="12" t="s">
        <v>16</v>
      </c>
      <c r="C18" s="13">
        <v>171325</v>
      </c>
      <c r="D18" s="13">
        <v>11233</v>
      </c>
      <c r="E18" s="6">
        <f t="shared" si="0"/>
        <v>67981</v>
      </c>
      <c r="F18" s="14">
        <v>79214</v>
      </c>
      <c r="G18" s="7">
        <f t="shared" si="1"/>
        <v>0.46236100977674011</v>
      </c>
      <c r="H18" s="13">
        <v>162671</v>
      </c>
      <c r="I18" s="13">
        <v>11394</v>
      </c>
      <c r="J18" s="6">
        <f t="shared" si="2"/>
        <v>68326</v>
      </c>
      <c r="K18" s="14">
        <v>79720</v>
      </c>
      <c r="L18" s="7">
        <f t="shared" si="3"/>
        <v>0.49006891209865311</v>
      </c>
      <c r="M18" s="13">
        <v>313451</v>
      </c>
      <c r="N18" s="13">
        <v>68554</v>
      </c>
      <c r="O18" s="6">
        <f t="shared" si="4"/>
        <v>182284</v>
      </c>
      <c r="P18" s="15">
        <v>250838</v>
      </c>
      <c r="Q18" s="7">
        <f t="shared" si="5"/>
        <v>0.80024629048878448</v>
      </c>
      <c r="R18" s="13">
        <v>151876</v>
      </c>
      <c r="S18" s="13">
        <v>10786</v>
      </c>
      <c r="T18" s="6">
        <f t="shared" si="6"/>
        <v>70356</v>
      </c>
      <c r="U18" s="14">
        <v>81142</v>
      </c>
      <c r="V18" s="7">
        <f t="shared" si="7"/>
        <v>0.53426479496431301</v>
      </c>
      <c r="W18" s="13">
        <v>147333</v>
      </c>
      <c r="X18" s="13">
        <v>11447</v>
      </c>
      <c r="Y18" s="6">
        <f t="shared" si="8"/>
        <v>70522</v>
      </c>
      <c r="Z18" s="14">
        <v>81969</v>
      </c>
      <c r="AA18" s="7">
        <f t="shared" si="9"/>
        <v>0.5563519374478223</v>
      </c>
      <c r="AB18" s="13">
        <v>325576</v>
      </c>
      <c r="AC18" s="13">
        <v>53178</v>
      </c>
      <c r="AD18" s="6">
        <f t="shared" si="10"/>
        <v>208685</v>
      </c>
      <c r="AE18" s="15">
        <v>261863</v>
      </c>
      <c r="AF18" s="7">
        <f t="shared" si="11"/>
        <v>0.80430682851315827</v>
      </c>
      <c r="AG18" s="13">
        <v>146984</v>
      </c>
      <c r="AH18" s="13">
        <v>10208</v>
      </c>
      <c r="AI18" s="6">
        <f t="shared" si="12"/>
        <v>73762</v>
      </c>
      <c r="AJ18" s="14">
        <v>83970</v>
      </c>
      <c r="AK18" s="7">
        <f t="shared" si="13"/>
        <v>0.57128667065803085</v>
      </c>
      <c r="AL18" s="13">
        <v>143867</v>
      </c>
      <c r="AM18" s="13">
        <v>13204</v>
      </c>
      <c r="AN18" s="6">
        <f t="shared" si="14"/>
        <v>72163</v>
      </c>
      <c r="AO18" s="14">
        <v>85367</v>
      </c>
      <c r="AP18" s="7">
        <f t="shared" si="15"/>
        <v>0.59337443611113039</v>
      </c>
      <c r="AQ18" s="13">
        <v>332886</v>
      </c>
      <c r="AR18" s="13">
        <v>146645</v>
      </c>
      <c r="AS18" s="6">
        <f t="shared" si="16"/>
        <v>124400</v>
      </c>
      <c r="AT18" s="15">
        <v>271045</v>
      </c>
      <c r="AU18" s="7">
        <f t="shared" si="17"/>
        <v>0.81422769356476388</v>
      </c>
      <c r="AV18" s="13">
        <v>133090</v>
      </c>
      <c r="AW18" s="13">
        <v>28179</v>
      </c>
      <c r="AX18" s="6">
        <f t="shared" si="18"/>
        <v>60380</v>
      </c>
      <c r="AY18" s="14">
        <v>88559</v>
      </c>
      <c r="AZ18" s="7">
        <f t="shared" si="19"/>
        <v>0.66540686753324818</v>
      </c>
      <c r="BA18" s="13">
        <v>108549</v>
      </c>
      <c r="BB18" s="13">
        <v>50287</v>
      </c>
      <c r="BC18" s="6">
        <f t="shared" si="20"/>
        <v>35931</v>
      </c>
      <c r="BD18" s="14">
        <v>86218</v>
      </c>
      <c r="BE18" s="7">
        <f t="shared" si="21"/>
        <v>0.79427723885065726</v>
      </c>
      <c r="BF18" s="13">
        <v>320339</v>
      </c>
      <c r="BG18" s="13">
        <v>144552</v>
      </c>
      <c r="BH18" s="6">
        <f t="shared" si="22"/>
        <v>125698</v>
      </c>
      <c r="BI18" s="15">
        <v>270250</v>
      </c>
      <c r="BJ18" s="7">
        <f t="shared" si="23"/>
        <v>0.84363752150066029</v>
      </c>
    </row>
    <row r="19" spans="1:62" x14ac:dyDescent="0.3">
      <c r="A19" s="21">
        <v>11</v>
      </c>
      <c r="B19" s="12" t="s">
        <v>17</v>
      </c>
      <c r="C19" s="13">
        <v>4600</v>
      </c>
      <c r="D19" s="13">
        <v>797</v>
      </c>
      <c r="E19" s="6">
        <f t="shared" si="0"/>
        <v>1867</v>
      </c>
      <c r="F19" s="14">
        <v>2664</v>
      </c>
      <c r="G19" s="7">
        <f t="shared" si="1"/>
        <v>0.57913043478260873</v>
      </c>
      <c r="H19" s="13">
        <v>4548</v>
      </c>
      <c r="I19" s="13">
        <v>811</v>
      </c>
      <c r="J19" s="6">
        <f t="shared" si="2"/>
        <v>1850</v>
      </c>
      <c r="K19" s="14">
        <v>2661</v>
      </c>
      <c r="L19" s="7">
        <f t="shared" si="3"/>
        <v>0.58509234828496037</v>
      </c>
      <c r="M19" s="13">
        <v>7029</v>
      </c>
      <c r="N19" s="13">
        <v>2167</v>
      </c>
      <c r="O19" s="6">
        <f t="shared" si="4"/>
        <v>3589</v>
      </c>
      <c r="P19" s="15">
        <v>5756</v>
      </c>
      <c r="Q19" s="7">
        <f t="shared" si="5"/>
        <v>0.81889315692132592</v>
      </c>
      <c r="R19" s="13">
        <v>4252</v>
      </c>
      <c r="S19" s="13">
        <v>801</v>
      </c>
      <c r="T19" s="6">
        <f t="shared" si="6"/>
        <v>1901</v>
      </c>
      <c r="U19" s="14">
        <v>2702</v>
      </c>
      <c r="V19" s="7">
        <f t="shared" si="7"/>
        <v>0.63546566321730946</v>
      </c>
      <c r="W19" s="13">
        <v>4075</v>
      </c>
      <c r="X19" s="13">
        <v>815</v>
      </c>
      <c r="Y19" s="6">
        <f t="shared" si="8"/>
        <v>1932</v>
      </c>
      <c r="Z19" s="14">
        <v>2747</v>
      </c>
      <c r="AA19" s="7">
        <f t="shared" si="9"/>
        <v>0.67411042944785271</v>
      </c>
      <c r="AB19" s="13">
        <v>7195</v>
      </c>
      <c r="AC19" s="13">
        <v>1733</v>
      </c>
      <c r="AD19" s="6">
        <f t="shared" si="10"/>
        <v>4254</v>
      </c>
      <c r="AE19" s="15">
        <v>5987</v>
      </c>
      <c r="AF19" s="7">
        <f t="shared" si="11"/>
        <v>0.83210562890896456</v>
      </c>
      <c r="AG19" s="13">
        <v>4095</v>
      </c>
      <c r="AH19" s="13">
        <v>761</v>
      </c>
      <c r="AI19" s="6">
        <f t="shared" si="12"/>
        <v>2043</v>
      </c>
      <c r="AJ19" s="14">
        <v>2804</v>
      </c>
      <c r="AK19" s="7">
        <f t="shared" si="13"/>
        <v>0.68473748473748475</v>
      </c>
      <c r="AL19" s="13">
        <v>4062</v>
      </c>
      <c r="AM19" s="13">
        <v>838</v>
      </c>
      <c r="AN19" s="6">
        <f t="shared" si="14"/>
        <v>1981</v>
      </c>
      <c r="AO19" s="14">
        <v>2819</v>
      </c>
      <c r="AP19" s="7">
        <f t="shared" si="15"/>
        <v>0.69399310684391924</v>
      </c>
      <c r="AQ19" s="13">
        <v>7450</v>
      </c>
      <c r="AR19" s="13">
        <v>3061</v>
      </c>
      <c r="AS19" s="6">
        <f t="shared" si="16"/>
        <v>3102</v>
      </c>
      <c r="AT19" s="15">
        <v>6163</v>
      </c>
      <c r="AU19" s="7">
        <f t="shared" si="17"/>
        <v>0.82724832214765098</v>
      </c>
      <c r="AV19" s="13">
        <v>3908</v>
      </c>
      <c r="AW19" s="13">
        <v>1156</v>
      </c>
      <c r="AX19" s="6">
        <f t="shared" si="18"/>
        <v>1667</v>
      </c>
      <c r="AY19" s="14">
        <v>2823</v>
      </c>
      <c r="AZ19" s="7">
        <f t="shared" si="19"/>
        <v>0.72236438075742071</v>
      </c>
      <c r="BA19" s="13">
        <v>3729</v>
      </c>
      <c r="BB19" s="13">
        <v>1818</v>
      </c>
      <c r="BC19" s="6">
        <f t="shared" si="20"/>
        <v>1032</v>
      </c>
      <c r="BD19" s="14">
        <v>2850</v>
      </c>
      <c r="BE19" s="7">
        <f t="shared" si="21"/>
        <v>0.7642799678197908</v>
      </c>
      <c r="BF19" s="13">
        <v>7508</v>
      </c>
      <c r="BG19" s="13">
        <v>4045</v>
      </c>
      <c r="BH19" s="6">
        <f t="shared" si="22"/>
        <v>2257</v>
      </c>
      <c r="BI19" s="15">
        <v>6302</v>
      </c>
      <c r="BJ19" s="7">
        <f t="shared" si="23"/>
        <v>0.83937133724027702</v>
      </c>
    </row>
    <row r="20" spans="1:62" x14ac:dyDescent="0.3">
      <c r="A20" s="21">
        <v>12</v>
      </c>
      <c r="B20" s="12" t="s">
        <v>18</v>
      </c>
      <c r="C20" s="13">
        <v>8440</v>
      </c>
      <c r="D20" s="13">
        <v>435</v>
      </c>
      <c r="E20" s="6">
        <f t="shared" si="0"/>
        <v>2847</v>
      </c>
      <c r="F20" s="14">
        <v>3282</v>
      </c>
      <c r="G20" s="7">
        <f t="shared" si="1"/>
        <v>0.38886255924170615</v>
      </c>
      <c r="H20" s="13">
        <v>8306</v>
      </c>
      <c r="I20" s="13">
        <v>428</v>
      </c>
      <c r="J20" s="6">
        <f t="shared" si="2"/>
        <v>2847</v>
      </c>
      <c r="K20" s="14">
        <v>3275</v>
      </c>
      <c r="L20" s="7">
        <f t="shared" si="3"/>
        <v>0.3942932819648447</v>
      </c>
      <c r="M20" s="13">
        <v>11143</v>
      </c>
      <c r="N20" s="13">
        <v>1390</v>
      </c>
      <c r="O20" s="6">
        <f t="shared" si="4"/>
        <v>6286</v>
      </c>
      <c r="P20" s="15">
        <v>7676</v>
      </c>
      <c r="Q20" s="7">
        <f t="shared" si="5"/>
        <v>0.68886296329534236</v>
      </c>
      <c r="R20" s="13">
        <v>7639</v>
      </c>
      <c r="S20" s="13">
        <v>569</v>
      </c>
      <c r="T20" s="6">
        <f t="shared" si="6"/>
        <v>2768</v>
      </c>
      <c r="U20" s="14">
        <v>3337</v>
      </c>
      <c r="V20" s="7">
        <f t="shared" si="7"/>
        <v>0.43683728236680192</v>
      </c>
      <c r="W20" s="13">
        <v>7528</v>
      </c>
      <c r="X20" s="13">
        <v>602</v>
      </c>
      <c r="Y20" s="6">
        <f t="shared" si="8"/>
        <v>2785</v>
      </c>
      <c r="Z20" s="14">
        <v>3387</v>
      </c>
      <c r="AA20" s="7">
        <f t="shared" si="9"/>
        <v>0.44992029755579172</v>
      </c>
      <c r="AB20" s="13">
        <v>11960</v>
      </c>
      <c r="AC20" s="13">
        <v>1349</v>
      </c>
      <c r="AD20" s="6">
        <f t="shared" si="10"/>
        <v>6804</v>
      </c>
      <c r="AE20" s="15">
        <v>8153</v>
      </c>
      <c r="AF20" s="7">
        <f t="shared" si="11"/>
        <v>0.68168896321070238</v>
      </c>
      <c r="AG20" s="13">
        <v>7480</v>
      </c>
      <c r="AH20" s="13">
        <v>538</v>
      </c>
      <c r="AI20" s="6">
        <f t="shared" si="12"/>
        <v>2965</v>
      </c>
      <c r="AJ20" s="14">
        <v>3503</v>
      </c>
      <c r="AK20" s="7">
        <f t="shared" si="13"/>
        <v>0.46831550802139038</v>
      </c>
      <c r="AL20" s="13">
        <v>7440</v>
      </c>
      <c r="AM20" s="13">
        <v>595</v>
      </c>
      <c r="AN20" s="6">
        <f t="shared" si="14"/>
        <v>2935</v>
      </c>
      <c r="AO20" s="14">
        <v>3530</v>
      </c>
      <c r="AP20" s="7">
        <f t="shared" si="15"/>
        <v>0.47446236559139787</v>
      </c>
      <c r="AQ20" s="13">
        <v>12515</v>
      </c>
      <c r="AR20" s="13">
        <v>3427</v>
      </c>
      <c r="AS20" s="6">
        <f t="shared" si="16"/>
        <v>5066</v>
      </c>
      <c r="AT20" s="15">
        <v>8493</v>
      </c>
      <c r="AU20" s="7">
        <f t="shared" si="17"/>
        <v>0.67862564922093482</v>
      </c>
      <c r="AV20" s="13">
        <v>7275</v>
      </c>
      <c r="AW20" s="13">
        <v>923</v>
      </c>
      <c r="AX20" s="6">
        <f t="shared" si="18"/>
        <v>2663</v>
      </c>
      <c r="AY20" s="14">
        <v>3586</v>
      </c>
      <c r="AZ20" s="7">
        <f t="shared" si="19"/>
        <v>0.4929209621993127</v>
      </c>
      <c r="BA20" s="13">
        <v>7020</v>
      </c>
      <c r="BB20" s="13">
        <v>1782</v>
      </c>
      <c r="BC20" s="6">
        <f t="shared" si="20"/>
        <v>1831</v>
      </c>
      <c r="BD20" s="14">
        <v>3613</v>
      </c>
      <c r="BE20" s="7">
        <f t="shared" si="21"/>
        <v>0.51467236467236466</v>
      </c>
      <c r="BF20" s="13">
        <v>12538</v>
      </c>
      <c r="BG20" s="13">
        <v>3981</v>
      </c>
      <c r="BH20" s="6">
        <f t="shared" si="22"/>
        <v>4693</v>
      </c>
      <c r="BI20" s="15">
        <v>8674</v>
      </c>
      <c r="BJ20" s="7">
        <f t="shared" si="23"/>
        <v>0.6918168766948477</v>
      </c>
    </row>
    <row r="21" spans="1:62" x14ac:dyDescent="0.3">
      <c r="A21" s="21">
        <v>13</v>
      </c>
      <c r="B21" s="12" t="s">
        <v>19</v>
      </c>
      <c r="C21" s="13">
        <v>5424</v>
      </c>
      <c r="D21" s="13">
        <v>564</v>
      </c>
      <c r="E21" s="6">
        <f t="shared" si="0"/>
        <v>2635</v>
      </c>
      <c r="F21" s="14">
        <v>3199</v>
      </c>
      <c r="G21" s="7">
        <f t="shared" si="1"/>
        <v>0.58978613569321536</v>
      </c>
      <c r="H21" s="13">
        <v>5324</v>
      </c>
      <c r="I21" s="13">
        <v>591</v>
      </c>
      <c r="J21" s="6">
        <f t="shared" si="2"/>
        <v>2622</v>
      </c>
      <c r="K21" s="14">
        <v>3213</v>
      </c>
      <c r="L21" s="7">
        <f t="shared" si="3"/>
        <v>0.60349361382419231</v>
      </c>
      <c r="M21" s="13">
        <v>6463</v>
      </c>
      <c r="N21" s="13">
        <v>1086</v>
      </c>
      <c r="O21" s="6">
        <f t="shared" si="4"/>
        <v>3785</v>
      </c>
      <c r="P21" s="15">
        <v>4871</v>
      </c>
      <c r="Q21" s="7">
        <f t="shared" si="5"/>
        <v>0.75367476404146683</v>
      </c>
      <c r="R21" s="13">
        <v>5094</v>
      </c>
      <c r="S21" s="13">
        <v>521</v>
      </c>
      <c r="T21" s="6">
        <f t="shared" si="6"/>
        <v>2797</v>
      </c>
      <c r="U21" s="14">
        <v>3318</v>
      </c>
      <c r="V21" s="7">
        <f t="shared" si="7"/>
        <v>0.65135453474676086</v>
      </c>
      <c r="W21" s="13">
        <v>5116</v>
      </c>
      <c r="X21" s="13">
        <v>621</v>
      </c>
      <c r="Y21" s="6">
        <f t="shared" si="8"/>
        <v>2755</v>
      </c>
      <c r="Z21" s="14">
        <v>3376</v>
      </c>
      <c r="AA21" s="7">
        <f t="shared" si="9"/>
        <v>0.65989053948397181</v>
      </c>
      <c r="AB21" s="13">
        <v>6718</v>
      </c>
      <c r="AC21" s="13">
        <v>998</v>
      </c>
      <c r="AD21" s="6">
        <f t="shared" si="10"/>
        <v>4096</v>
      </c>
      <c r="AE21" s="15">
        <v>5094</v>
      </c>
      <c r="AF21" s="7">
        <f t="shared" si="11"/>
        <v>0.75826138731765402</v>
      </c>
      <c r="AG21" s="13">
        <v>5117</v>
      </c>
      <c r="AH21" s="13">
        <v>607</v>
      </c>
      <c r="AI21" s="6">
        <f t="shared" si="12"/>
        <v>2866</v>
      </c>
      <c r="AJ21" s="14">
        <v>3473</v>
      </c>
      <c r="AK21" s="7">
        <f t="shared" si="13"/>
        <v>0.678717998827438</v>
      </c>
      <c r="AL21" s="13">
        <v>5024</v>
      </c>
      <c r="AM21" s="13">
        <v>708</v>
      </c>
      <c r="AN21" s="6">
        <f t="shared" si="14"/>
        <v>2791</v>
      </c>
      <c r="AO21" s="14">
        <v>3499</v>
      </c>
      <c r="AP21" s="7">
        <f t="shared" si="15"/>
        <v>0.69645700636942676</v>
      </c>
      <c r="AQ21" s="13">
        <v>6694</v>
      </c>
      <c r="AR21" s="13">
        <v>1700</v>
      </c>
      <c r="AS21" s="6">
        <f t="shared" si="16"/>
        <v>3502</v>
      </c>
      <c r="AT21" s="15">
        <v>5202</v>
      </c>
      <c r="AU21" s="7">
        <f t="shared" si="17"/>
        <v>0.77711383328353745</v>
      </c>
      <c r="AV21" s="13">
        <v>4925</v>
      </c>
      <c r="AW21" s="13">
        <v>998</v>
      </c>
      <c r="AX21" s="6">
        <f t="shared" si="18"/>
        <v>2549</v>
      </c>
      <c r="AY21" s="14">
        <v>3547</v>
      </c>
      <c r="AZ21" s="7">
        <f t="shared" si="19"/>
        <v>0.72020304568527915</v>
      </c>
      <c r="BA21" s="13">
        <v>4794</v>
      </c>
      <c r="BB21" s="13">
        <v>2023</v>
      </c>
      <c r="BC21" s="6">
        <f t="shared" si="20"/>
        <v>1540</v>
      </c>
      <c r="BD21" s="14">
        <v>3563</v>
      </c>
      <c r="BE21" s="7">
        <f t="shared" si="21"/>
        <v>0.74322069253233203</v>
      </c>
      <c r="BF21" s="13">
        <v>6784</v>
      </c>
      <c r="BG21" s="13">
        <v>3051</v>
      </c>
      <c r="BH21" s="6">
        <f t="shared" si="22"/>
        <v>2188</v>
      </c>
      <c r="BI21" s="15">
        <v>5239</v>
      </c>
      <c r="BJ21" s="7">
        <f t="shared" si="23"/>
        <v>0.77225825471698117</v>
      </c>
    </row>
    <row r="22" spans="1:62" x14ac:dyDescent="0.3">
      <c r="A22" s="21">
        <v>14</v>
      </c>
      <c r="B22" s="12" t="s">
        <v>20</v>
      </c>
      <c r="C22" s="13">
        <v>9159</v>
      </c>
      <c r="D22" s="13">
        <v>576</v>
      </c>
      <c r="E22" s="6">
        <f t="shared" si="0"/>
        <v>3581</v>
      </c>
      <c r="F22" s="14">
        <v>4157</v>
      </c>
      <c r="G22" s="7">
        <f t="shared" si="1"/>
        <v>0.45387050988099137</v>
      </c>
      <c r="H22" s="13">
        <v>8938</v>
      </c>
      <c r="I22" s="13">
        <v>557</v>
      </c>
      <c r="J22" s="6">
        <f t="shared" si="2"/>
        <v>3597</v>
      </c>
      <c r="K22" s="14">
        <v>4154</v>
      </c>
      <c r="L22" s="7">
        <f t="shared" si="3"/>
        <v>0.46475721637950324</v>
      </c>
      <c r="M22" s="13">
        <v>10941</v>
      </c>
      <c r="N22" s="13">
        <v>1235</v>
      </c>
      <c r="O22" s="6">
        <f t="shared" si="4"/>
        <v>5556</v>
      </c>
      <c r="P22" s="15">
        <v>6791</v>
      </c>
      <c r="Q22" s="7">
        <f t="shared" si="5"/>
        <v>0.62069280687322914</v>
      </c>
      <c r="R22" s="13">
        <v>8347</v>
      </c>
      <c r="S22" s="13">
        <v>521</v>
      </c>
      <c r="T22" s="6">
        <f t="shared" si="6"/>
        <v>3685</v>
      </c>
      <c r="U22" s="14">
        <v>4206</v>
      </c>
      <c r="V22" s="7">
        <f t="shared" si="7"/>
        <v>0.50389361447226544</v>
      </c>
      <c r="W22" s="13">
        <v>7996</v>
      </c>
      <c r="X22" s="13">
        <v>571</v>
      </c>
      <c r="Y22" s="6">
        <f t="shared" si="8"/>
        <v>3660</v>
      </c>
      <c r="Z22" s="14">
        <v>4231</v>
      </c>
      <c r="AA22" s="7">
        <f t="shared" si="9"/>
        <v>0.52913956978489241</v>
      </c>
      <c r="AB22" s="13">
        <v>10659</v>
      </c>
      <c r="AC22" s="13">
        <v>1119</v>
      </c>
      <c r="AD22" s="6">
        <f t="shared" si="10"/>
        <v>5818</v>
      </c>
      <c r="AE22" s="15">
        <v>6937</v>
      </c>
      <c r="AF22" s="7">
        <f t="shared" si="11"/>
        <v>0.65081152078056104</v>
      </c>
      <c r="AG22" s="13">
        <v>7640</v>
      </c>
      <c r="AH22" s="13">
        <v>601</v>
      </c>
      <c r="AI22" s="6">
        <f t="shared" si="12"/>
        <v>3728</v>
      </c>
      <c r="AJ22" s="14">
        <v>4329</v>
      </c>
      <c r="AK22" s="7">
        <f t="shared" si="13"/>
        <v>0.56662303664921465</v>
      </c>
      <c r="AL22" s="13">
        <v>7565</v>
      </c>
      <c r="AM22" s="13">
        <v>667</v>
      </c>
      <c r="AN22" s="6">
        <f t="shared" si="14"/>
        <v>3674</v>
      </c>
      <c r="AO22" s="14">
        <v>4341</v>
      </c>
      <c r="AP22" s="7">
        <f t="shared" si="15"/>
        <v>0.57382683410442825</v>
      </c>
      <c r="AQ22" s="13">
        <v>10173</v>
      </c>
      <c r="AR22" s="13">
        <v>2393</v>
      </c>
      <c r="AS22" s="6">
        <f t="shared" si="16"/>
        <v>4576</v>
      </c>
      <c r="AT22" s="15">
        <v>6969</v>
      </c>
      <c r="AU22" s="7">
        <f t="shared" si="17"/>
        <v>0.68504865821291649</v>
      </c>
      <c r="AV22" s="13">
        <v>7119</v>
      </c>
      <c r="AW22" s="13">
        <v>1032</v>
      </c>
      <c r="AX22" s="6">
        <f t="shared" si="18"/>
        <v>3309</v>
      </c>
      <c r="AY22" s="14">
        <v>4341</v>
      </c>
      <c r="AZ22" s="7">
        <f t="shared" si="19"/>
        <v>0.60977665402444159</v>
      </c>
      <c r="BA22" s="13">
        <v>7146</v>
      </c>
      <c r="BB22" s="13">
        <v>2056</v>
      </c>
      <c r="BC22" s="6">
        <f t="shared" si="20"/>
        <v>2220</v>
      </c>
      <c r="BD22" s="14">
        <v>4276</v>
      </c>
      <c r="BE22" s="7">
        <f t="shared" si="21"/>
        <v>0.59837671424573191</v>
      </c>
      <c r="BF22" s="13">
        <v>10531</v>
      </c>
      <c r="BG22" s="13">
        <v>2966</v>
      </c>
      <c r="BH22" s="6">
        <f t="shared" si="22"/>
        <v>3770</v>
      </c>
      <c r="BI22" s="15">
        <v>6736</v>
      </c>
      <c r="BJ22" s="7">
        <f t="shared" si="23"/>
        <v>0.63963536226379258</v>
      </c>
    </row>
    <row r="23" spans="1:62" x14ac:dyDescent="0.3">
      <c r="A23" s="21">
        <v>15</v>
      </c>
      <c r="B23" s="12" t="s">
        <v>21</v>
      </c>
      <c r="C23" s="13">
        <v>4309</v>
      </c>
      <c r="D23" s="13">
        <v>520</v>
      </c>
      <c r="E23" s="6">
        <f t="shared" si="0"/>
        <v>2104</v>
      </c>
      <c r="F23" s="14">
        <v>2624</v>
      </c>
      <c r="G23" s="7">
        <f t="shared" si="1"/>
        <v>0.60895799489440705</v>
      </c>
      <c r="H23" s="13">
        <v>4314</v>
      </c>
      <c r="I23" s="13">
        <v>585</v>
      </c>
      <c r="J23" s="6">
        <f t="shared" si="2"/>
        <v>2042</v>
      </c>
      <c r="K23" s="14">
        <v>2627</v>
      </c>
      <c r="L23" s="7">
        <f t="shared" si="3"/>
        <v>0.60894761242466389</v>
      </c>
      <c r="M23" s="13">
        <v>5454</v>
      </c>
      <c r="N23" s="13">
        <v>1297</v>
      </c>
      <c r="O23" s="6">
        <f t="shared" si="4"/>
        <v>2707</v>
      </c>
      <c r="P23" s="15">
        <v>4004</v>
      </c>
      <c r="Q23" s="7">
        <f t="shared" si="5"/>
        <v>0.73414008067473413</v>
      </c>
      <c r="R23" s="13">
        <v>4339</v>
      </c>
      <c r="S23" s="13">
        <v>525</v>
      </c>
      <c r="T23" s="6">
        <f t="shared" si="6"/>
        <v>2189</v>
      </c>
      <c r="U23" s="14">
        <v>2714</v>
      </c>
      <c r="V23" s="7">
        <f t="shared" si="7"/>
        <v>0.62548974418068681</v>
      </c>
      <c r="W23" s="13">
        <v>4331</v>
      </c>
      <c r="X23" s="13">
        <v>544</v>
      </c>
      <c r="Y23" s="6">
        <f t="shared" si="8"/>
        <v>2187</v>
      </c>
      <c r="Z23" s="14">
        <v>2731</v>
      </c>
      <c r="AA23" s="7">
        <f t="shared" si="9"/>
        <v>0.6305703070884322</v>
      </c>
      <c r="AB23" s="13">
        <v>5800</v>
      </c>
      <c r="AC23" s="13">
        <v>1399</v>
      </c>
      <c r="AD23" s="6">
        <f t="shared" si="10"/>
        <v>2774</v>
      </c>
      <c r="AE23" s="15">
        <v>4173</v>
      </c>
      <c r="AF23" s="7">
        <f t="shared" si="11"/>
        <v>0.71948275862068967</v>
      </c>
      <c r="AG23" s="13">
        <v>4378</v>
      </c>
      <c r="AH23" s="13">
        <v>531</v>
      </c>
      <c r="AI23" s="6">
        <f t="shared" si="12"/>
        <v>2217</v>
      </c>
      <c r="AJ23" s="14">
        <v>2748</v>
      </c>
      <c r="AK23" s="7">
        <f t="shared" si="13"/>
        <v>0.62768387391502967</v>
      </c>
      <c r="AL23" s="13">
        <v>4406</v>
      </c>
      <c r="AM23" s="13">
        <v>664</v>
      </c>
      <c r="AN23" s="6">
        <f t="shared" si="14"/>
        <v>2135</v>
      </c>
      <c r="AO23" s="14">
        <v>2799</v>
      </c>
      <c r="AP23" s="7">
        <f t="shared" si="15"/>
        <v>0.6352700862460281</v>
      </c>
      <c r="AQ23" s="13">
        <v>6083</v>
      </c>
      <c r="AR23" s="13">
        <v>1668</v>
      </c>
      <c r="AS23" s="6">
        <f t="shared" si="16"/>
        <v>2642</v>
      </c>
      <c r="AT23" s="15">
        <v>4310</v>
      </c>
      <c r="AU23" s="7">
        <f t="shared" si="17"/>
        <v>0.70853197435475912</v>
      </c>
      <c r="AV23" s="13">
        <v>4479</v>
      </c>
      <c r="AW23" s="13">
        <v>804</v>
      </c>
      <c r="AX23" s="6">
        <f t="shared" si="18"/>
        <v>2074</v>
      </c>
      <c r="AY23" s="14">
        <v>2878</v>
      </c>
      <c r="AZ23" s="7">
        <f t="shared" si="19"/>
        <v>0.64255414154945301</v>
      </c>
      <c r="BA23" s="13">
        <v>4501</v>
      </c>
      <c r="BB23" s="13">
        <v>1857</v>
      </c>
      <c r="BC23" s="6">
        <f t="shared" si="20"/>
        <v>1037</v>
      </c>
      <c r="BD23" s="14">
        <v>2894</v>
      </c>
      <c r="BE23" s="7">
        <f t="shared" si="21"/>
        <v>0.64296822928238173</v>
      </c>
      <c r="BF23" s="13">
        <v>6256</v>
      </c>
      <c r="BG23" s="13">
        <v>3267</v>
      </c>
      <c r="BH23" s="6">
        <f t="shared" si="22"/>
        <v>1173</v>
      </c>
      <c r="BI23" s="15">
        <v>4440</v>
      </c>
      <c r="BJ23" s="7">
        <f t="shared" si="23"/>
        <v>0.70971867007672629</v>
      </c>
    </row>
    <row r="24" spans="1:62" x14ac:dyDescent="0.3">
      <c r="A24" s="21">
        <v>16</v>
      </c>
      <c r="B24" s="12" t="s">
        <v>22</v>
      </c>
      <c r="C24" s="13">
        <v>13357</v>
      </c>
      <c r="D24" s="13">
        <v>1448</v>
      </c>
      <c r="E24" s="6">
        <f t="shared" si="0"/>
        <v>5352</v>
      </c>
      <c r="F24" s="14">
        <v>6800</v>
      </c>
      <c r="G24" s="7">
        <f t="shared" si="1"/>
        <v>0.50909635397170028</v>
      </c>
      <c r="H24" s="13">
        <v>13002</v>
      </c>
      <c r="I24" s="13">
        <v>1571</v>
      </c>
      <c r="J24" s="6">
        <f t="shared" si="2"/>
        <v>5272</v>
      </c>
      <c r="K24" s="14">
        <v>6843</v>
      </c>
      <c r="L24" s="7">
        <f t="shared" si="3"/>
        <v>0.5263036455929857</v>
      </c>
      <c r="M24" s="13">
        <v>24026</v>
      </c>
      <c r="N24" s="13">
        <v>7001</v>
      </c>
      <c r="O24" s="6">
        <f t="shared" si="4"/>
        <v>12355</v>
      </c>
      <c r="P24" s="15">
        <v>19356</v>
      </c>
      <c r="Q24" s="7">
        <f t="shared" si="5"/>
        <v>0.8056272371597436</v>
      </c>
      <c r="R24" s="13">
        <v>12173</v>
      </c>
      <c r="S24" s="13">
        <v>1621</v>
      </c>
      <c r="T24" s="6">
        <f t="shared" si="6"/>
        <v>5345</v>
      </c>
      <c r="U24" s="14">
        <v>6966</v>
      </c>
      <c r="V24" s="7">
        <f t="shared" si="7"/>
        <v>0.57225006161176373</v>
      </c>
      <c r="W24" s="13">
        <v>11708</v>
      </c>
      <c r="X24" s="13">
        <v>1630</v>
      </c>
      <c r="Y24" s="6">
        <f t="shared" si="8"/>
        <v>5405</v>
      </c>
      <c r="Z24" s="14">
        <v>7035</v>
      </c>
      <c r="AA24" s="7">
        <f t="shared" si="9"/>
        <v>0.60087119918004783</v>
      </c>
      <c r="AB24" s="13">
        <v>24530</v>
      </c>
      <c r="AC24" s="13">
        <v>5944</v>
      </c>
      <c r="AD24" s="6">
        <f t="shared" si="10"/>
        <v>14015</v>
      </c>
      <c r="AE24" s="15">
        <v>19959</v>
      </c>
      <c r="AF24" s="7">
        <f t="shared" si="11"/>
        <v>0.8136567468406033</v>
      </c>
      <c r="AG24" s="13">
        <v>11273</v>
      </c>
      <c r="AH24" s="13">
        <v>1712</v>
      </c>
      <c r="AI24" s="6">
        <f t="shared" si="12"/>
        <v>5434</v>
      </c>
      <c r="AJ24" s="14">
        <v>7146</v>
      </c>
      <c r="AK24" s="7">
        <f t="shared" si="13"/>
        <v>0.63390401845116651</v>
      </c>
      <c r="AL24" s="13">
        <v>10971</v>
      </c>
      <c r="AM24" s="13">
        <v>1711</v>
      </c>
      <c r="AN24" s="6">
        <f t="shared" si="14"/>
        <v>5517</v>
      </c>
      <c r="AO24" s="14">
        <v>7228</v>
      </c>
      <c r="AP24" s="7">
        <f t="shared" si="15"/>
        <v>0.65882781879500496</v>
      </c>
      <c r="AQ24" s="13">
        <v>24481</v>
      </c>
      <c r="AR24" s="13">
        <v>10889</v>
      </c>
      <c r="AS24" s="6">
        <f t="shared" si="16"/>
        <v>9380</v>
      </c>
      <c r="AT24" s="15">
        <v>20269</v>
      </c>
      <c r="AU24" s="7">
        <f t="shared" si="17"/>
        <v>0.82794820473019892</v>
      </c>
      <c r="AV24" s="13">
        <v>10298</v>
      </c>
      <c r="AW24" s="13">
        <v>2804</v>
      </c>
      <c r="AX24" s="6">
        <f t="shared" si="18"/>
        <v>4541</v>
      </c>
      <c r="AY24" s="14">
        <v>7345</v>
      </c>
      <c r="AZ24" s="7">
        <f t="shared" si="19"/>
        <v>0.71324529034764028</v>
      </c>
      <c r="BA24" s="13">
        <v>9683</v>
      </c>
      <c r="BB24" s="13">
        <v>4697</v>
      </c>
      <c r="BC24" s="6">
        <f t="shared" si="20"/>
        <v>2599</v>
      </c>
      <c r="BD24" s="14">
        <v>7296</v>
      </c>
      <c r="BE24" s="7">
        <f t="shared" si="21"/>
        <v>0.75348549003408039</v>
      </c>
      <c r="BF24" s="13">
        <v>24205</v>
      </c>
      <c r="BG24" s="13">
        <v>12693</v>
      </c>
      <c r="BH24" s="6">
        <f t="shared" si="22"/>
        <v>7538</v>
      </c>
      <c r="BI24" s="15">
        <v>20231</v>
      </c>
      <c r="BJ24" s="7">
        <f t="shared" si="23"/>
        <v>0.83581904565172482</v>
      </c>
    </row>
    <row r="25" spans="1:62" x14ac:dyDescent="0.3">
      <c r="A25" s="21">
        <v>17</v>
      </c>
      <c r="B25" s="12" t="s">
        <v>23</v>
      </c>
      <c r="C25" s="13">
        <v>16494</v>
      </c>
      <c r="D25" s="13">
        <v>1391</v>
      </c>
      <c r="E25" s="6">
        <f t="shared" si="0"/>
        <v>6512</v>
      </c>
      <c r="F25" s="14">
        <v>7903</v>
      </c>
      <c r="G25" s="7">
        <f t="shared" si="1"/>
        <v>0.47914393112647025</v>
      </c>
      <c r="H25" s="13">
        <v>16584</v>
      </c>
      <c r="I25" s="13">
        <v>1595</v>
      </c>
      <c r="J25" s="6">
        <f t="shared" si="2"/>
        <v>6411</v>
      </c>
      <c r="K25" s="14">
        <v>8006</v>
      </c>
      <c r="L25" s="7">
        <f t="shared" si="3"/>
        <v>0.4827544621321756</v>
      </c>
      <c r="M25" s="13">
        <v>24878</v>
      </c>
      <c r="N25" s="13">
        <v>5739</v>
      </c>
      <c r="O25" s="6">
        <f t="shared" si="4"/>
        <v>11584</v>
      </c>
      <c r="P25" s="15">
        <v>17323</v>
      </c>
      <c r="Q25" s="7">
        <f t="shared" si="5"/>
        <v>0.69631803199614117</v>
      </c>
      <c r="R25" s="13">
        <v>16556</v>
      </c>
      <c r="S25" s="13">
        <v>1545</v>
      </c>
      <c r="T25" s="6">
        <f t="shared" si="6"/>
        <v>6776</v>
      </c>
      <c r="U25" s="14">
        <v>8321</v>
      </c>
      <c r="V25" s="7">
        <f t="shared" si="7"/>
        <v>0.50259724571152453</v>
      </c>
      <c r="W25" s="13">
        <v>16201</v>
      </c>
      <c r="X25" s="13">
        <v>1829</v>
      </c>
      <c r="Y25" s="6">
        <f t="shared" si="8"/>
        <v>6532</v>
      </c>
      <c r="Z25" s="14">
        <v>8361</v>
      </c>
      <c r="AA25" s="7">
        <f t="shared" si="9"/>
        <v>0.51607925436701441</v>
      </c>
      <c r="AB25" s="13">
        <v>26140</v>
      </c>
      <c r="AC25" s="13">
        <v>5993</v>
      </c>
      <c r="AD25" s="6">
        <f t="shared" si="10"/>
        <v>12099</v>
      </c>
      <c r="AE25" s="15">
        <v>18092</v>
      </c>
      <c r="AF25" s="7">
        <f t="shared" si="11"/>
        <v>0.69211935730680951</v>
      </c>
      <c r="AG25" s="13">
        <v>16090</v>
      </c>
      <c r="AH25" s="13">
        <v>1524</v>
      </c>
      <c r="AI25" s="6">
        <f t="shared" si="12"/>
        <v>6891</v>
      </c>
      <c r="AJ25" s="14">
        <v>8415</v>
      </c>
      <c r="AK25" s="7">
        <f t="shared" si="13"/>
        <v>0.52299564947172161</v>
      </c>
      <c r="AL25" s="13">
        <v>15981</v>
      </c>
      <c r="AM25" s="13">
        <v>1747</v>
      </c>
      <c r="AN25" s="6">
        <f t="shared" si="14"/>
        <v>6632</v>
      </c>
      <c r="AO25" s="14">
        <v>8379</v>
      </c>
      <c r="AP25" s="7">
        <f t="shared" si="15"/>
        <v>0.52431011826544016</v>
      </c>
      <c r="AQ25" s="13">
        <v>26428</v>
      </c>
      <c r="AR25" s="13">
        <v>7356</v>
      </c>
      <c r="AS25" s="6">
        <f t="shared" si="16"/>
        <v>10639</v>
      </c>
      <c r="AT25" s="15">
        <v>17995</v>
      </c>
      <c r="AU25" s="7">
        <f t="shared" si="17"/>
        <v>0.68090661419706378</v>
      </c>
      <c r="AV25" s="13">
        <v>15911</v>
      </c>
      <c r="AW25" s="13">
        <v>2477</v>
      </c>
      <c r="AX25" s="6">
        <f t="shared" si="18"/>
        <v>6039</v>
      </c>
      <c r="AY25" s="14">
        <v>8516</v>
      </c>
      <c r="AZ25" s="7">
        <f t="shared" si="19"/>
        <v>0.53522720130727175</v>
      </c>
      <c r="BA25" s="13">
        <v>15896</v>
      </c>
      <c r="BB25" s="13">
        <v>4547</v>
      </c>
      <c r="BC25" s="6">
        <f t="shared" si="20"/>
        <v>3844</v>
      </c>
      <c r="BD25" s="14">
        <v>8391</v>
      </c>
      <c r="BE25" s="7">
        <f t="shared" si="21"/>
        <v>0.52786864620030194</v>
      </c>
      <c r="BF25" s="13">
        <v>26706</v>
      </c>
      <c r="BG25" s="13">
        <v>10227</v>
      </c>
      <c r="BH25" s="6">
        <f t="shared" si="22"/>
        <v>7393</v>
      </c>
      <c r="BI25" s="15">
        <v>17620</v>
      </c>
      <c r="BJ25" s="7">
        <f t="shared" si="23"/>
        <v>0.65977682917696401</v>
      </c>
    </row>
    <row r="26" spans="1:62" x14ac:dyDescent="0.3">
      <c r="A26" s="21">
        <v>18</v>
      </c>
      <c r="B26" s="12" t="s">
        <v>24</v>
      </c>
      <c r="C26" s="13">
        <v>112018</v>
      </c>
      <c r="D26" s="13">
        <v>8261</v>
      </c>
      <c r="E26" s="6">
        <f t="shared" si="0"/>
        <v>40080</v>
      </c>
      <c r="F26" s="14">
        <v>48341</v>
      </c>
      <c r="G26" s="7">
        <f t="shared" si="1"/>
        <v>0.43154671570640435</v>
      </c>
      <c r="H26" s="13">
        <v>109409</v>
      </c>
      <c r="I26" s="13">
        <v>8829</v>
      </c>
      <c r="J26" s="6">
        <f t="shared" si="2"/>
        <v>39830</v>
      </c>
      <c r="K26" s="14">
        <v>48659</v>
      </c>
      <c r="L26" s="7">
        <f t="shared" si="3"/>
        <v>0.44474403385461891</v>
      </c>
      <c r="M26" s="13">
        <v>161175</v>
      </c>
      <c r="N26" s="13">
        <v>30568</v>
      </c>
      <c r="O26" s="6">
        <f t="shared" si="4"/>
        <v>84820</v>
      </c>
      <c r="P26" s="15">
        <v>115388</v>
      </c>
      <c r="Q26" s="7">
        <f t="shared" si="5"/>
        <v>0.71591748099891417</v>
      </c>
      <c r="R26" s="13">
        <v>103195</v>
      </c>
      <c r="S26" s="13">
        <v>8785</v>
      </c>
      <c r="T26" s="6">
        <f t="shared" si="6"/>
        <v>40750</v>
      </c>
      <c r="U26" s="14">
        <v>49535</v>
      </c>
      <c r="V26" s="7">
        <f t="shared" si="7"/>
        <v>0.48001356654876692</v>
      </c>
      <c r="W26" s="13">
        <v>101010</v>
      </c>
      <c r="X26" s="13">
        <v>9112</v>
      </c>
      <c r="Y26" s="6">
        <f t="shared" si="8"/>
        <v>40871</v>
      </c>
      <c r="Z26" s="14">
        <v>49983</v>
      </c>
      <c r="AA26" s="7">
        <f t="shared" si="9"/>
        <v>0.49483219483219482</v>
      </c>
      <c r="AB26" s="13">
        <v>167059</v>
      </c>
      <c r="AC26" s="13">
        <v>23526</v>
      </c>
      <c r="AD26" s="6">
        <f t="shared" si="10"/>
        <v>96141</v>
      </c>
      <c r="AE26" s="15">
        <v>119667</v>
      </c>
      <c r="AF26" s="7">
        <f t="shared" si="11"/>
        <v>0.71631579262416267</v>
      </c>
      <c r="AG26" s="13">
        <v>98900</v>
      </c>
      <c r="AH26" s="13">
        <v>8608</v>
      </c>
      <c r="AI26" s="6">
        <f t="shared" si="12"/>
        <v>42356</v>
      </c>
      <c r="AJ26" s="14">
        <v>50964</v>
      </c>
      <c r="AK26" s="7">
        <f t="shared" si="13"/>
        <v>0.51530839231547021</v>
      </c>
      <c r="AL26" s="13">
        <v>94250</v>
      </c>
      <c r="AM26" s="13">
        <v>9265</v>
      </c>
      <c r="AN26" s="6">
        <f t="shared" si="14"/>
        <v>43788</v>
      </c>
      <c r="AO26" s="14">
        <v>53053</v>
      </c>
      <c r="AP26" s="7">
        <f t="shared" si="15"/>
        <v>0.56289655172413788</v>
      </c>
      <c r="AQ26" s="13">
        <v>146205</v>
      </c>
      <c r="AR26" s="13">
        <v>57838</v>
      </c>
      <c r="AS26" s="6">
        <f t="shared" si="16"/>
        <v>62927</v>
      </c>
      <c r="AT26" s="15">
        <v>120765</v>
      </c>
      <c r="AU26" s="7">
        <f t="shared" si="17"/>
        <v>0.82599774289524985</v>
      </c>
      <c r="AV26" s="13">
        <v>71728</v>
      </c>
      <c r="AW26" s="13">
        <v>17893</v>
      </c>
      <c r="AX26" s="6">
        <f t="shared" si="18"/>
        <v>33624</v>
      </c>
      <c r="AY26" s="14">
        <v>51517</v>
      </c>
      <c r="AZ26" s="7">
        <f t="shared" si="19"/>
        <v>0.71822719161275927</v>
      </c>
      <c r="BA26" s="13">
        <v>70808</v>
      </c>
      <c r="BB26" s="13">
        <v>30124</v>
      </c>
      <c r="BC26" s="6">
        <f t="shared" si="20"/>
        <v>21399</v>
      </c>
      <c r="BD26" s="14">
        <v>51523</v>
      </c>
      <c r="BE26" s="7">
        <f t="shared" si="21"/>
        <v>0.72764376906564232</v>
      </c>
      <c r="BF26" s="13">
        <v>145908</v>
      </c>
      <c r="BG26" s="13">
        <v>61855</v>
      </c>
      <c r="BH26" s="6">
        <f t="shared" si="22"/>
        <v>57960</v>
      </c>
      <c r="BI26" s="15">
        <v>119815</v>
      </c>
      <c r="BJ26" s="7">
        <f t="shared" si="23"/>
        <v>0.82116813334429917</v>
      </c>
    </row>
    <row r="27" spans="1:62" x14ac:dyDescent="0.3">
      <c r="A27" s="21">
        <v>19</v>
      </c>
      <c r="B27" s="12" t="s">
        <v>25</v>
      </c>
      <c r="C27" s="13">
        <v>305268</v>
      </c>
      <c r="D27" s="13">
        <v>48391</v>
      </c>
      <c r="E27" s="6">
        <f t="shared" si="0"/>
        <v>125132</v>
      </c>
      <c r="F27" s="14">
        <v>173523</v>
      </c>
      <c r="G27" s="7">
        <f t="shared" si="1"/>
        <v>0.56842839734266282</v>
      </c>
      <c r="H27" s="13">
        <v>294634</v>
      </c>
      <c r="I27" s="13">
        <v>50100</v>
      </c>
      <c r="J27" s="6">
        <f t="shared" si="2"/>
        <v>123784</v>
      </c>
      <c r="K27" s="14">
        <v>173884</v>
      </c>
      <c r="L27" s="7">
        <f t="shared" si="3"/>
        <v>0.59016949842855881</v>
      </c>
      <c r="M27" s="13">
        <v>593424</v>
      </c>
      <c r="N27" s="13">
        <v>200817</v>
      </c>
      <c r="O27" s="6">
        <f t="shared" si="4"/>
        <v>303569</v>
      </c>
      <c r="P27" s="15">
        <v>504386</v>
      </c>
      <c r="Q27" s="7">
        <f t="shared" si="5"/>
        <v>0.84995888268758935</v>
      </c>
      <c r="R27" s="13">
        <v>274036</v>
      </c>
      <c r="S27" s="13">
        <v>49340</v>
      </c>
      <c r="T27" s="6">
        <f t="shared" si="6"/>
        <v>126751</v>
      </c>
      <c r="U27" s="14">
        <v>176091</v>
      </c>
      <c r="V27" s="7">
        <f t="shared" si="7"/>
        <v>0.64258345618823809</v>
      </c>
      <c r="W27" s="13">
        <v>268694</v>
      </c>
      <c r="X27" s="13">
        <v>51102</v>
      </c>
      <c r="Y27" s="6">
        <f t="shared" si="8"/>
        <v>125990</v>
      </c>
      <c r="Z27" s="14">
        <v>177092</v>
      </c>
      <c r="AA27" s="7">
        <f t="shared" si="9"/>
        <v>0.65908431152165659</v>
      </c>
      <c r="AB27" s="13">
        <v>607620</v>
      </c>
      <c r="AC27" s="13">
        <v>160374</v>
      </c>
      <c r="AD27" s="6">
        <f t="shared" si="10"/>
        <v>355306</v>
      </c>
      <c r="AE27" s="15">
        <v>515680</v>
      </c>
      <c r="AF27" s="7">
        <f t="shared" si="11"/>
        <v>0.84868832493992952</v>
      </c>
      <c r="AG27" s="13">
        <v>264148</v>
      </c>
      <c r="AH27" s="13">
        <v>46935</v>
      </c>
      <c r="AI27" s="6">
        <f t="shared" si="12"/>
        <v>131918</v>
      </c>
      <c r="AJ27" s="14">
        <v>178853</v>
      </c>
      <c r="AK27" s="7">
        <f t="shared" si="13"/>
        <v>0.6770939019034784</v>
      </c>
      <c r="AL27" s="13">
        <v>259704</v>
      </c>
      <c r="AM27" s="13">
        <v>58073</v>
      </c>
      <c r="AN27" s="6">
        <f t="shared" si="14"/>
        <v>122463</v>
      </c>
      <c r="AO27" s="14">
        <v>180536</v>
      </c>
      <c r="AP27" s="7">
        <f t="shared" si="15"/>
        <v>0.69516064442596182</v>
      </c>
      <c r="AQ27" s="13">
        <v>611342</v>
      </c>
      <c r="AR27" s="13">
        <v>312982</v>
      </c>
      <c r="AS27" s="6">
        <f t="shared" si="16"/>
        <v>208703</v>
      </c>
      <c r="AT27" s="15">
        <v>521685</v>
      </c>
      <c r="AU27" s="7">
        <f t="shared" si="17"/>
        <v>0.8533439547749051</v>
      </c>
      <c r="AV27" s="13">
        <v>246718</v>
      </c>
      <c r="AW27" s="13">
        <v>87747</v>
      </c>
      <c r="AX27" s="6">
        <f t="shared" si="18"/>
        <v>93714</v>
      </c>
      <c r="AY27" s="14">
        <v>181461</v>
      </c>
      <c r="AZ27" s="7">
        <f t="shared" si="19"/>
        <v>0.73549963926426121</v>
      </c>
      <c r="BA27" s="13">
        <v>240337</v>
      </c>
      <c r="BB27" s="13">
        <v>129485</v>
      </c>
      <c r="BC27" s="6">
        <f t="shared" si="20"/>
        <v>51795</v>
      </c>
      <c r="BD27" s="14">
        <v>181280</v>
      </c>
      <c r="BE27" s="7">
        <f t="shared" si="21"/>
        <v>0.75427420663485023</v>
      </c>
      <c r="BF27" s="13">
        <v>611625</v>
      </c>
      <c r="BG27" s="13">
        <v>335599</v>
      </c>
      <c r="BH27" s="6">
        <f t="shared" si="22"/>
        <v>179903</v>
      </c>
      <c r="BI27" s="15">
        <v>515502</v>
      </c>
      <c r="BJ27" s="7">
        <f t="shared" si="23"/>
        <v>0.84283997547516865</v>
      </c>
    </row>
    <row r="28" spans="1:62" x14ac:dyDescent="0.3">
      <c r="A28" s="21">
        <v>20</v>
      </c>
      <c r="B28" s="12" t="s">
        <v>26</v>
      </c>
      <c r="C28" s="13">
        <v>88905</v>
      </c>
      <c r="D28" s="13">
        <v>11151</v>
      </c>
      <c r="E28" s="6">
        <f t="shared" si="0"/>
        <v>39752</v>
      </c>
      <c r="F28" s="14">
        <v>50903</v>
      </c>
      <c r="G28" s="7">
        <f t="shared" si="1"/>
        <v>0.57255497441088798</v>
      </c>
      <c r="H28" s="13">
        <v>85852</v>
      </c>
      <c r="I28" s="13">
        <v>11517</v>
      </c>
      <c r="J28" s="6">
        <f t="shared" si="2"/>
        <v>39640</v>
      </c>
      <c r="K28" s="14">
        <v>51157</v>
      </c>
      <c r="L28" s="7">
        <f t="shared" si="3"/>
        <v>0.59587429529888647</v>
      </c>
      <c r="M28" s="13">
        <v>149800</v>
      </c>
      <c r="N28" s="13">
        <v>38601</v>
      </c>
      <c r="O28" s="6">
        <f t="shared" si="4"/>
        <v>85482</v>
      </c>
      <c r="P28" s="15">
        <v>124083</v>
      </c>
      <c r="Q28" s="7">
        <f t="shared" si="5"/>
        <v>0.82832443257676902</v>
      </c>
      <c r="R28" s="13">
        <v>79004</v>
      </c>
      <c r="S28" s="13">
        <v>11061</v>
      </c>
      <c r="T28" s="6">
        <f t="shared" si="6"/>
        <v>40797</v>
      </c>
      <c r="U28" s="14">
        <v>51858</v>
      </c>
      <c r="V28" s="7">
        <f t="shared" si="7"/>
        <v>0.65639714444838237</v>
      </c>
      <c r="W28" s="13">
        <v>76321</v>
      </c>
      <c r="X28" s="13">
        <v>11321</v>
      </c>
      <c r="Y28" s="6">
        <f t="shared" si="8"/>
        <v>40930</v>
      </c>
      <c r="Z28" s="14">
        <v>52251</v>
      </c>
      <c r="AA28" s="7">
        <f t="shared" si="9"/>
        <v>0.68462153273673043</v>
      </c>
      <c r="AB28" s="13">
        <v>151326</v>
      </c>
      <c r="AC28" s="13">
        <v>30208</v>
      </c>
      <c r="AD28" s="6">
        <f t="shared" si="10"/>
        <v>97404</v>
      </c>
      <c r="AE28" s="15">
        <v>127612</v>
      </c>
      <c r="AF28" s="7">
        <f t="shared" si="11"/>
        <v>0.84329196568996734</v>
      </c>
      <c r="AG28" s="13">
        <v>73311</v>
      </c>
      <c r="AH28" s="13">
        <v>10556</v>
      </c>
      <c r="AI28" s="6">
        <f t="shared" si="12"/>
        <v>42875</v>
      </c>
      <c r="AJ28" s="14">
        <v>53431</v>
      </c>
      <c r="AK28" s="7">
        <f t="shared" si="13"/>
        <v>0.72882650625417744</v>
      </c>
      <c r="AL28" s="13">
        <v>67502</v>
      </c>
      <c r="AM28" s="13">
        <v>13118</v>
      </c>
      <c r="AN28" s="6">
        <f t="shared" si="14"/>
        <v>40535</v>
      </c>
      <c r="AO28" s="14">
        <v>53653</v>
      </c>
      <c r="AP28" s="7">
        <f t="shared" si="15"/>
        <v>0.79483570857159791</v>
      </c>
      <c r="AQ28" s="13">
        <v>147404</v>
      </c>
      <c r="AR28" s="13">
        <v>72364</v>
      </c>
      <c r="AS28" s="6">
        <f t="shared" si="16"/>
        <v>57300</v>
      </c>
      <c r="AT28" s="15">
        <v>129664</v>
      </c>
      <c r="AU28" s="7">
        <f t="shared" si="17"/>
        <v>0.87965048438305604</v>
      </c>
      <c r="AV28" s="13">
        <v>63116</v>
      </c>
      <c r="AW28" s="13">
        <v>22759</v>
      </c>
      <c r="AX28" s="6">
        <f t="shared" si="18"/>
        <v>31291</v>
      </c>
      <c r="AY28" s="14">
        <v>54050</v>
      </c>
      <c r="AZ28" s="7">
        <f t="shared" si="19"/>
        <v>0.85635971861334681</v>
      </c>
      <c r="BA28" s="13">
        <v>59716</v>
      </c>
      <c r="BB28" s="13">
        <v>36278</v>
      </c>
      <c r="BC28" s="6">
        <f t="shared" si="20"/>
        <v>17482</v>
      </c>
      <c r="BD28" s="14">
        <v>53760</v>
      </c>
      <c r="BE28" s="7">
        <f t="shared" si="21"/>
        <v>0.90026123651952572</v>
      </c>
      <c r="BF28" s="13">
        <v>143561</v>
      </c>
      <c r="BG28" s="13">
        <v>79316</v>
      </c>
      <c r="BH28" s="6">
        <f t="shared" si="22"/>
        <v>48855</v>
      </c>
      <c r="BI28" s="15">
        <v>128171</v>
      </c>
      <c r="BJ28" s="7">
        <f t="shared" si="23"/>
        <v>0.89279818335063144</v>
      </c>
    </row>
    <row r="29" spans="1:62" x14ac:dyDescent="0.3">
      <c r="A29" s="21">
        <v>21</v>
      </c>
      <c r="B29" s="12" t="s">
        <v>27</v>
      </c>
      <c r="C29" s="13">
        <v>162206</v>
      </c>
      <c r="D29" s="13">
        <v>9313</v>
      </c>
      <c r="E29" s="6">
        <f t="shared" si="0"/>
        <v>57273</v>
      </c>
      <c r="F29" s="14">
        <v>66586</v>
      </c>
      <c r="G29" s="7">
        <f t="shared" si="1"/>
        <v>0.41050269410502693</v>
      </c>
      <c r="H29" s="13">
        <v>149172</v>
      </c>
      <c r="I29" s="13">
        <v>12941</v>
      </c>
      <c r="J29" s="6">
        <f t="shared" si="2"/>
        <v>53954</v>
      </c>
      <c r="K29" s="14">
        <v>66895</v>
      </c>
      <c r="L29" s="7">
        <f t="shared" si="3"/>
        <v>0.44844206687582122</v>
      </c>
      <c r="M29" s="13">
        <v>219769</v>
      </c>
      <c r="N29" s="13">
        <v>56216</v>
      </c>
      <c r="O29" s="6">
        <f t="shared" si="4"/>
        <v>127845</v>
      </c>
      <c r="P29" s="15">
        <v>184061</v>
      </c>
      <c r="Q29" s="7">
        <f t="shared" si="5"/>
        <v>0.83752030541159128</v>
      </c>
      <c r="R29" s="13">
        <v>104974</v>
      </c>
      <c r="S29" s="13">
        <v>13484</v>
      </c>
      <c r="T29" s="6">
        <f t="shared" si="6"/>
        <v>54563</v>
      </c>
      <c r="U29" s="14">
        <v>68047</v>
      </c>
      <c r="V29" s="7">
        <f t="shared" si="7"/>
        <v>0.64822718006363478</v>
      </c>
      <c r="W29" s="13">
        <v>99843</v>
      </c>
      <c r="X29" s="13">
        <v>13611</v>
      </c>
      <c r="Y29" s="6">
        <f t="shared" si="8"/>
        <v>55014</v>
      </c>
      <c r="Z29" s="14">
        <v>68625</v>
      </c>
      <c r="AA29" s="7">
        <f t="shared" si="9"/>
        <v>0.68732910669751512</v>
      </c>
      <c r="AB29" s="13">
        <v>220841</v>
      </c>
      <c r="AC29" s="13">
        <v>50596</v>
      </c>
      <c r="AD29" s="6">
        <f t="shared" si="10"/>
        <v>139536</v>
      </c>
      <c r="AE29" s="15">
        <v>190132</v>
      </c>
      <c r="AF29" s="7">
        <f t="shared" si="11"/>
        <v>0.86094520492118765</v>
      </c>
      <c r="AG29" s="13">
        <v>96497</v>
      </c>
      <c r="AH29" s="13">
        <v>13533</v>
      </c>
      <c r="AI29" s="6">
        <f t="shared" si="12"/>
        <v>56624</v>
      </c>
      <c r="AJ29" s="14">
        <v>70157</v>
      </c>
      <c r="AK29" s="7">
        <f t="shared" si="13"/>
        <v>0.7270381462636144</v>
      </c>
      <c r="AL29" s="13">
        <v>92661</v>
      </c>
      <c r="AM29" s="13">
        <v>16168</v>
      </c>
      <c r="AN29" s="6">
        <f t="shared" si="14"/>
        <v>55025</v>
      </c>
      <c r="AO29" s="14">
        <v>71193</v>
      </c>
      <c r="AP29" s="7">
        <f t="shared" si="15"/>
        <v>0.76831676757211775</v>
      </c>
      <c r="AQ29" s="13">
        <v>222288</v>
      </c>
      <c r="AR29" s="13">
        <v>102150</v>
      </c>
      <c r="AS29" s="6">
        <f t="shared" si="16"/>
        <v>93482</v>
      </c>
      <c r="AT29" s="15">
        <v>195632</v>
      </c>
      <c r="AU29" s="7">
        <f t="shared" si="17"/>
        <v>0.88008349528539553</v>
      </c>
      <c r="AV29" s="13">
        <v>91315</v>
      </c>
      <c r="AW29" s="13">
        <v>25637</v>
      </c>
      <c r="AX29" s="6">
        <f t="shared" si="18"/>
        <v>46325</v>
      </c>
      <c r="AY29" s="14">
        <v>71962</v>
      </c>
      <c r="AZ29" s="7">
        <f t="shared" si="19"/>
        <v>0.7880632973772107</v>
      </c>
      <c r="BA29" s="13">
        <v>88358</v>
      </c>
      <c r="BB29" s="13">
        <v>45831</v>
      </c>
      <c r="BC29" s="6">
        <f t="shared" si="20"/>
        <v>26368</v>
      </c>
      <c r="BD29" s="14">
        <v>72199</v>
      </c>
      <c r="BE29" s="7">
        <f t="shared" si="21"/>
        <v>0.81711899318680825</v>
      </c>
      <c r="BF29" s="13">
        <v>223069</v>
      </c>
      <c r="BG29" s="13">
        <v>119490</v>
      </c>
      <c r="BH29" s="6">
        <f t="shared" si="22"/>
        <v>74090</v>
      </c>
      <c r="BI29" s="15">
        <v>193580</v>
      </c>
      <c r="BJ29" s="7">
        <f t="shared" si="23"/>
        <v>0.86780323577009799</v>
      </c>
    </row>
    <row r="30" spans="1:62" x14ac:dyDescent="0.3">
      <c r="A30" s="21">
        <v>22</v>
      </c>
      <c r="B30" s="12" t="s">
        <v>45</v>
      </c>
      <c r="C30" s="13">
        <v>63451</v>
      </c>
      <c r="D30" s="13">
        <v>7987</v>
      </c>
      <c r="E30" s="6">
        <f t="shared" si="0"/>
        <v>29503</v>
      </c>
      <c r="F30" s="14">
        <v>37490</v>
      </c>
      <c r="G30" s="7">
        <f t="shared" si="1"/>
        <v>0.59084963199949569</v>
      </c>
      <c r="H30" s="13">
        <v>60187</v>
      </c>
      <c r="I30" s="13">
        <v>8525</v>
      </c>
      <c r="J30" s="6">
        <f t="shared" si="2"/>
        <v>29154</v>
      </c>
      <c r="K30" s="14">
        <v>37679</v>
      </c>
      <c r="L30" s="7">
        <f t="shared" si="3"/>
        <v>0.62603219964444146</v>
      </c>
      <c r="M30" s="13">
        <v>104773</v>
      </c>
      <c r="N30" s="13">
        <v>27682</v>
      </c>
      <c r="O30" s="6">
        <f t="shared" si="4"/>
        <v>65846</v>
      </c>
      <c r="P30" s="15">
        <v>93528</v>
      </c>
      <c r="Q30" s="7">
        <f t="shared" si="5"/>
        <v>0.89267273056989871</v>
      </c>
      <c r="R30" s="13">
        <v>53849</v>
      </c>
      <c r="S30" s="13">
        <v>8081</v>
      </c>
      <c r="T30" s="6">
        <f t="shared" si="6"/>
        <v>30051</v>
      </c>
      <c r="U30" s="14">
        <v>38132</v>
      </c>
      <c r="V30" s="7">
        <f t="shared" si="7"/>
        <v>0.70812828464781152</v>
      </c>
      <c r="W30" s="13">
        <v>52544</v>
      </c>
      <c r="X30" s="13">
        <v>8449</v>
      </c>
      <c r="Y30" s="6">
        <f t="shared" si="8"/>
        <v>29907</v>
      </c>
      <c r="Z30" s="14">
        <v>38356</v>
      </c>
      <c r="AA30" s="7">
        <f t="shared" si="9"/>
        <v>0.72997868453105963</v>
      </c>
      <c r="AB30" s="13">
        <v>107458</v>
      </c>
      <c r="AC30" s="13">
        <v>21696</v>
      </c>
      <c r="AD30" s="6">
        <f t="shared" si="10"/>
        <v>74176</v>
      </c>
      <c r="AE30" s="15">
        <v>95872</v>
      </c>
      <c r="AF30" s="7">
        <f t="shared" si="11"/>
        <v>0.89218113123266762</v>
      </c>
      <c r="AG30" s="13">
        <v>51279</v>
      </c>
      <c r="AH30" s="13">
        <v>7836</v>
      </c>
      <c r="AI30" s="6">
        <f t="shared" si="12"/>
        <v>31069</v>
      </c>
      <c r="AJ30" s="14">
        <v>38905</v>
      </c>
      <c r="AK30" s="7">
        <f t="shared" si="13"/>
        <v>0.75869264221221167</v>
      </c>
      <c r="AL30" s="13">
        <v>48984</v>
      </c>
      <c r="AM30" s="13">
        <v>10319</v>
      </c>
      <c r="AN30" s="6">
        <f t="shared" si="14"/>
        <v>28873</v>
      </c>
      <c r="AO30" s="14">
        <v>39192</v>
      </c>
      <c r="AP30" s="7">
        <f t="shared" si="15"/>
        <v>0.80009799118079372</v>
      </c>
      <c r="AQ30" s="13">
        <v>105112</v>
      </c>
      <c r="AR30" s="13">
        <v>56144</v>
      </c>
      <c r="AS30" s="6">
        <f t="shared" si="16"/>
        <v>41224</v>
      </c>
      <c r="AT30" s="15">
        <v>97368</v>
      </c>
      <c r="AU30" s="7">
        <f t="shared" si="17"/>
        <v>0.92632620442956082</v>
      </c>
      <c r="AV30" s="13">
        <v>46049</v>
      </c>
      <c r="AW30" s="13">
        <v>17226</v>
      </c>
      <c r="AX30" s="6">
        <f t="shared" si="18"/>
        <v>21826</v>
      </c>
      <c r="AY30" s="14">
        <v>39052</v>
      </c>
      <c r="AZ30" s="7">
        <f t="shared" si="19"/>
        <v>0.84805316076353454</v>
      </c>
      <c r="BA30" s="13">
        <v>45889</v>
      </c>
      <c r="BB30" s="13">
        <v>25407</v>
      </c>
      <c r="BC30" s="6">
        <f t="shared" si="20"/>
        <v>13569</v>
      </c>
      <c r="BD30" s="14">
        <v>38976</v>
      </c>
      <c r="BE30" s="7">
        <f t="shared" si="21"/>
        <v>0.84935387565647535</v>
      </c>
      <c r="BF30" s="13">
        <v>107069</v>
      </c>
      <c r="BG30" s="13">
        <v>59043</v>
      </c>
      <c r="BH30" s="6">
        <f t="shared" si="22"/>
        <v>37230</v>
      </c>
      <c r="BI30" s="15">
        <v>96273</v>
      </c>
      <c r="BJ30" s="7">
        <f t="shared" si="23"/>
        <v>0.89916782635496739</v>
      </c>
    </row>
    <row r="31" spans="1:62" x14ac:dyDescent="0.3">
      <c r="A31" s="21">
        <v>23</v>
      </c>
      <c r="B31" s="12" t="s">
        <v>28</v>
      </c>
      <c r="C31" s="13">
        <v>177325</v>
      </c>
      <c r="D31" s="13">
        <v>25130</v>
      </c>
      <c r="E31" s="6">
        <f t="shared" si="0"/>
        <v>77512</v>
      </c>
      <c r="F31" s="14">
        <v>102642</v>
      </c>
      <c r="G31" s="7">
        <f t="shared" si="1"/>
        <v>0.57883547159171012</v>
      </c>
      <c r="H31" s="13">
        <v>166338</v>
      </c>
      <c r="I31" s="13">
        <v>26553</v>
      </c>
      <c r="J31" s="6">
        <f t="shared" si="2"/>
        <v>76092</v>
      </c>
      <c r="K31" s="14">
        <v>102645</v>
      </c>
      <c r="L31" s="7">
        <f t="shared" si="3"/>
        <v>0.61708689535764527</v>
      </c>
      <c r="M31" s="13">
        <v>353290</v>
      </c>
      <c r="N31" s="13">
        <v>112241</v>
      </c>
      <c r="O31" s="6">
        <f t="shared" si="4"/>
        <v>205769</v>
      </c>
      <c r="P31" s="15">
        <v>318010</v>
      </c>
      <c r="Q31" s="7">
        <f t="shared" si="5"/>
        <v>0.90013869625520115</v>
      </c>
      <c r="R31" s="13">
        <v>149791</v>
      </c>
      <c r="S31" s="13">
        <v>25018</v>
      </c>
      <c r="T31" s="6">
        <f t="shared" si="6"/>
        <v>78521</v>
      </c>
      <c r="U31" s="14">
        <v>103539</v>
      </c>
      <c r="V31" s="7">
        <f t="shared" si="7"/>
        <v>0.69122310419184063</v>
      </c>
      <c r="W31" s="13">
        <v>145173</v>
      </c>
      <c r="X31" s="13">
        <v>25966</v>
      </c>
      <c r="Y31" s="6">
        <f t="shared" si="8"/>
        <v>77969</v>
      </c>
      <c r="Z31" s="14">
        <v>103935</v>
      </c>
      <c r="AA31" s="7">
        <f t="shared" si="9"/>
        <v>0.71593891426091627</v>
      </c>
      <c r="AB31" s="13">
        <v>359995</v>
      </c>
      <c r="AC31" s="13">
        <v>80485</v>
      </c>
      <c r="AD31" s="6">
        <f t="shared" si="10"/>
        <v>244296</v>
      </c>
      <c r="AE31" s="15">
        <v>324781</v>
      </c>
      <c r="AF31" s="7">
        <f t="shared" si="11"/>
        <v>0.90218197474964934</v>
      </c>
      <c r="AG31" s="13">
        <v>142536</v>
      </c>
      <c r="AH31" s="13">
        <v>22017</v>
      </c>
      <c r="AI31" s="6">
        <f t="shared" si="12"/>
        <v>83178</v>
      </c>
      <c r="AJ31" s="14">
        <v>105195</v>
      </c>
      <c r="AK31" s="7">
        <f t="shared" si="13"/>
        <v>0.73802407812763093</v>
      </c>
      <c r="AL31" s="13">
        <v>138001</v>
      </c>
      <c r="AM31" s="13">
        <v>28630</v>
      </c>
      <c r="AN31" s="6">
        <f t="shared" si="14"/>
        <v>78245</v>
      </c>
      <c r="AO31" s="14">
        <v>106875</v>
      </c>
      <c r="AP31" s="7">
        <f t="shared" si="15"/>
        <v>0.77445090977601616</v>
      </c>
      <c r="AQ31" s="13">
        <v>354752</v>
      </c>
      <c r="AR31" s="13">
        <v>214331</v>
      </c>
      <c r="AS31" s="6">
        <f t="shared" si="16"/>
        <v>115107</v>
      </c>
      <c r="AT31" s="15">
        <v>329438</v>
      </c>
      <c r="AU31" s="7">
        <f t="shared" si="17"/>
        <v>0.92864310842504061</v>
      </c>
      <c r="AV31" s="13">
        <v>121996</v>
      </c>
      <c r="AW31" s="13">
        <v>52770</v>
      </c>
      <c r="AX31" s="6">
        <f t="shared" si="18"/>
        <v>53863</v>
      </c>
      <c r="AY31" s="14">
        <v>106633</v>
      </c>
      <c r="AZ31" s="7">
        <f t="shared" si="19"/>
        <v>0.87406964162759437</v>
      </c>
      <c r="BA31" s="13">
        <v>118866</v>
      </c>
      <c r="BB31" s="13">
        <v>77968</v>
      </c>
      <c r="BC31" s="6">
        <f t="shared" si="20"/>
        <v>27960</v>
      </c>
      <c r="BD31" s="14">
        <v>105928</v>
      </c>
      <c r="BE31" s="7">
        <f t="shared" si="21"/>
        <v>0.89115474568000941</v>
      </c>
      <c r="BF31" s="13">
        <v>351474</v>
      </c>
      <c r="BG31" s="13">
        <v>210728</v>
      </c>
      <c r="BH31" s="6">
        <f t="shared" si="22"/>
        <v>114617</v>
      </c>
      <c r="BI31" s="15">
        <v>325345</v>
      </c>
      <c r="BJ31" s="7">
        <f t="shared" si="23"/>
        <v>0.92565879695226394</v>
      </c>
    </row>
    <row r="32" spans="1:62" x14ac:dyDescent="0.3">
      <c r="A32" s="21">
        <v>24</v>
      </c>
      <c r="B32" s="12" t="s">
        <v>46</v>
      </c>
      <c r="C32" s="13">
        <v>399204</v>
      </c>
      <c r="D32" s="13">
        <v>111838</v>
      </c>
      <c r="E32" s="6">
        <f t="shared" si="0"/>
        <v>139161</v>
      </c>
      <c r="F32" s="14">
        <v>250999</v>
      </c>
      <c r="G32" s="7">
        <f t="shared" si="1"/>
        <v>0.62874870993276621</v>
      </c>
      <c r="H32" s="13">
        <v>382894</v>
      </c>
      <c r="I32" s="13">
        <v>116129</v>
      </c>
      <c r="J32" s="6">
        <f t="shared" si="2"/>
        <v>135162</v>
      </c>
      <c r="K32" s="14">
        <v>251291</v>
      </c>
      <c r="L32" s="7">
        <f t="shared" si="3"/>
        <v>0.65629390901920637</v>
      </c>
      <c r="M32" s="13">
        <v>877062</v>
      </c>
      <c r="N32" s="13">
        <v>468729</v>
      </c>
      <c r="O32" s="6">
        <f t="shared" si="4"/>
        <v>334448</v>
      </c>
      <c r="P32" s="15">
        <v>803177</v>
      </c>
      <c r="Q32" s="7">
        <f t="shared" si="5"/>
        <v>0.91575852106236499</v>
      </c>
      <c r="R32" s="13">
        <v>340947</v>
      </c>
      <c r="S32" s="13">
        <v>101809</v>
      </c>
      <c r="T32" s="6">
        <f t="shared" si="6"/>
        <v>151428</v>
      </c>
      <c r="U32" s="14">
        <v>253237</v>
      </c>
      <c r="V32" s="7">
        <f t="shared" si="7"/>
        <v>0.74274593998480698</v>
      </c>
      <c r="W32" s="13">
        <v>329795</v>
      </c>
      <c r="X32" s="13">
        <v>113433</v>
      </c>
      <c r="Y32" s="6">
        <f t="shared" si="8"/>
        <v>140560</v>
      </c>
      <c r="Z32" s="14">
        <v>253993</v>
      </c>
      <c r="AA32" s="7">
        <f t="shared" si="9"/>
        <v>0.77015418669173275</v>
      </c>
      <c r="AB32" s="13">
        <v>884817</v>
      </c>
      <c r="AC32" s="13">
        <v>375641</v>
      </c>
      <c r="AD32" s="6">
        <f t="shared" si="10"/>
        <v>442940</v>
      </c>
      <c r="AE32" s="15">
        <v>818581</v>
      </c>
      <c r="AF32" s="7">
        <f t="shared" si="11"/>
        <v>0.92514158294879056</v>
      </c>
      <c r="AG32" s="13">
        <v>320380</v>
      </c>
      <c r="AH32" s="13">
        <v>91725</v>
      </c>
      <c r="AI32" s="6">
        <f t="shared" si="12"/>
        <v>164327</v>
      </c>
      <c r="AJ32" s="14">
        <v>256052</v>
      </c>
      <c r="AK32" s="7">
        <f t="shared" si="13"/>
        <v>0.79921343404706913</v>
      </c>
      <c r="AL32" s="13">
        <v>311565</v>
      </c>
      <c r="AM32" s="13">
        <v>128059</v>
      </c>
      <c r="AN32" s="6">
        <f t="shared" si="14"/>
        <v>130392</v>
      </c>
      <c r="AO32" s="14">
        <v>258451</v>
      </c>
      <c r="AP32" s="7">
        <f t="shared" si="15"/>
        <v>0.82952513921653592</v>
      </c>
      <c r="AQ32" s="13">
        <v>877839</v>
      </c>
      <c r="AR32" s="13">
        <v>661872</v>
      </c>
      <c r="AS32" s="6">
        <f t="shared" si="16"/>
        <v>171147</v>
      </c>
      <c r="AT32" s="15">
        <v>833019</v>
      </c>
      <c r="AU32" s="7">
        <f t="shared" si="17"/>
        <v>0.94894280158434519</v>
      </c>
      <c r="AV32" s="13">
        <v>297941</v>
      </c>
      <c r="AW32" s="13">
        <v>180734</v>
      </c>
      <c r="AX32" s="6">
        <f t="shared" si="18"/>
        <v>79205</v>
      </c>
      <c r="AY32" s="14">
        <v>259939</v>
      </c>
      <c r="AZ32" s="7">
        <f t="shared" si="19"/>
        <v>0.87245125712808913</v>
      </c>
      <c r="BA32" s="13">
        <v>294413</v>
      </c>
      <c r="BB32" s="13">
        <v>224639</v>
      </c>
      <c r="BC32" s="6">
        <f t="shared" si="20"/>
        <v>35896</v>
      </c>
      <c r="BD32" s="14">
        <v>260535</v>
      </c>
      <c r="BE32" s="7">
        <f t="shared" si="21"/>
        <v>0.88493035293957811</v>
      </c>
      <c r="BF32" s="13">
        <v>893063</v>
      </c>
      <c r="BG32" s="13">
        <v>680053</v>
      </c>
      <c r="BH32" s="6">
        <f t="shared" si="22"/>
        <v>159667</v>
      </c>
      <c r="BI32" s="15">
        <v>839720</v>
      </c>
      <c r="BJ32" s="7">
        <f t="shared" si="23"/>
        <v>0.94026961143838672</v>
      </c>
    </row>
    <row r="33" spans="1:62" x14ac:dyDescent="0.3">
      <c r="A33" s="21">
        <v>25</v>
      </c>
      <c r="B33" s="12" t="s">
        <v>29</v>
      </c>
      <c r="C33" s="13">
        <v>3988</v>
      </c>
      <c r="D33" s="13">
        <v>1456</v>
      </c>
      <c r="E33" s="6">
        <f t="shared" si="0"/>
        <v>1324</v>
      </c>
      <c r="F33" s="14">
        <v>2780</v>
      </c>
      <c r="G33" s="7">
        <f t="shared" si="1"/>
        <v>0.69709127382146441</v>
      </c>
      <c r="H33" s="13">
        <v>3817</v>
      </c>
      <c r="I33" s="13">
        <v>1452</v>
      </c>
      <c r="J33" s="6">
        <f t="shared" si="2"/>
        <v>1312</v>
      </c>
      <c r="K33" s="14">
        <v>2764</v>
      </c>
      <c r="L33" s="7">
        <f t="shared" si="3"/>
        <v>0.72412889703955985</v>
      </c>
      <c r="M33" s="13">
        <v>5816</v>
      </c>
      <c r="N33" s="13">
        <v>2971</v>
      </c>
      <c r="O33" s="6">
        <f t="shared" si="4"/>
        <v>2443</v>
      </c>
      <c r="P33" s="15">
        <v>5414</v>
      </c>
      <c r="Q33" s="7">
        <f t="shared" si="5"/>
        <v>0.93088033012379645</v>
      </c>
      <c r="R33" s="13">
        <v>3338</v>
      </c>
      <c r="S33" s="13">
        <v>1463</v>
      </c>
      <c r="T33" s="6">
        <f t="shared" si="6"/>
        <v>1291</v>
      </c>
      <c r="U33" s="14">
        <v>2754</v>
      </c>
      <c r="V33" s="7">
        <f t="shared" si="7"/>
        <v>0.82504493708807669</v>
      </c>
      <c r="W33" s="13">
        <v>3273</v>
      </c>
      <c r="X33" s="13">
        <v>1498</v>
      </c>
      <c r="Y33" s="6">
        <f t="shared" si="8"/>
        <v>1261</v>
      </c>
      <c r="Z33" s="14">
        <v>2759</v>
      </c>
      <c r="AA33" s="7">
        <f t="shared" si="9"/>
        <v>0.84295753131683471</v>
      </c>
      <c r="AB33" s="13">
        <v>5835</v>
      </c>
      <c r="AC33" s="13">
        <v>2587</v>
      </c>
      <c r="AD33" s="6">
        <f t="shared" si="10"/>
        <v>2834</v>
      </c>
      <c r="AE33" s="15">
        <v>5421</v>
      </c>
      <c r="AF33" s="7">
        <f t="shared" si="11"/>
        <v>0.92904884318766068</v>
      </c>
      <c r="AG33" s="13">
        <v>3229</v>
      </c>
      <c r="AH33" s="13">
        <v>1413</v>
      </c>
      <c r="AI33" s="6">
        <f t="shared" si="12"/>
        <v>1338</v>
      </c>
      <c r="AJ33" s="14">
        <v>2751</v>
      </c>
      <c r="AK33" s="7">
        <f t="shared" si="13"/>
        <v>0.85196655311241876</v>
      </c>
      <c r="AL33" s="13">
        <v>3188</v>
      </c>
      <c r="AM33" s="13">
        <v>1636</v>
      </c>
      <c r="AN33" s="6">
        <f t="shared" si="14"/>
        <v>1151</v>
      </c>
      <c r="AO33" s="14">
        <v>2787</v>
      </c>
      <c r="AP33" s="7">
        <f t="shared" si="15"/>
        <v>0.87421580928481801</v>
      </c>
      <c r="AQ33" s="13">
        <v>5767</v>
      </c>
      <c r="AR33" s="13">
        <v>3777</v>
      </c>
      <c r="AS33" s="6">
        <f t="shared" si="16"/>
        <v>1656</v>
      </c>
      <c r="AT33" s="15">
        <v>5433</v>
      </c>
      <c r="AU33" s="7">
        <f t="shared" si="17"/>
        <v>0.94208427258539973</v>
      </c>
      <c r="AV33" s="13">
        <v>3105</v>
      </c>
      <c r="AW33" s="13">
        <v>1877</v>
      </c>
      <c r="AX33" s="6">
        <f t="shared" si="18"/>
        <v>899</v>
      </c>
      <c r="AY33" s="14">
        <v>2776</v>
      </c>
      <c r="AZ33" s="7">
        <f t="shared" si="19"/>
        <v>0.89404186795491147</v>
      </c>
      <c r="BA33" s="13">
        <v>3077</v>
      </c>
      <c r="BB33" s="13">
        <v>2328</v>
      </c>
      <c r="BC33" s="6">
        <f t="shared" si="20"/>
        <v>445</v>
      </c>
      <c r="BD33" s="14">
        <v>2773</v>
      </c>
      <c r="BE33" s="7">
        <f t="shared" si="21"/>
        <v>0.90120246993825159</v>
      </c>
      <c r="BF33" s="13">
        <v>5841</v>
      </c>
      <c r="BG33" s="13">
        <v>4145</v>
      </c>
      <c r="BH33" s="6">
        <f t="shared" si="22"/>
        <v>1274</v>
      </c>
      <c r="BI33" s="15">
        <v>5419</v>
      </c>
      <c r="BJ33" s="7">
        <f t="shared" si="23"/>
        <v>0.92775209724362262</v>
      </c>
    </row>
    <row r="34" spans="1:62" x14ac:dyDescent="0.3">
      <c r="A34" s="21">
        <v>26</v>
      </c>
      <c r="B34" s="12" t="s">
        <v>30</v>
      </c>
      <c r="C34" s="13">
        <v>5203</v>
      </c>
      <c r="D34" s="13">
        <v>1758</v>
      </c>
      <c r="E34" s="6">
        <f t="shared" si="0"/>
        <v>1652</v>
      </c>
      <c r="F34" s="14">
        <v>3410</v>
      </c>
      <c r="G34" s="7">
        <f t="shared" si="1"/>
        <v>0.65539112050739956</v>
      </c>
      <c r="H34" s="13">
        <v>5064</v>
      </c>
      <c r="I34" s="13">
        <v>1806</v>
      </c>
      <c r="J34" s="6">
        <f t="shared" si="2"/>
        <v>1614</v>
      </c>
      <c r="K34" s="14">
        <v>3420</v>
      </c>
      <c r="L34" s="7">
        <f t="shared" si="3"/>
        <v>0.67535545023696686</v>
      </c>
      <c r="M34" s="13">
        <v>8364</v>
      </c>
      <c r="N34" s="13">
        <v>3920</v>
      </c>
      <c r="O34" s="6">
        <f t="shared" si="4"/>
        <v>3507</v>
      </c>
      <c r="P34" s="15">
        <v>7427</v>
      </c>
      <c r="Q34" s="7">
        <f t="shared" si="5"/>
        <v>0.8879722620755619</v>
      </c>
      <c r="R34" s="13">
        <v>4659</v>
      </c>
      <c r="S34" s="13">
        <v>1715</v>
      </c>
      <c r="T34" s="6">
        <f t="shared" si="6"/>
        <v>1732</v>
      </c>
      <c r="U34" s="14">
        <v>3447</v>
      </c>
      <c r="V34" s="7">
        <f t="shared" si="7"/>
        <v>0.73985833869929174</v>
      </c>
      <c r="W34" s="13">
        <v>4528</v>
      </c>
      <c r="X34" s="13">
        <v>1766</v>
      </c>
      <c r="Y34" s="6">
        <f t="shared" si="8"/>
        <v>1692</v>
      </c>
      <c r="Z34" s="14">
        <v>3458</v>
      </c>
      <c r="AA34" s="7">
        <f t="shared" si="9"/>
        <v>0.76369257950530034</v>
      </c>
      <c r="AB34" s="13">
        <v>8395</v>
      </c>
      <c r="AC34" s="13">
        <v>3369</v>
      </c>
      <c r="AD34" s="6">
        <f t="shared" si="10"/>
        <v>4194</v>
      </c>
      <c r="AE34" s="15">
        <v>7563</v>
      </c>
      <c r="AF34" s="7">
        <f t="shared" si="11"/>
        <v>0.90089338892197734</v>
      </c>
      <c r="AG34" s="13">
        <v>4227</v>
      </c>
      <c r="AH34" s="13">
        <v>1727</v>
      </c>
      <c r="AI34" s="6">
        <f t="shared" si="12"/>
        <v>1791</v>
      </c>
      <c r="AJ34" s="14">
        <v>3518</v>
      </c>
      <c r="AK34" s="7">
        <f t="shared" si="13"/>
        <v>0.83226874852140997</v>
      </c>
      <c r="AL34" s="13">
        <v>3917</v>
      </c>
      <c r="AM34" s="13">
        <v>2059</v>
      </c>
      <c r="AN34" s="6">
        <f t="shared" si="14"/>
        <v>1469</v>
      </c>
      <c r="AO34" s="14">
        <v>3528</v>
      </c>
      <c r="AP34" s="7">
        <f t="shared" si="15"/>
        <v>0.90068930303803929</v>
      </c>
      <c r="AQ34" s="13">
        <v>7976</v>
      </c>
      <c r="AR34" s="13">
        <v>5484</v>
      </c>
      <c r="AS34" s="6">
        <f t="shared" si="16"/>
        <v>2067</v>
      </c>
      <c r="AT34" s="15">
        <v>7551</v>
      </c>
      <c r="AU34" s="7">
        <f t="shared" si="17"/>
        <v>0.94671514543630897</v>
      </c>
      <c r="AV34" s="13">
        <v>4000</v>
      </c>
      <c r="AW34" s="13">
        <v>2576</v>
      </c>
      <c r="AX34" s="6">
        <f t="shared" si="18"/>
        <v>959</v>
      </c>
      <c r="AY34" s="14">
        <v>3535</v>
      </c>
      <c r="AZ34" s="7">
        <f t="shared" si="19"/>
        <v>0.88375000000000004</v>
      </c>
      <c r="BA34" s="13">
        <v>4015</v>
      </c>
      <c r="BB34" s="13">
        <v>3139</v>
      </c>
      <c r="BC34" s="6">
        <f t="shared" si="20"/>
        <v>410</v>
      </c>
      <c r="BD34" s="14">
        <v>3549</v>
      </c>
      <c r="BE34" s="7">
        <f t="shared" si="21"/>
        <v>0.88393524283935243</v>
      </c>
      <c r="BF34" s="13">
        <v>8238</v>
      </c>
      <c r="BG34" s="13">
        <v>5797</v>
      </c>
      <c r="BH34" s="6">
        <f t="shared" si="22"/>
        <v>1801</v>
      </c>
      <c r="BI34" s="15">
        <v>7598</v>
      </c>
      <c r="BJ34" s="7">
        <f t="shared" si="23"/>
        <v>0.92231124059237679</v>
      </c>
    </row>
    <row r="35" spans="1:62" x14ac:dyDescent="0.3">
      <c r="A35" s="21">
        <v>27</v>
      </c>
      <c r="B35" s="12" t="s">
        <v>47</v>
      </c>
      <c r="C35" s="13">
        <v>705207</v>
      </c>
      <c r="D35" s="13">
        <v>136414</v>
      </c>
      <c r="E35" s="6">
        <f t="shared" si="0"/>
        <v>222283</v>
      </c>
      <c r="F35" s="14">
        <v>358697</v>
      </c>
      <c r="G35" s="7">
        <f t="shared" si="1"/>
        <v>0.50864072534730942</v>
      </c>
      <c r="H35" s="13">
        <v>678572</v>
      </c>
      <c r="I35" s="13">
        <v>140050</v>
      </c>
      <c r="J35" s="6">
        <f t="shared" si="2"/>
        <v>218747</v>
      </c>
      <c r="K35" s="14">
        <v>358797</v>
      </c>
      <c r="L35" s="7">
        <f t="shared" si="3"/>
        <v>0.52875302841850236</v>
      </c>
      <c r="M35" s="13">
        <v>1405014</v>
      </c>
      <c r="N35" s="13">
        <v>569967</v>
      </c>
      <c r="O35" s="6">
        <f t="shared" si="4"/>
        <v>636008</v>
      </c>
      <c r="P35" s="15">
        <v>1205975</v>
      </c>
      <c r="Q35" s="7">
        <f t="shared" si="5"/>
        <v>0.85833664290889633</v>
      </c>
      <c r="R35" s="13">
        <v>600814</v>
      </c>
      <c r="S35" s="13">
        <v>131262</v>
      </c>
      <c r="T35" s="6">
        <f t="shared" si="6"/>
        <v>231479</v>
      </c>
      <c r="U35" s="14">
        <v>362741</v>
      </c>
      <c r="V35" s="7">
        <f t="shared" si="7"/>
        <v>0.6037492468550999</v>
      </c>
      <c r="W35" s="13">
        <v>577797</v>
      </c>
      <c r="X35" s="13">
        <v>139003</v>
      </c>
      <c r="Y35" s="6">
        <f t="shared" si="8"/>
        <v>225112</v>
      </c>
      <c r="Z35" s="14">
        <v>364115</v>
      </c>
      <c r="AA35" s="7">
        <f t="shared" si="9"/>
        <v>0.63017807292180472</v>
      </c>
      <c r="AB35" s="13">
        <v>1416919</v>
      </c>
      <c r="AC35" s="13">
        <v>452291</v>
      </c>
      <c r="AD35" s="6">
        <f t="shared" si="10"/>
        <v>775519</v>
      </c>
      <c r="AE35" s="15">
        <v>1227810</v>
      </c>
      <c r="AF35" s="7">
        <f t="shared" si="11"/>
        <v>0.86653506657755308</v>
      </c>
      <c r="AG35" s="13">
        <v>553324</v>
      </c>
      <c r="AH35" s="13">
        <v>122665</v>
      </c>
      <c r="AI35" s="6">
        <f t="shared" si="12"/>
        <v>245064</v>
      </c>
      <c r="AJ35" s="14">
        <v>367729</v>
      </c>
      <c r="AK35" s="7">
        <f t="shared" si="13"/>
        <v>0.66458169173937875</v>
      </c>
      <c r="AL35" s="13">
        <v>528988</v>
      </c>
      <c r="AM35" s="13">
        <v>154904</v>
      </c>
      <c r="AN35" s="6">
        <f t="shared" si="14"/>
        <v>217305</v>
      </c>
      <c r="AO35" s="14">
        <v>372209</v>
      </c>
      <c r="AP35" s="7">
        <f t="shared" si="15"/>
        <v>0.7036246568920278</v>
      </c>
      <c r="AQ35" s="13">
        <v>1379433</v>
      </c>
      <c r="AR35" s="13">
        <v>874896</v>
      </c>
      <c r="AS35" s="6">
        <f t="shared" si="16"/>
        <v>367255</v>
      </c>
      <c r="AT35" s="15">
        <v>1242151</v>
      </c>
      <c r="AU35" s="7">
        <f t="shared" si="17"/>
        <v>0.90047939986936665</v>
      </c>
      <c r="AV35" s="13">
        <v>465114</v>
      </c>
      <c r="AW35" s="13">
        <v>221373</v>
      </c>
      <c r="AX35" s="6">
        <f t="shared" si="18"/>
        <v>150912</v>
      </c>
      <c r="AY35" s="14">
        <v>372285</v>
      </c>
      <c r="AZ35" s="7">
        <f t="shared" si="19"/>
        <v>0.80041667204169298</v>
      </c>
      <c r="BA35" s="13">
        <v>457177</v>
      </c>
      <c r="BB35" s="13">
        <v>284183</v>
      </c>
      <c r="BC35" s="6">
        <f t="shared" si="20"/>
        <v>87753</v>
      </c>
      <c r="BD35" s="14">
        <v>371936</v>
      </c>
      <c r="BE35" s="7">
        <f t="shared" si="21"/>
        <v>0.81354923804128376</v>
      </c>
      <c r="BF35" s="13">
        <v>1380633</v>
      </c>
      <c r="BG35" s="13">
        <v>751562</v>
      </c>
      <c r="BH35" s="6">
        <f t="shared" si="22"/>
        <v>474435</v>
      </c>
      <c r="BI35" s="15">
        <v>1225997</v>
      </c>
      <c r="BJ35" s="7">
        <f t="shared" si="23"/>
        <v>0.88799630314500666</v>
      </c>
    </row>
    <row r="36" spans="1:62" x14ac:dyDescent="0.3">
      <c r="A36" s="21">
        <v>29</v>
      </c>
      <c r="B36" s="12" t="s">
        <v>31</v>
      </c>
      <c r="C36" s="13">
        <v>497177</v>
      </c>
      <c r="D36" s="13">
        <v>108371</v>
      </c>
      <c r="E36" s="6">
        <f t="shared" si="0"/>
        <v>256613</v>
      </c>
      <c r="F36" s="14">
        <v>364984</v>
      </c>
      <c r="G36" s="7">
        <f t="shared" si="1"/>
        <v>0.7341128008737331</v>
      </c>
      <c r="H36" s="13">
        <v>485610</v>
      </c>
      <c r="I36" s="13">
        <v>107614</v>
      </c>
      <c r="J36" s="6">
        <f t="shared" si="2"/>
        <v>259102</v>
      </c>
      <c r="K36" s="14">
        <v>366716</v>
      </c>
      <c r="L36" s="7">
        <f t="shared" si="3"/>
        <v>0.7551656679228187</v>
      </c>
      <c r="M36" s="13">
        <v>710827</v>
      </c>
      <c r="N36" s="13">
        <v>238182</v>
      </c>
      <c r="O36" s="6">
        <f t="shared" si="4"/>
        <v>374026</v>
      </c>
      <c r="P36" s="15">
        <v>612208</v>
      </c>
      <c r="Q36" s="7">
        <f t="shared" si="5"/>
        <v>0.86126160092399418</v>
      </c>
      <c r="R36" s="13">
        <v>464623</v>
      </c>
      <c r="S36" s="13">
        <v>96586</v>
      </c>
      <c r="T36" s="6">
        <f t="shared" si="6"/>
        <v>276287</v>
      </c>
      <c r="U36" s="14">
        <v>372873</v>
      </c>
      <c r="V36" s="7">
        <f t="shared" si="7"/>
        <v>0.80252807114585378</v>
      </c>
      <c r="W36" s="13">
        <v>451202</v>
      </c>
      <c r="X36" s="13">
        <v>104623</v>
      </c>
      <c r="Y36" s="6">
        <f t="shared" si="8"/>
        <v>271124</v>
      </c>
      <c r="Z36" s="14">
        <v>375747</v>
      </c>
      <c r="AA36" s="7">
        <f t="shared" si="9"/>
        <v>0.83276891503140504</v>
      </c>
      <c r="AB36" s="13">
        <v>709880</v>
      </c>
      <c r="AC36" s="13">
        <v>201230</v>
      </c>
      <c r="AD36" s="6">
        <f t="shared" si="10"/>
        <v>427630</v>
      </c>
      <c r="AE36" s="15">
        <v>628860</v>
      </c>
      <c r="AF36" s="7">
        <f t="shared" si="11"/>
        <v>0.88586803403392123</v>
      </c>
      <c r="AG36" s="13">
        <v>448411</v>
      </c>
      <c r="AH36" s="13">
        <v>99248</v>
      </c>
      <c r="AI36" s="6">
        <f t="shared" si="12"/>
        <v>282664</v>
      </c>
      <c r="AJ36" s="14">
        <v>381912</v>
      </c>
      <c r="AK36" s="7">
        <f t="shared" si="13"/>
        <v>0.85170078343305589</v>
      </c>
      <c r="AL36" s="13">
        <v>443261</v>
      </c>
      <c r="AM36" s="13">
        <v>125863</v>
      </c>
      <c r="AN36" s="6">
        <f t="shared" si="14"/>
        <v>260470</v>
      </c>
      <c r="AO36" s="14">
        <v>386333</v>
      </c>
      <c r="AP36" s="7">
        <f t="shared" si="15"/>
        <v>0.87157002307895348</v>
      </c>
      <c r="AQ36" s="13">
        <v>723207</v>
      </c>
      <c r="AR36" s="13">
        <v>383704</v>
      </c>
      <c r="AS36" s="6">
        <f t="shared" si="16"/>
        <v>261088</v>
      </c>
      <c r="AT36" s="15">
        <v>644792</v>
      </c>
      <c r="AU36" s="7">
        <f t="shared" si="17"/>
        <v>0.89157322868832856</v>
      </c>
      <c r="AV36" s="13">
        <v>443230</v>
      </c>
      <c r="AW36" s="13">
        <v>194070</v>
      </c>
      <c r="AX36" s="6">
        <f t="shared" si="18"/>
        <v>196233</v>
      </c>
      <c r="AY36" s="14">
        <v>390303</v>
      </c>
      <c r="AZ36" s="7">
        <f t="shared" si="19"/>
        <v>0.880587956591386</v>
      </c>
      <c r="BA36" s="13">
        <v>443322</v>
      </c>
      <c r="BB36" s="13">
        <v>301218</v>
      </c>
      <c r="BC36" s="6">
        <f t="shared" si="20"/>
        <v>88473</v>
      </c>
      <c r="BD36" s="14">
        <v>389691</v>
      </c>
      <c r="BE36" s="7">
        <f t="shared" si="21"/>
        <v>0.8790247269479069</v>
      </c>
      <c r="BF36" s="13">
        <v>734800</v>
      </c>
      <c r="BG36" s="13">
        <v>452875</v>
      </c>
      <c r="BH36" s="6">
        <f t="shared" si="22"/>
        <v>185123</v>
      </c>
      <c r="BI36" s="15">
        <v>637998</v>
      </c>
      <c r="BJ36" s="7">
        <f t="shared" si="23"/>
        <v>0.86826075122482305</v>
      </c>
    </row>
    <row r="37" spans="1:62" x14ac:dyDescent="0.3">
      <c r="A37" s="21">
        <v>30</v>
      </c>
      <c r="B37" s="12" t="s">
        <v>32</v>
      </c>
      <c r="C37" s="13">
        <v>21309</v>
      </c>
      <c r="D37" s="13">
        <v>4590</v>
      </c>
      <c r="E37" s="6">
        <f t="shared" si="0"/>
        <v>7227</v>
      </c>
      <c r="F37" s="14">
        <v>11817</v>
      </c>
      <c r="G37" s="7">
        <f t="shared" si="1"/>
        <v>0.55455441362804447</v>
      </c>
      <c r="H37" s="13">
        <v>20779</v>
      </c>
      <c r="I37" s="13">
        <v>4600</v>
      </c>
      <c r="J37" s="6">
        <f t="shared" si="2"/>
        <v>7246</v>
      </c>
      <c r="K37" s="14">
        <v>11846</v>
      </c>
      <c r="L37" s="7">
        <f t="shared" si="3"/>
        <v>0.57009480725732709</v>
      </c>
      <c r="M37" s="13">
        <v>33757</v>
      </c>
      <c r="N37" s="13">
        <v>13260</v>
      </c>
      <c r="O37" s="6">
        <f t="shared" si="4"/>
        <v>15106</v>
      </c>
      <c r="P37" s="15">
        <v>28366</v>
      </c>
      <c r="Q37" s="7">
        <f t="shared" si="5"/>
        <v>0.84029978967325292</v>
      </c>
      <c r="R37" s="13">
        <v>19308</v>
      </c>
      <c r="S37" s="13">
        <v>4383</v>
      </c>
      <c r="T37" s="6">
        <f t="shared" si="6"/>
        <v>7595</v>
      </c>
      <c r="U37" s="14">
        <v>11978</v>
      </c>
      <c r="V37" s="7">
        <f t="shared" si="7"/>
        <v>0.62036461570333545</v>
      </c>
      <c r="W37" s="13">
        <v>18815</v>
      </c>
      <c r="X37" s="13">
        <v>4453</v>
      </c>
      <c r="Y37" s="6">
        <f t="shared" si="8"/>
        <v>7583</v>
      </c>
      <c r="Z37" s="14">
        <v>12036</v>
      </c>
      <c r="AA37" s="7">
        <f t="shared" si="9"/>
        <v>0.63970236513420142</v>
      </c>
      <c r="AB37" s="13">
        <v>34397</v>
      </c>
      <c r="AC37" s="13">
        <v>12228</v>
      </c>
      <c r="AD37" s="6">
        <f t="shared" si="10"/>
        <v>16591</v>
      </c>
      <c r="AE37" s="15">
        <v>28819</v>
      </c>
      <c r="AF37" s="7">
        <f t="shared" si="11"/>
        <v>0.8378346948861819</v>
      </c>
      <c r="AG37" s="13">
        <v>18492</v>
      </c>
      <c r="AH37" s="13">
        <v>4499</v>
      </c>
      <c r="AI37" s="6">
        <f t="shared" si="12"/>
        <v>7693</v>
      </c>
      <c r="AJ37" s="14">
        <v>12192</v>
      </c>
      <c r="AK37" s="7">
        <f t="shared" si="13"/>
        <v>0.65931213497728747</v>
      </c>
      <c r="AL37" s="13">
        <v>18104</v>
      </c>
      <c r="AM37" s="13">
        <v>5174</v>
      </c>
      <c r="AN37" s="6">
        <f t="shared" si="14"/>
        <v>7095</v>
      </c>
      <c r="AO37" s="14">
        <v>12269</v>
      </c>
      <c r="AP37" s="7">
        <f t="shared" si="15"/>
        <v>0.67769553689792306</v>
      </c>
      <c r="AQ37" s="13">
        <v>35044</v>
      </c>
      <c r="AR37" s="13">
        <v>17483</v>
      </c>
      <c r="AS37" s="6">
        <f t="shared" si="16"/>
        <v>11905</v>
      </c>
      <c r="AT37" s="15">
        <v>29388</v>
      </c>
      <c r="AU37" s="7">
        <f t="shared" si="17"/>
        <v>0.83860289921241871</v>
      </c>
      <c r="AV37" s="13">
        <v>17705</v>
      </c>
      <c r="AW37" s="13">
        <v>6414</v>
      </c>
      <c r="AX37" s="6">
        <f t="shared" si="18"/>
        <v>5987</v>
      </c>
      <c r="AY37" s="14">
        <v>12401</v>
      </c>
      <c r="AZ37" s="7">
        <f t="shared" si="19"/>
        <v>0.7004236091499576</v>
      </c>
      <c r="BA37" s="13">
        <v>17648</v>
      </c>
      <c r="BB37" s="13">
        <v>9035</v>
      </c>
      <c r="BC37" s="6">
        <f t="shared" si="20"/>
        <v>3379</v>
      </c>
      <c r="BD37" s="14">
        <v>12414</v>
      </c>
      <c r="BE37" s="7">
        <f t="shared" si="21"/>
        <v>0.70342248413417952</v>
      </c>
      <c r="BF37" s="13">
        <v>36052</v>
      </c>
      <c r="BG37" s="13">
        <v>20196</v>
      </c>
      <c r="BH37" s="6">
        <f t="shared" si="22"/>
        <v>9366</v>
      </c>
      <c r="BI37" s="15">
        <v>29562</v>
      </c>
      <c r="BJ37" s="7">
        <f t="shared" si="23"/>
        <v>0.81998224786419616</v>
      </c>
    </row>
    <row r="38" spans="1:62" x14ac:dyDescent="0.3">
      <c r="A38" s="21">
        <v>31</v>
      </c>
      <c r="B38" s="12" t="s">
        <v>33</v>
      </c>
      <c r="C38" s="13">
        <v>176</v>
      </c>
      <c r="D38" s="13">
        <v>32</v>
      </c>
      <c r="E38" s="6">
        <f t="shared" si="0"/>
        <v>51</v>
      </c>
      <c r="F38" s="14">
        <v>83</v>
      </c>
      <c r="G38" s="7">
        <f t="shared" si="1"/>
        <v>0.47159090909090912</v>
      </c>
      <c r="H38" s="13">
        <v>175</v>
      </c>
      <c r="I38" s="13">
        <v>29</v>
      </c>
      <c r="J38" s="6">
        <f t="shared" si="2"/>
        <v>58</v>
      </c>
      <c r="K38" s="14">
        <v>87</v>
      </c>
      <c r="L38" s="7">
        <f t="shared" si="3"/>
        <v>0.49714285714285716</v>
      </c>
      <c r="M38" s="13">
        <v>219</v>
      </c>
      <c r="N38" s="13">
        <v>58</v>
      </c>
      <c r="O38" s="6">
        <f t="shared" si="4"/>
        <v>106</v>
      </c>
      <c r="P38" s="15">
        <v>164</v>
      </c>
      <c r="Q38" s="7">
        <f t="shared" si="5"/>
        <v>0.74885844748858443</v>
      </c>
      <c r="R38" s="13">
        <v>179</v>
      </c>
      <c r="S38" s="13">
        <v>27</v>
      </c>
      <c r="T38" s="6">
        <f t="shared" si="6"/>
        <v>61</v>
      </c>
      <c r="U38" s="14">
        <v>88</v>
      </c>
      <c r="V38" s="7">
        <f t="shared" si="7"/>
        <v>0.49162011173184356</v>
      </c>
      <c r="W38" s="13">
        <v>178</v>
      </c>
      <c r="X38" s="13">
        <v>31</v>
      </c>
      <c r="Y38" s="6">
        <f t="shared" si="8"/>
        <v>58</v>
      </c>
      <c r="Z38" s="14">
        <v>89</v>
      </c>
      <c r="AA38" s="7">
        <f t="shared" si="9"/>
        <v>0.5</v>
      </c>
      <c r="AB38" s="13">
        <v>229</v>
      </c>
      <c r="AC38" s="13">
        <v>51</v>
      </c>
      <c r="AD38" s="6">
        <f t="shared" si="10"/>
        <v>119</v>
      </c>
      <c r="AE38" s="15">
        <v>170</v>
      </c>
      <c r="AF38" s="7">
        <f t="shared" si="11"/>
        <v>0.74235807860262004</v>
      </c>
      <c r="AG38" s="13">
        <v>179</v>
      </c>
      <c r="AH38" s="13">
        <v>29</v>
      </c>
      <c r="AI38" s="6">
        <f t="shared" si="12"/>
        <v>61</v>
      </c>
      <c r="AJ38" s="14">
        <v>90</v>
      </c>
      <c r="AK38" s="7">
        <f t="shared" si="13"/>
        <v>0.5027932960893855</v>
      </c>
      <c r="AL38" s="13">
        <v>178</v>
      </c>
      <c r="AM38" s="13">
        <v>31</v>
      </c>
      <c r="AN38" s="6">
        <f t="shared" si="14"/>
        <v>61</v>
      </c>
      <c r="AO38" s="14">
        <v>92</v>
      </c>
      <c r="AP38" s="7">
        <f t="shared" si="15"/>
        <v>0.5168539325842697</v>
      </c>
      <c r="AQ38" s="13">
        <v>247</v>
      </c>
      <c r="AR38" s="13">
        <v>73</v>
      </c>
      <c r="AS38" s="6">
        <f t="shared" si="16"/>
        <v>108</v>
      </c>
      <c r="AT38" s="15">
        <v>181</v>
      </c>
      <c r="AU38" s="7">
        <f t="shared" si="17"/>
        <v>0.73279352226720651</v>
      </c>
      <c r="AV38" s="13">
        <v>180</v>
      </c>
      <c r="AW38" s="13">
        <v>39</v>
      </c>
      <c r="AX38" s="6">
        <f t="shared" si="18"/>
        <v>57</v>
      </c>
      <c r="AY38" s="14">
        <v>96</v>
      </c>
      <c r="AZ38" s="7">
        <f t="shared" si="19"/>
        <v>0.53333333333333333</v>
      </c>
      <c r="BA38" s="13">
        <v>181</v>
      </c>
      <c r="BB38" s="13">
        <v>54</v>
      </c>
      <c r="BC38" s="6">
        <f t="shared" si="20"/>
        <v>42</v>
      </c>
      <c r="BD38" s="14">
        <v>96</v>
      </c>
      <c r="BE38" s="7">
        <f t="shared" si="21"/>
        <v>0.53038674033149169</v>
      </c>
      <c r="BF38" s="13">
        <v>261</v>
      </c>
      <c r="BG38" s="13">
        <v>103</v>
      </c>
      <c r="BH38" s="6">
        <f t="shared" si="22"/>
        <v>84</v>
      </c>
      <c r="BI38" s="15">
        <v>187</v>
      </c>
      <c r="BJ38" s="7">
        <f t="shared" si="23"/>
        <v>0.71647509578544066</v>
      </c>
    </row>
    <row r="39" spans="1:62" x14ac:dyDescent="0.3">
      <c r="A39" s="21">
        <v>32</v>
      </c>
      <c r="B39" s="12" t="s">
        <v>34</v>
      </c>
      <c r="C39" s="13">
        <v>202318</v>
      </c>
      <c r="D39" s="13">
        <v>39359</v>
      </c>
      <c r="E39" s="6">
        <f t="shared" si="0"/>
        <v>107055</v>
      </c>
      <c r="F39" s="14">
        <v>146414</v>
      </c>
      <c r="G39" s="7">
        <f t="shared" si="1"/>
        <v>0.72368251959786078</v>
      </c>
      <c r="H39" s="13">
        <v>195184</v>
      </c>
      <c r="I39" s="13">
        <v>37638</v>
      </c>
      <c r="J39" s="6">
        <f t="shared" si="2"/>
        <v>109490</v>
      </c>
      <c r="K39" s="14">
        <v>147128</v>
      </c>
      <c r="L39" s="7">
        <f t="shared" si="3"/>
        <v>0.75379129436839087</v>
      </c>
      <c r="M39" s="13">
        <v>295913</v>
      </c>
      <c r="N39" s="13">
        <v>98773</v>
      </c>
      <c r="O39" s="6">
        <f t="shared" si="4"/>
        <v>164051</v>
      </c>
      <c r="P39" s="15">
        <v>262824</v>
      </c>
      <c r="Q39" s="7">
        <f t="shared" si="5"/>
        <v>0.88817997181604047</v>
      </c>
      <c r="R39" s="13">
        <v>189177</v>
      </c>
      <c r="S39" s="13">
        <v>30431</v>
      </c>
      <c r="T39" s="6">
        <f t="shared" si="6"/>
        <v>118729</v>
      </c>
      <c r="U39" s="14">
        <v>149160</v>
      </c>
      <c r="V39" s="7">
        <f t="shared" si="7"/>
        <v>0.78846794272030951</v>
      </c>
      <c r="W39" s="13">
        <v>187045</v>
      </c>
      <c r="X39" s="13">
        <v>29619</v>
      </c>
      <c r="Y39" s="6">
        <f t="shared" si="8"/>
        <v>120617</v>
      </c>
      <c r="Z39" s="14">
        <v>150236</v>
      </c>
      <c r="AA39" s="7">
        <f t="shared" si="9"/>
        <v>0.80320778422304795</v>
      </c>
      <c r="AB39" s="13">
        <v>301836</v>
      </c>
      <c r="AC39" s="13">
        <v>82599</v>
      </c>
      <c r="AD39" s="6">
        <f t="shared" si="10"/>
        <v>185934</v>
      </c>
      <c r="AE39" s="15">
        <v>268533</v>
      </c>
      <c r="AF39" s="7">
        <f t="shared" si="11"/>
        <v>0.88966524867809005</v>
      </c>
      <c r="AG39" s="13">
        <v>184754</v>
      </c>
      <c r="AH39" s="13">
        <v>36570</v>
      </c>
      <c r="AI39" s="6">
        <f t="shared" si="12"/>
        <v>115714</v>
      </c>
      <c r="AJ39" s="14">
        <v>152284</v>
      </c>
      <c r="AK39" s="7">
        <f t="shared" si="13"/>
        <v>0.82425279019669395</v>
      </c>
      <c r="AL39" s="13">
        <v>180486</v>
      </c>
      <c r="AM39" s="13">
        <v>55426</v>
      </c>
      <c r="AN39" s="6">
        <f t="shared" si="14"/>
        <v>98549</v>
      </c>
      <c r="AO39" s="14">
        <v>153975</v>
      </c>
      <c r="AP39" s="7">
        <f t="shared" si="15"/>
        <v>0.85311326086233841</v>
      </c>
      <c r="AQ39" s="13">
        <v>302709</v>
      </c>
      <c r="AR39" s="13">
        <v>160850</v>
      </c>
      <c r="AS39" s="6">
        <f t="shared" si="16"/>
        <v>112544</v>
      </c>
      <c r="AT39" s="15">
        <v>273394</v>
      </c>
      <c r="AU39" s="7">
        <f t="shared" si="17"/>
        <v>0.90315781823467423</v>
      </c>
      <c r="AV39" s="13">
        <v>175450</v>
      </c>
      <c r="AW39" s="13">
        <v>76635</v>
      </c>
      <c r="AX39" s="6">
        <f t="shared" si="18"/>
        <v>78390</v>
      </c>
      <c r="AY39" s="14">
        <v>155025</v>
      </c>
      <c r="AZ39" s="7">
        <f t="shared" si="19"/>
        <v>0.88358506697064687</v>
      </c>
      <c r="BA39" s="13">
        <v>174499</v>
      </c>
      <c r="BB39" s="13">
        <v>118780</v>
      </c>
      <c r="BC39" s="6">
        <f t="shared" si="20"/>
        <v>36480</v>
      </c>
      <c r="BD39" s="14">
        <v>155260</v>
      </c>
      <c r="BE39" s="7">
        <f t="shared" si="21"/>
        <v>0.8897472191817718</v>
      </c>
      <c r="BF39" s="13">
        <v>304085</v>
      </c>
      <c r="BG39" s="13">
        <v>189686</v>
      </c>
      <c r="BH39" s="6">
        <f t="shared" si="22"/>
        <v>83610</v>
      </c>
      <c r="BI39" s="15">
        <v>273296</v>
      </c>
      <c r="BJ39" s="7">
        <f t="shared" si="23"/>
        <v>0.89874870513178884</v>
      </c>
    </row>
    <row r="40" spans="1:62" x14ac:dyDescent="0.3">
      <c r="A40" s="21">
        <v>33</v>
      </c>
      <c r="B40" s="12" t="s">
        <v>35</v>
      </c>
      <c r="C40" s="13">
        <v>681342</v>
      </c>
      <c r="D40" s="13">
        <v>145877</v>
      </c>
      <c r="E40" s="6">
        <f t="shared" si="0"/>
        <v>374916</v>
      </c>
      <c r="F40" s="14">
        <v>520793</v>
      </c>
      <c r="G40" s="7">
        <f t="shared" si="1"/>
        <v>0.7643635648470225</v>
      </c>
      <c r="H40" s="13">
        <v>679109</v>
      </c>
      <c r="I40" s="13">
        <v>144294</v>
      </c>
      <c r="J40" s="6">
        <f t="shared" si="2"/>
        <v>379467</v>
      </c>
      <c r="K40" s="14">
        <v>523761</v>
      </c>
      <c r="L40" s="7">
        <f t="shared" si="3"/>
        <v>0.77124732553978814</v>
      </c>
      <c r="M40" s="13">
        <v>894344</v>
      </c>
      <c r="N40" s="13">
        <v>273096</v>
      </c>
      <c r="O40" s="6">
        <f t="shared" si="4"/>
        <v>479480</v>
      </c>
      <c r="P40" s="15">
        <v>752576</v>
      </c>
      <c r="Q40" s="7">
        <f t="shared" si="5"/>
        <v>0.84148381383449766</v>
      </c>
      <c r="R40" s="13">
        <v>670695</v>
      </c>
      <c r="S40" s="13">
        <v>132477</v>
      </c>
      <c r="T40" s="6">
        <f t="shared" si="6"/>
        <v>398541</v>
      </c>
      <c r="U40" s="14">
        <v>531018</v>
      </c>
      <c r="V40" s="7">
        <f t="shared" si="7"/>
        <v>0.79174289356562966</v>
      </c>
      <c r="W40" s="13">
        <v>664170</v>
      </c>
      <c r="X40" s="13">
        <v>137937</v>
      </c>
      <c r="Y40" s="6">
        <f t="shared" si="8"/>
        <v>397028</v>
      </c>
      <c r="Z40" s="14">
        <v>534965</v>
      </c>
      <c r="AA40" s="7">
        <f t="shared" si="9"/>
        <v>0.8054639625397112</v>
      </c>
      <c r="AB40" s="13">
        <v>900385</v>
      </c>
      <c r="AC40" s="13">
        <v>227476</v>
      </c>
      <c r="AD40" s="6">
        <f t="shared" si="10"/>
        <v>541946</v>
      </c>
      <c r="AE40" s="15">
        <v>769422</v>
      </c>
      <c r="AF40" s="7">
        <f t="shared" si="11"/>
        <v>0.85454777678437555</v>
      </c>
      <c r="AG40" s="13">
        <v>654051</v>
      </c>
      <c r="AH40" s="13">
        <v>134833</v>
      </c>
      <c r="AI40" s="6">
        <f t="shared" si="12"/>
        <v>407326</v>
      </c>
      <c r="AJ40" s="14">
        <v>542159</v>
      </c>
      <c r="AK40" s="7">
        <f t="shared" si="13"/>
        <v>0.82892465572256602</v>
      </c>
      <c r="AL40" s="13">
        <v>640748</v>
      </c>
      <c r="AM40" s="13">
        <v>174944</v>
      </c>
      <c r="AN40" s="6">
        <f t="shared" si="14"/>
        <v>372439</v>
      </c>
      <c r="AO40" s="14">
        <v>547383</v>
      </c>
      <c r="AP40" s="7">
        <f t="shared" si="15"/>
        <v>0.8542874889972345</v>
      </c>
      <c r="AQ40" s="13">
        <v>877850</v>
      </c>
      <c r="AR40" s="13">
        <v>502516</v>
      </c>
      <c r="AS40" s="6">
        <f t="shared" si="16"/>
        <v>284089</v>
      </c>
      <c r="AT40" s="15">
        <v>786605</v>
      </c>
      <c r="AU40" s="7">
        <f t="shared" si="17"/>
        <v>0.89605855214444385</v>
      </c>
      <c r="AV40" s="13">
        <v>620078</v>
      </c>
      <c r="AW40" s="13">
        <v>296846</v>
      </c>
      <c r="AX40" s="6">
        <f t="shared" si="18"/>
        <v>257073</v>
      </c>
      <c r="AY40" s="14">
        <v>553919</v>
      </c>
      <c r="AZ40" s="7">
        <f t="shared" si="19"/>
        <v>0.89330535835814207</v>
      </c>
      <c r="BA40" s="13">
        <v>613352</v>
      </c>
      <c r="BB40" s="13">
        <v>454234</v>
      </c>
      <c r="BC40" s="6">
        <f t="shared" si="20"/>
        <v>101422</v>
      </c>
      <c r="BD40" s="14">
        <v>555656</v>
      </c>
      <c r="BE40" s="7">
        <f t="shared" si="21"/>
        <v>0.9059332976822444</v>
      </c>
      <c r="BF40" s="13">
        <v>876639</v>
      </c>
      <c r="BG40" s="13">
        <v>568031</v>
      </c>
      <c r="BH40" s="6">
        <f t="shared" si="22"/>
        <v>217742</v>
      </c>
      <c r="BI40" s="15">
        <v>785773</v>
      </c>
      <c r="BJ40" s="7">
        <f t="shared" si="23"/>
        <v>0.8963472991733199</v>
      </c>
    </row>
    <row r="41" spans="1:62" x14ac:dyDescent="0.3">
      <c r="A41" s="21">
        <v>34</v>
      </c>
      <c r="B41" s="12" t="s">
        <v>36</v>
      </c>
      <c r="C41" s="13">
        <v>16423</v>
      </c>
      <c r="D41" s="13">
        <v>3505</v>
      </c>
      <c r="E41" s="6">
        <f t="shared" si="0"/>
        <v>8016</v>
      </c>
      <c r="F41" s="14">
        <v>11521</v>
      </c>
      <c r="G41" s="7">
        <f t="shared" si="1"/>
        <v>0.70151616635206726</v>
      </c>
      <c r="H41" s="13">
        <v>16070</v>
      </c>
      <c r="I41" s="13">
        <v>3416</v>
      </c>
      <c r="J41" s="6">
        <f t="shared" si="2"/>
        <v>8187</v>
      </c>
      <c r="K41" s="14">
        <v>11603</v>
      </c>
      <c r="L41" s="7">
        <f t="shared" si="3"/>
        <v>0.72202862476664598</v>
      </c>
      <c r="M41" s="13">
        <v>20879</v>
      </c>
      <c r="N41" s="13">
        <v>6052</v>
      </c>
      <c r="O41" s="6">
        <f t="shared" si="4"/>
        <v>10849</v>
      </c>
      <c r="P41" s="15">
        <v>16901</v>
      </c>
      <c r="Q41" s="7">
        <f t="shared" si="5"/>
        <v>0.80947363379472193</v>
      </c>
      <c r="R41" s="13">
        <v>15621</v>
      </c>
      <c r="S41" s="13">
        <v>3128</v>
      </c>
      <c r="T41" s="6">
        <f t="shared" si="6"/>
        <v>8526</v>
      </c>
      <c r="U41" s="14">
        <v>11654</v>
      </c>
      <c r="V41" s="7">
        <f t="shared" si="7"/>
        <v>0.74604698802893543</v>
      </c>
      <c r="W41" s="13">
        <v>15410</v>
      </c>
      <c r="X41" s="13">
        <v>3251</v>
      </c>
      <c r="Y41" s="6">
        <f t="shared" si="8"/>
        <v>8479</v>
      </c>
      <c r="Z41" s="14">
        <v>11730</v>
      </c>
      <c r="AA41" s="7">
        <f t="shared" si="9"/>
        <v>0.76119402985074625</v>
      </c>
      <c r="AB41" s="13">
        <v>21025</v>
      </c>
      <c r="AC41" s="13">
        <v>5297</v>
      </c>
      <c r="AD41" s="6">
        <f t="shared" si="10"/>
        <v>11897</v>
      </c>
      <c r="AE41" s="15">
        <v>17194</v>
      </c>
      <c r="AF41" s="7">
        <f t="shared" si="11"/>
        <v>0.81778834720570748</v>
      </c>
      <c r="AG41" s="13">
        <v>15000</v>
      </c>
      <c r="AH41" s="13">
        <v>3426</v>
      </c>
      <c r="AI41" s="6">
        <f t="shared" si="12"/>
        <v>8525</v>
      </c>
      <c r="AJ41" s="14">
        <v>11951</v>
      </c>
      <c r="AK41" s="7">
        <f t="shared" si="13"/>
        <v>0.79673333333333329</v>
      </c>
      <c r="AL41" s="13">
        <v>14741</v>
      </c>
      <c r="AM41" s="13">
        <v>4209</v>
      </c>
      <c r="AN41" s="6">
        <f t="shared" si="14"/>
        <v>7790</v>
      </c>
      <c r="AO41" s="14">
        <v>11999</v>
      </c>
      <c r="AP41" s="7">
        <f t="shared" si="15"/>
        <v>0.81398819618750429</v>
      </c>
      <c r="AQ41" s="13">
        <v>20391</v>
      </c>
      <c r="AR41" s="13">
        <v>10447</v>
      </c>
      <c r="AS41" s="6">
        <f t="shared" si="16"/>
        <v>6925</v>
      </c>
      <c r="AT41" s="15">
        <v>17372</v>
      </c>
      <c r="AU41" s="7">
        <f t="shared" si="17"/>
        <v>0.8519444853121475</v>
      </c>
      <c r="AV41" s="13">
        <v>13562</v>
      </c>
      <c r="AW41" s="13">
        <v>6083</v>
      </c>
      <c r="AX41" s="6">
        <f t="shared" si="18"/>
        <v>5912</v>
      </c>
      <c r="AY41" s="14">
        <v>11995</v>
      </c>
      <c r="AZ41" s="7">
        <f t="shared" si="19"/>
        <v>0.88445656982745913</v>
      </c>
      <c r="BA41" s="13">
        <v>13336</v>
      </c>
      <c r="BB41" s="13">
        <v>9563</v>
      </c>
      <c r="BC41" s="6">
        <f t="shared" si="20"/>
        <v>2431</v>
      </c>
      <c r="BD41" s="14">
        <v>11994</v>
      </c>
      <c r="BE41" s="7">
        <f t="shared" si="21"/>
        <v>0.89937012597480503</v>
      </c>
      <c r="BF41" s="13">
        <v>19681</v>
      </c>
      <c r="BG41" s="13">
        <v>12605</v>
      </c>
      <c r="BH41" s="6">
        <f t="shared" si="22"/>
        <v>4509</v>
      </c>
      <c r="BI41" s="15">
        <v>17114</v>
      </c>
      <c r="BJ41" s="7">
        <f t="shared" si="23"/>
        <v>0.86956963568924339</v>
      </c>
    </row>
    <row r="42" spans="1:62" x14ac:dyDescent="0.3">
      <c r="A42" s="21">
        <v>35</v>
      </c>
      <c r="B42" s="12" t="s">
        <v>48</v>
      </c>
      <c r="C42" s="13">
        <v>3127</v>
      </c>
      <c r="D42" s="13">
        <v>335</v>
      </c>
      <c r="E42" s="6">
        <f t="shared" si="0"/>
        <v>1576</v>
      </c>
      <c r="F42" s="14">
        <v>1911</v>
      </c>
      <c r="G42" s="7">
        <f t="shared" si="1"/>
        <v>0.61112887751838818</v>
      </c>
      <c r="H42" s="13">
        <v>3085</v>
      </c>
      <c r="I42" s="13">
        <v>326</v>
      </c>
      <c r="J42" s="6">
        <f t="shared" si="2"/>
        <v>1569</v>
      </c>
      <c r="K42" s="14">
        <v>1895</v>
      </c>
      <c r="L42" s="7">
        <f t="shared" si="3"/>
        <v>0.61426256077795782</v>
      </c>
      <c r="M42" s="13">
        <v>3826</v>
      </c>
      <c r="N42" s="13">
        <v>643</v>
      </c>
      <c r="O42" s="6">
        <f t="shared" si="4"/>
        <v>2564</v>
      </c>
      <c r="P42" s="15">
        <v>3207</v>
      </c>
      <c r="Q42" s="7">
        <f t="shared" si="5"/>
        <v>0.83821223209618401</v>
      </c>
      <c r="R42" s="13">
        <v>2934</v>
      </c>
      <c r="S42" s="13">
        <v>270</v>
      </c>
      <c r="T42" s="6">
        <f t="shared" si="6"/>
        <v>1641</v>
      </c>
      <c r="U42" s="14">
        <v>1911</v>
      </c>
      <c r="V42" s="7">
        <f t="shared" si="7"/>
        <v>0.65132924335378328</v>
      </c>
      <c r="W42" s="13">
        <v>2929</v>
      </c>
      <c r="X42" s="13">
        <v>300</v>
      </c>
      <c r="Y42" s="6">
        <f t="shared" si="8"/>
        <v>1632</v>
      </c>
      <c r="Z42" s="14">
        <v>1932</v>
      </c>
      <c r="AA42" s="7">
        <f t="shared" si="9"/>
        <v>0.65961078866507339</v>
      </c>
      <c r="AB42" s="13">
        <v>3994</v>
      </c>
      <c r="AC42" s="13">
        <v>521</v>
      </c>
      <c r="AD42" s="6">
        <f t="shared" si="10"/>
        <v>2752</v>
      </c>
      <c r="AE42" s="15">
        <v>3273</v>
      </c>
      <c r="AF42" s="7">
        <f t="shared" si="11"/>
        <v>0.81947921882824237</v>
      </c>
      <c r="AG42" s="13">
        <v>2925</v>
      </c>
      <c r="AH42" s="13">
        <v>274</v>
      </c>
      <c r="AI42" s="6">
        <f t="shared" si="12"/>
        <v>1692</v>
      </c>
      <c r="AJ42" s="14">
        <v>1966</v>
      </c>
      <c r="AK42" s="7">
        <f t="shared" si="13"/>
        <v>0.67213675213675217</v>
      </c>
      <c r="AL42" s="13">
        <v>2906</v>
      </c>
      <c r="AM42" s="13">
        <v>339</v>
      </c>
      <c r="AN42" s="6">
        <f t="shared" si="14"/>
        <v>1658</v>
      </c>
      <c r="AO42" s="14">
        <v>1997</v>
      </c>
      <c r="AP42" s="7">
        <f t="shared" si="15"/>
        <v>0.68719889883000684</v>
      </c>
      <c r="AQ42" s="13">
        <v>4090</v>
      </c>
      <c r="AR42" s="13">
        <v>1214</v>
      </c>
      <c r="AS42" s="6">
        <f t="shared" si="16"/>
        <v>2159</v>
      </c>
      <c r="AT42" s="15">
        <v>3373</v>
      </c>
      <c r="AU42" s="7">
        <f t="shared" si="17"/>
        <v>0.82469437652811739</v>
      </c>
      <c r="AV42" s="13">
        <v>2535</v>
      </c>
      <c r="AW42" s="13">
        <v>449</v>
      </c>
      <c r="AX42" s="6">
        <f t="shared" si="18"/>
        <v>1558</v>
      </c>
      <c r="AY42" s="14">
        <v>2007</v>
      </c>
      <c r="AZ42" s="7">
        <f t="shared" si="19"/>
        <v>0.79171597633136093</v>
      </c>
      <c r="BA42" s="13">
        <v>2542</v>
      </c>
      <c r="BB42" s="13">
        <v>842</v>
      </c>
      <c r="BC42" s="6">
        <f t="shared" si="20"/>
        <v>1159</v>
      </c>
      <c r="BD42" s="14">
        <v>2001</v>
      </c>
      <c r="BE42" s="7">
        <f t="shared" si="21"/>
        <v>0.78717545239968534</v>
      </c>
      <c r="BF42" s="13">
        <v>3877</v>
      </c>
      <c r="BG42" s="13">
        <v>1547</v>
      </c>
      <c r="BH42" s="6">
        <f t="shared" si="22"/>
        <v>1806</v>
      </c>
      <c r="BI42" s="15">
        <v>3353</v>
      </c>
      <c r="BJ42" s="7">
        <f t="shared" si="23"/>
        <v>0.86484395150889859</v>
      </c>
    </row>
    <row r="43" spans="1:62" x14ac:dyDescent="0.3">
      <c r="A43" s="21">
        <v>36</v>
      </c>
      <c r="B43" s="12" t="s">
        <v>37</v>
      </c>
      <c r="C43" s="13">
        <v>247115</v>
      </c>
      <c r="D43" s="13">
        <v>43261</v>
      </c>
      <c r="E43" s="6">
        <f t="shared" si="0"/>
        <v>128415</v>
      </c>
      <c r="F43" s="14">
        <v>171676</v>
      </c>
      <c r="G43" s="7">
        <f t="shared" si="1"/>
        <v>0.69472108127794752</v>
      </c>
      <c r="H43" s="13">
        <v>243625</v>
      </c>
      <c r="I43" s="13">
        <v>41822</v>
      </c>
      <c r="J43" s="6">
        <f t="shared" si="2"/>
        <v>131245</v>
      </c>
      <c r="K43" s="14">
        <v>173067</v>
      </c>
      <c r="L43" s="7">
        <f t="shared" si="3"/>
        <v>0.71038276038994352</v>
      </c>
      <c r="M43" s="13">
        <v>327844</v>
      </c>
      <c r="N43" s="13">
        <v>88086</v>
      </c>
      <c r="O43" s="6">
        <f t="shared" si="4"/>
        <v>177497</v>
      </c>
      <c r="P43" s="15">
        <v>265583</v>
      </c>
      <c r="Q43" s="7">
        <f t="shared" si="5"/>
        <v>0.81008955478825295</v>
      </c>
      <c r="R43" s="13">
        <v>238294</v>
      </c>
      <c r="S43" s="13">
        <v>40853</v>
      </c>
      <c r="T43" s="6">
        <f t="shared" si="6"/>
        <v>135159</v>
      </c>
      <c r="U43" s="14">
        <v>176012</v>
      </c>
      <c r="V43" s="7">
        <f t="shared" si="7"/>
        <v>0.73863378851334904</v>
      </c>
      <c r="W43" s="13">
        <v>236935</v>
      </c>
      <c r="X43" s="13">
        <v>42250</v>
      </c>
      <c r="Y43" s="6">
        <f t="shared" si="8"/>
        <v>135328</v>
      </c>
      <c r="Z43" s="14">
        <v>177578</v>
      </c>
      <c r="AA43" s="7">
        <f t="shared" si="9"/>
        <v>0.74947981513917317</v>
      </c>
      <c r="AB43" s="13">
        <v>337626</v>
      </c>
      <c r="AC43" s="13">
        <v>72375</v>
      </c>
      <c r="AD43" s="6">
        <f t="shared" si="10"/>
        <v>202420</v>
      </c>
      <c r="AE43" s="15">
        <v>274795</v>
      </c>
      <c r="AF43" s="7">
        <f t="shared" si="11"/>
        <v>0.8139035500820434</v>
      </c>
      <c r="AG43" s="13">
        <v>239475</v>
      </c>
      <c r="AH43" s="13">
        <v>39650</v>
      </c>
      <c r="AI43" s="6">
        <f t="shared" si="12"/>
        <v>141548</v>
      </c>
      <c r="AJ43" s="14">
        <v>181198</v>
      </c>
      <c r="AK43" s="7">
        <f t="shared" si="13"/>
        <v>0.75664683161081536</v>
      </c>
      <c r="AL43" s="13">
        <v>240217</v>
      </c>
      <c r="AM43" s="13">
        <v>49826</v>
      </c>
      <c r="AN43" s="6">
        <f t="shared" si="14"/>
        <v>133818</v>
      </c>
      <c r="AO43" s="14">
        <v>183644</v>
      </c>
      <c r="AP43" s="7">
        <f t="shared" si="15"/>
        <v>0.76449210505501275</v>
      </c>
      <c r="AQ43" s="13">
        <v>350234</v>
      </c>
      <c r="AR43" s="13">
        <v>155108</v>
      </c>
      <c r="AS43" s="6">
        <f t="shared" si="16"/>
        <v>129104</v>
      </c>
      <c r="AT43" s="15">
        <v>284212</v>
      </c>
      <c r="AU43" s="7">
        <f t="shared" si="17"/>
        <v>0.81149174551871039</v>
      </c>
      <c r="AV43" s="13">
        <v>239471</v>
      </c>
      <c r="AW43" s="13">
        <v>82395</v>
      </c>
      <c r="AX43" s="6">
        <f t="shared" si="18"/>
        <v>103610</v>
      </c>
      <c r="AY43" s="14">
        <v>186005</v>
      </c>
      <c r="AZ43" s="7">
        <f t="shared" si="19"/>
        <v>0.77673288206087587</v>
      </c>
      <c r="BA43" s="13">
        <v>238143</v>
      </c>
      <c r="BB43" s="13">
        <v>135886</v>
      </c>
      <c r="BC43" s="6">
        <f t="shared" si="20"/>
        <v>50114</v>
      </c>
      <c r="BD43" s="14">
        <v>186000</v>
      </c>
      <c r="BE43" s="7">
        <f t="shared" si="21"/>
        <v>0.78104332270946453</v>
      </c>
      <c r="BF43" s="13">
        <v>357819</v>
      </c>
      <c r="BG43" s="13">
        <v>195061</v>
      </c>
      <c r="BH43" s="6">
        <f t="shared" si="22"/>
        <v>87529</v>
      </c>
      <c r="BI43" s="15">
        <v>282590</v>
      </c>
      <c r="BJ43" s="7">
        <f t="shared" si="23"/>
        <v>0.78975683236496663</v>
      </c>
    </row>
    <row r="44" spans="1:62" x14ac:dyDescent="0.3">
      <c r="A44" s="21">
        <v>37</v>
      </c>
      <c r="B44" s="12" t="s">
        <v>38</v>
      </c>
      <c r="C44" s="13">
        <v>211912</v>
      </c>
      <c r="D44" s="13">
        <v>39948</v>
      </c>
      <c r="E44" s="6">
        <f t="shared" si="0"/>
        <v>115167</v>
      </c>
      <c r="F44" s="14">
        <v>155115</v>
      </c>
      <c r="G44" s="7">
        <f t="shared" si="1"/>
        <v>0.73197836837932728</v>
      </c>
      <c r="H44" s="13">
        <v>206448</v>
      </c>
      <c r="I44" s="13">
        <v>40973</v>
      </c>
      <c r="J44" s="6">
        <f t="shared" si="2"/>
        <v>114666</v>
      </c>
      <c r="K44" s="14">
        <v>155639</v>
      </c>
      <c r="L44" s="7">
        <f t="shared" si="3"/>
        <v>0.75388959931798805</v>
      </c>
      <c r="M44" s="13">
        <v>281946</v>
      </c>
      <c r="N44" s="13">
        <v>81878</v>
      </c>
      <c r="O44" s="6">
        <f t="shared" si="4"/>
        <v>154659</v>
      </c>
      <c r="P44" s="15">
        <v>236537</v>
      </c>
      <c r="Q44" s="7">
        <f t="shared" si="5"/>
        <v>0.83894433685883107</v>
      </c>
      <c r="R44" s="13">
        <v>201438</v>
      </c>
      <c r="S44" s="13">
        <v>37758</v>
      </c>
      <c r="T44" s="6">
        <f t="shared" si="6"/>
        <v>120072</v>
      </c>
      <c r="U44" s="14">
        <v>157830</v>
      </c>
      <c r="V44" s="7">
        <f t="shared" si="7"/>
        <v>0.78351651624817564</v>
      </c>
      <c r="W44" s="13">
        <v>199209</v>
      </c>
      <c r="X44" s="13">
        <v>39371</v>
      </c>
      <c r="Y44" s="6">
        <f t="shared" si="8"/>
        <v>119412</v>
      </c>
      <c r="Z44" s="14">
        <v>158783</v>
      </c>
      <c r="AA44" s="7">
        <f t="shared" si="9"/>
        <v>0.79706740157322209</v>
      </c>
      <c r="AB44" s="13">
        <v>287263</v>
      </c>
      <c r="AC44" s="13">
        <v>65860</v>
      </c>
      <c r="AD44" s="6">
        <f t="shared" si="10"/>
        <v>175616</v>
      </c>
      <c r="AE44" s="15">
        <v>241476</v>
      </c>
      <c r="AF44" s="7">
        <f t="shared" si="11"/>
        <v>0.84060947633353411</v>
      </c>
      <c r="AG44" s="13">
        <v>197620</v>
      </c>
      <c r="AH44" s="13">
        <v>36398</v>
      </c>
      <c r="AI44" s="6">
        <f t="shared" si="12"/>
        <v>124464</v>
      </c>
      <c r="AJ44" s="14">
        <v>160862</v>
      </c>
      <c r="AK44" s="7">
        <f t="shared" si="13"/>
        <v>0.8139965590527275</v>
      </c>
      <c r="AL44" s="13">
        <v>193704</v>
      </c>
      <c r="AM44" s="13">
        <v>47355</v>
      </c>
      <c r="AN44" s="6">
        <f t="shared" si="14"/>
        <v>115480</v>
      </c>
      <c r="AO44" s="14">
        <v>162835</v>
      </c>
      <c r="AP44" s="7">
        <f t="shared" si="15"/>
        <v>0.84063829347870977</v>
      </c>
      <c r="AQ44" s="13">
        <v>286760</v>
      </c>
      <c r="AR44" s="13">
        <v>151471</v>
      </c>
      <c r="AS44" s="6">
        <f t="shared" si="16"/>
        <v>94942</v>
      </c>
      <c r="AT44" s="15">
        <v>246413</v>
      </c>
      <c r="AU44" s="7">
        <f t="shared" si="17"/>
        <v>0.85930046031524621</v>
      </c>
      <c r="AV44" s="13">
        <v>192119</v>
      </c>
      <c r="AW44" s="13">
        <v>79873</v>
      </c>
      <c r="AX44" s="6">
        <f t="shared" si="18"/>
        <v>83616</v>
      </c>
      <c r="AY44" s="14">
        <v>163489</v>
      </c>
      <c r="AZ44" s="7">
        <f t="shared" si="19"/>
        <v>0.85097777939714447</v>
      </c>
      <c r="BA44" s="13">
        <v>188319</v>
      </c>
      <c r="BB44" s="13">
        <v>128641</v>
      </c>
      <c r="BC44" s="6">
        <f t="shared" si="20"/>
        <v>34274</v>
      </c>
      <c r="BD44" s="14">
        <v>162915</v>
      </c>
      <c r="BE44" s="7">
        <f t="shared" si="21"/>
        <v>0.86510123779331882</v>
      </c>
      <c r="BF44" s="13">
        <v>283250</v>
      </c>
      <c r="BG44" s="13">
        <v>174803</v>
      </c>
      <c r="BH44" s="6">
        <f t="shared" si="22"/>
        <v>65578</v>
      </c>
      <c r="BI44" s="15">
        <v>240381</v>
      </c>
      <c r="BJ44" s="7">
        <f t="shared" si="23"/>
        <v>0.84865313327449254</v>
      </c>
    </row>
    <row r="45" spans="1:62" x14ac:dyDescent="0.3">
      <c r="A45" s="21">
        <v>38</v>
      </c>
      <c r="B45" s="12" t="s">
        <v>39</v>
      </c>
      <c r="C45" s="16" t="s">
        <v>44</v>
      </c>
      <c r="D45" s="16" t="s">
        <v>44</v>
      </c>
      <c r="E45" s="16" t="s">
        <v>44</v>
      </c>
      <c r="F45" s="16" t="s">
        <v>44</v>
      </c>
      <c r="G45" s="16" t="s">
        <v>44</v>
      </c>
      <c r="H45" s="16" t="s">
        <v>44</v>
      </c>
      <c r="I45" s="16" t="s">
        <v>44</v>
      </c>
      <c r="J45" s="16" t="s">
        <v>44</v>
      </c>
      <c r="K45" s="16" t="s">
        <v>44</v>
      </c>
      <c r="L45" s="16" t="s">
        <v>44</v>
      </c>
      <c r="M45" s="16" t="s">
        <v>44</v>
      </c>
      <c r="N45" s="16" t="s">
        <v>44</v>
      </c>
      <c r="O45" s="16" t="s">
        <v>44</v>
      </c>
      <c r="P45" s="16" t="s">
        <v>44</v>
      </c>
      <c r="Q45" s="16" t="s">
        <v>44</v>
      </c>
      <c r="R45" s="16" t="s">
        <v>44</v>
      </c>
      <c r="S45" s="16" t="s">
        <v>44</v>
      </c>
      <c r="T45" s="16" t="s">
        <v>44</v>
      </c>
      <c r="U45" s="16" t="s">
        <v>44</v>
      </c>
      <c r="V45" s="16" t="s">
        <v>44</v>
      </c>
      <c r="W45" s="16" t="s">
        <v>44</v>
      </c>
      <c r="X45" s="16" t="s">
        <v>44</v>
      </c>
      <c r="Y45" s="16" t="s">
        <v>44</v>
      </c>
      <c r="Z45" s="16" t="s">
        <v>44</v>
      </c>
      <c r="AA45" s="16" t="s">
        <v>44</v>
      </c>
      <c r="AB45" s="16" t="s">
        <v>44</v>
      </c>
      <c r="AC45" s="16" t="s">
        <v>44</v>
      </c>
      <c r="AD45" s="16" t="s">
        <v>44</v>
      </c>
      <c r="AE45" s="16" t="s">
        <v>44</v>
      </c>
      <c r="AF45" s="16" t="s">
        <v>44</v>
      </c>
      <c r="AG45" s="16" t="s">
        <v>44</v>
      </c>
      <c r="AH45" s="16" t="s">
        <v>44</v>
      </c>
      <c r="AI45" s="16" t="s">
        <v>44</v>
      </c>
      <c r="AJ45" s="16" t="s">
        <v>44</v>
      </c>
      <c r="AK45" s="16" t="s">
        <v>44</v>
      </c>
      <c r="AL45" s="16" t="s">
        <v>44</v>
      </c>
      <c r="AM45" s="16" t="s">
        <v>44</v>
      </c>
      <c r="AN45" s="16" t="s">
        <v>44</v>
      </c>
      <c r="AO45" s="16" t="s">
        <v>44</v>
      </c>
      <c r="AP45" s="16" t="s">
        <v>44</v>
      </c>
      <c r="AQ45" s="16" t="s">
        <v>44</v>
      </c>
      <c r="AR45" s="16" t="s">
        <v>44</v>
      </c>
      <c r="AS45" s="16" t="s">
        <v>44</v>
      </c>
      <c r="AT45" s="16" t="s">
        <v>44</v>
      </c>
      <c r="AU45" s="16" t="s">
        <v>44</v>
      </c>
      <c r="AV45" s="16">
        <v>868</v>
      </c>
      <c r="AW45" s="16">
        <v>0</v>
      </c>
      <c r="AX45" s="17">
        <f t="shared" si="18"/>
        <v>382</v>
      </c>
      <c r="AY45" s="14">
        <v>382</v>
      </c>
      <c r="AZ45" s="7">
        <f t="shared" si="19"/>
        <v>0.44009216589861749</v>
      </c>
      <c r="BA45" s="16">
        <v>982</v>
      </c>
      <c r="BB45" s="16">
        <v>0</v>
      </c>
      <c r="BC45" s="17">
        <f t="shared" si="20"/>
        <v>439</v>
      </c>
      <c r="BD45" s="14">
        <v>439</v>
      </c>
      <c r="BE45" s="7">
        <f t="shared" si="21"/>
        <v>0.4470468431771894</v>
      </c>
      <c r="BF45" s="16">
        <v>3014</v>
      </c>
      <c r="BG45" s="16">
        <v>1388</v>
      </c>
      <c r="BH45" s="17">
        <f t="shared" si="22"/>
        <v>1294</v>
      </c>
      <c r="BI45" s="15">
        <v>2682</v>
      </c>
      <c r="BJ45" s="7">
        <f t="shared" si="23"/>
        <v>0.88984737889847376</v>
      </c>
    </row>
    <row r="46" spans="1:62" x14ac:dyDescent="0.3">
      <c r="A46" s="21">
        <v>97</v>
      </c>
      <c r="B46" s="12" t="s">
        <v>40</v>
      </c>
      <c r="C46" s="13">
        <v>65</v>
      </c>
      <c r="D46" s="13">
        <v>45</v>
      </c>
      <c r="E46" s="6">
        <f t="shared" si="0"/>
        <v>4</v>
      </c>
      <c r="F46" s="14">
        <v>49</v>
      </c>
      <c r="G46" s="7">
        <f t="shared" si="1"/>
        <v>0.75384615384615383</v>
      </c>
      <c r="H46" s="13">
        <v>65</v>
      </c>
      <c r="I46" s="13">
        <v>44</v>
      </c>
      <c r="J46" s="6">
        <f t="shared" si="2"/>
        <v>5</v>
      </c>
      <c r="K46" s="14">
        <v>49</v>
      </c>
      <c r="L46" s="7">
        <f t="shared" si="3"/>
        <v>0.75384615384615383</v>
      </c>
      <c r="M46" s="13">
        <v>71</v>
      </c>
      <c r="N46" s="13">
        <v>53</v>
      </c>
      <c r="O46" s="6">
        <f t="shared" si="4"/>
        <v>3</v>
      </c>
      <c r="P46" s="15">
        <v>56</v>
      </c>
      <c r="Q46" s="7">
        <f t="shared" si="5"/>
        <v>0.78873239436619713</v>
      </c>
      <c r="R46" s="13">
        <v>70</v>
      </c>
      <c r="S46" s="13">
        <v>47</v>
      </c>
      <c r="T46" s="6">
        <f t="shared" si="6"/>
        <v>6</v>
      </c>
      <c r="U46" s="14">
        <v>53</v>
      </c>
      <c r="V46" s="7">
        <f t="shared" si="7"/>
        <v>0.75714285714285712</v>
      </c>
      <c r="W46" s="13">
        <v>71</v>
      </c>
      <c r="X46" s="13">
        <v>49</v>
      </c>
      <c r="Y46" s="6">
        <f t="shared" si="8"/>
        <v>5</v>
      </c>
      <c r="Z46" s="14">
        <v>54</v>
      </c>
      <c r="AA46" s="7">
        <f t="shared" si="9"/>
        <v>0.76056338028169013</v>
      </c>
      <c r="AB46" s="13">
        <v>76</v>
      </c>
      <c r="AC46" s="13">
        <v>51</v>
      </c>
      <c r="AD46" s="6">
        <f t="shared" si="10"/>
        <v>8</v>
      </c>
      <c r="AE46" s="15">
        <v>59</v>
      </c>
      <c r="AF46" s="7">
        <f t="shared" si="11"/>
        <v>0.77631578947368418</v>
      </c>
      <c r="AG46" s="13">
        <v>73</v>
      </c>
      <c r="AH46" s="13">
        <v>48</v>
      </c>
      <c r="AI46" s="6">
        <f t="shared" si="12"/>
        <v>8</v>
      </c>
      <c r="AJ46" s="14">
        <v>56</v>
      </c>
      <c r="AK46" s="7">
        <f t="shared" si="13"/>
        <v>0.76712328767123283</v>
      </c>
      <c r="AL46" s="13">
        <v>74</v>
      </c>
      <c r="AM46" s="13">
        <v>49</v>
      </c>
      <c r="AN46" s="6">
        <f t="shared" si="14"/>
        <v>7</v>
      </c>
      <c r="AO46" s="14">
        <v>56</v>
      </c>
      <c r="AP46" s="7">
        <f t="shared" si="15"/>
        <v>0.7567567567567568</v>
      </c>
      <c r="AQ46" s="13">
        <v>76</v>
      </c>
      <c r="AR46" s="13">
        <v>56</v>
      </c>
      <c r="AS46" s="6">
        <f t="shared" si="16"/>
        <v>5</v>
      </c>
      <c r="AT46" s="15">
        <v>61</v>
      </c>
      <c r="AU46" s="7">
        <f t="shared" si="17"/>
        <v>0.80263157894736847</v>
      </c>
      <c r="AV46" s="13">
        <v>71</v>
      </c>
      <c r="AW46" s="13">
        <v>54</v>
      </c>
      <c r="AX46" s="6">
        <f t="shared" si="18"/>
        <v>4</v>
      </c>
      <c r="AY46" s="14">
        <v>58</v>
      </c>
      <c r="AZ46" s="7">
        <f t="shared" si="19"/>
        <v>0.81690140845070425</v>
      </c>
      <c r="BA46" s="13">
        <v>73</v>
      </c>
      <c r="BB46" s="13">
        <v>58</v>
      </c>
      <c r="BC46" s="6">
        <f t="shared" si="20"/>
        <v>0</v>
      </c>
      <c r="BD46" s="14">
        <v>58</v>
      </c>
      <c r="BE46" s="7">
        <f t="shared" si="21"/>
        <v>0.79452054794520544</v>
      </c>
      <c r="BF46" s="13">
        <v>81</v>
      </c>
      <c r="BG46" s="13">
        <v>62</v>
      </c>
      <c r="BH46" s="6">
        <f t="shared" si="22"/>
        <v>3</v>
      </c>
      <c r="BI46" s="15">
        <v>65</v>
      </c>
      <c r="BJ46" s="7">
        <f t="shared" si="23"/>
        <v>0.80246913580246915</v>
      </c>
    </row>
    <row r="47" spans="1:62" ht="15.6" x14ac:dyDescent="0.3">
      <c r="A47" s="27" t="s">
        <v>41</v>
      </c>
      <c r="B47" s="27"/>
      <c r="C47" s="10">
        <f>SUM(C9:C46)</f>
        <v>5758955</v>
      </c>
      <c r="D47" s="11">
        <f>SUM(D9:D46)</f>
        <v>1095718</v>
      </c>
      <c r="E47" s="8">
        <f>F47-D47</f>
        <v>2360253</v>
      </c>
      <c r="F47" s="10">
        <f>SUM(F9:F46)</f>
        <v>3455971</v>
      </c>
      <c r="G47" s="9">
        <f>F47/C47</f>
        <v>0.60010383828316072</v>
      </c>
      <c r="H47" s="10">
        <f>SUM(H9:H46)</f>
        <v>5564504</v>
      </c>
      <c r="I47" s="11">
        <f>SUM(I9:I46)</f>
        <v>1115232</v>
      </c>
      <c r="J47" s="8">
        <f>K47-I47</f>
        <v>2353691</v>
      </c>
      <c r="K47" s="10">
        <f>SUM(K9:K46)</f>
        <v>3468923</v>
      </c>
      <c r="L47" s="9">
        <f>K47/H47</f>
        <v>0.62340201390815786</v>
      </c>
      <c r="M47" s="10">
        <f>SUM(M9:M46)</f>
        <v>10358399</v>
      </c>
      <c r="N47" s="11">
        <f>SUM(N9:N46)</f>
        <v>3878941</v>
      </c>
      <c r="O47" s="8">
        <f>P47-N47</f>
        <v>4976502</v>
      </c>
      <c r="P47" s="10">
        <f>SUM(P9:P46)</f>
        <v>8855443</v>
      </c>
      <c r="Q47" s="9">
        <f>P47/M47</f>
        <v>0.85490460446638517</v>
      </c>
      <c r="R47" s="10">
        <f>SUM(R9:R46)</f>
        <v>5133194</v>
      </c>
      <c r="S47" s="11">
        <f>SUM(S9:S46)</f>
        <v>1029570</v>
      </c>
      <c r="T47" s="8">
        <f>U47-S47</f>
        <v>2484453</v>
      </c>
      <c r="U47" s="10">
        <f>SUM(U9:U46)</f>
        <v>3514023</v>
      </c>
      <c r="V47" s="9">
        <f>U47/R47</f>
        <v>0.68456851621037507</v>
      </c>
      <c r="W47" s="10">
        <f>SUM(W9:W46)</f>
        <v>4985666</v>
      </c>
      <c r="X47" s="11">
        <f>SUM(X9:X46)</f>
        <v>1088928</v>
      </c>
      <c r="Y47" s="8">
        <f>Z47-X47</f>
        <v>2446646</v>
      </c>
      <c r="Z47" s="10">
        <f>SUM(Z9:Z46)</f>
        <v>3535574</v>
      </c>
      <c r="AA47" s="9">
        <f>Z47/W47</f>
        <v>0.70914778486966434</v>
      </c>
      <c r="AB47" s="10">
        <f>SUM(AB9:AB46)</f>
        <v>10473814</v>
      </c>
      <c r="AC47" s="11">
        <f>SUM(AC9:AC46)</f>
        <v>3085003</v>
      </c>
      <c r="AD47" s="8">
        <f>AE47-AC47</f>
        <v>5974521</v>
      </c>
      <c r="AE47" s="10">
        <f>SUM(AE9:AE46)</f>
        <v>9059524</v>
      </c>
      <c r="AF47" s="9">
        <f>AE47/AB47</f>
        <v>0.86496895973138344</v>
      </c>
      <c r="AG47" s="10">
        <f>SUM(AG9:AG46)</f>
        <v>4845556</v>
      </c>
      <c r="AH47" s="11">
        <f>SUM(AH9:AH46)</f>
        <v>985747</v>
      </c>
      <c r="AI47" s="8">
        <f>AJ47-AH47</f>
        <v>2598320</v>
      </c>
      <c r="AJ47" s="10">
        <f>SUM(AJ9:AJ46)</f>
        <v>3584067</v>
      </c>
      <c r="AK47" s="9">
        <f>AJ47/AG47</f>
        <v>0.73966062924461096</v>
      </c>
      <c r="AL47" s="10">
        <f>SUM(AL9:AL46)</f>
        <v>4698995</v>
      </c>
      <c r="AM47" s="11">
        <f>SUM(AM9:AM46)</f>
        <v>1258082</v>
      </c>
      <c r="AN47" s="8">
        <f>AO47-AM47</f>
        <v>2369354</v>
      </c>
      <c r="AO47" s="10">
        <f>SUM(AO9:AO46)</f>
        <v>3627436</v>
      </c>
      <c r="AP47" s="9">
        <f>AO47/AL47</f>
        <v>0.77195996165137437</v>
      </c>
      <c r="AQ47" s="10">
        <f>SUM(AQ9:AQ46)</f>
        <v>10370746</v>
      </c>
      <c r="AR47" s="11">
        <f>SUM(AR9:AR46)</f>
        <v>6055882</v>
      </c>
      <c r="AS47" s="8">
        <f>AT47-AR47</f>
        <v>3171212</v>
      </c>
      <c r="AT47" s="10">
        <f>SUM(AT9:AT46)</f>
        <v>9227094</v>
      </c>
      <c r="AU47" s="9">
        <f>AT47/AQ47</f>
        <v>0.88972326580942196</v>
      </c>
      <c r="AV47" s="10">
        <f>SUM(AV9:AV46)</f>
        <v>4462518</v>
      </c>
      <c r="AW47" s="11">
        <f>SUM(AW9:AW46)</f>
        <v>1912337</v>
      </c>
      <c r="AX47" s="8">
        <f>AY47-AW47</f>
        <v>1737712</v>
      </c>
      <c r="AY47" s="10">
        <f>SUM(AY9:AY46)</f>
        <v>3650049</v>
      </c>
      <c r="AZ47" s="9">
        <f>AY47/AV47</f>
        <v>0.81793485202748761</v>
      </c>
      <c r="BA47" s="10">
        <f>SUM(BA9:BA46)</f>
        <v>4374040</v>
      </c>
      <c r="BB47" s="11">
        <f>SUM(BB9:BB46)</f>
        <v>2778626</v>
      </c>
      <c r="BC47" s="8">
        <f>BD47-BB47</f>
        <v>869304</v>
      </c>
      <c r="BD47" s="10">
        <f>SUM(BD9:BD46)</f>
        <v>3647930</v>
      </c>
      <c r="BE47" s="9">
        <f>BD47/BA47</f>
        <v>0.83399557388592693</v>
      </c>
      <c r="BF47" s="10">
        <f>SUM(BF9:BF46)</f>
        <v>10430804</v>
      </c>
      <c r="BG47" s="11">
        <f>SUM(BG9:BG46)</f>
        <v>6292394</v>
      </c>
      <c r="BH47" s="8">
        <f>BI47-BG47</f>
        <v>2887981</v>
      </c>
      <c r="BI47" s="10">
        <f>SUM(BI9:BI46)</f>
        <v>9180375</v>
      </c>
      <c r="BJ47" s="9">
        <f>BI47/BF47</f>
        <v>0.88012151316427767</v>
      </c>
    </row>
    <row r="55" spans="1:14" x14ac:dyDescent="0.3">
      <c r="J55" s="18"/>
    </row>
    <row r="57" spans="1:14" ht="15.6" x14ac:dyDescent="0.3">
      <c r="A57" s="3" t="s">
        <v>42</v>
      </c>
    </row>
    <row r="59" spans="1:14" x14ac:dyDescent="0.3">
      <c r="A59" s="26" t="s">
        <v>43</v>
      </c>
      <c r="B59" s="26"/>
      <c r="C59" s="26"/>
      <c r="D59" s="26"/>
      <c r="E59" s="26"/>
      <c r="F59" s="5"/>
    </row>
    <row r="60" spans="1:14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</sheetData>
  <mergeCells count="18">
    <mergeCell ref="A2:C2"/>
    <mergeCell ref="A59:E59"/>
    <mergeCell ref="M7:Q7"/>
    <mergeCell ref="R7:V7"/>
    <mergeCell ref="W7:AA7"/>
    <mergeCell ref="A47:B47"/>
    <mergeCell ref="A4:C4"/>
    <mergeCell ref="A7:A8"/>
    <mergeCell ref="B7:B8"/>
    <mergeCell ref="C7:G7"/>
    <mergeCell ref="H7:L7"/>
    <mergeCell ref="AB7:AF7"/>
    <mergeCell ref="AQ7:AU7"/>
    <mergeCell ref="AV7:AZ7"/>
    <mergeCell ref="BA7:BE7"/>
    <mergeCell ref="BF7:BJ7"/>
    <mergeCell ref="AG7:AK7"/>
    <mergeCell ref="AL7:AP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2026-09-09T11:41:05Z</dcterms:modified>
</cp:coreProperties>
</file>