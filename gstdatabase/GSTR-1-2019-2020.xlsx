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62F9C0CB-E0F0-46A4-ACE9-C31CF49FD46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7" i="2" l="1"/>
  <c r="AG47" i="2"/>
  <c r="AH47" i="2"/>
  <c r="BF47" i="2" l="1"/>
  <c r="BA47" i="2"/>
  <c r="AV47" i="2"/>
  <c r="AQ47" i="2"/>
  <c r="AL47" i="2"/>
  <c r="AB47" i="2"/>
  <c r="W47" i="2"/>
  <c r="R47" i="2"/>
  <c r="M47" i="2"/>
  <c r="H47" i="2"/>
  <c r="C47" i="2"/>
  <c r="AF47" i="2" l="1"/>
  <c r="BI47" i="2"/>
  <c r="BG47" i="2"/>
  <c r="BD47" i="2"/>
  <c r="BB47" i="2"/>
  <c r="AY47" i="2"/>
  <c r="AW47" i="2"/>
  <c r="AT47" i="2"/>
  <c r="AR47" i="2"/>
  <c r="AO47" i="2"/>
  <c r="AM47" i="2"/>
  <c r="AJ47" i="2"/>
  <c r="AC47" i="2"/>
  <c r="Z47" i="2"/>
  <c r="X47" i="2"/>
  <c r="U47" i="2"/>
  <c r="S47" i="2"/>
  <c r="P47" i="2"/>
  <c r="N47" i="2"/>
  <c r="K47" i="2"/>
  <c r="I47" i="2"/>
  <c r="F47" i="2"/>
  <c r="D47" i="2"/>
  <c r="AI47" i="2" l="1"/>
  <c r="AA47" i="2"/>
  <c r="AP47" i="2"/>
  <c r="AZ47" i="2"/>
  <c r="BJ47" i="2"/>
  <c r="BC47" i="2"/>
  <c r="E47" i="2"/>
  <c r="AS47" i="2"/>
  <c r="T47" i="2"/>
  <c r="AD47" i="2"/>
  <c r="J47" i="2"/>
  <c r="O47" i="2"/>
  <c r="BH47" i="2"/>
  <c r="BE47" i="2"/>
  <c r="AX47" i="2"/>
  <c r="AU47" i="2"/>
  <c r="AN47" i="2"/>
  <c r="AK47" i="2"/>
  <c r="Y47" i="2"/>
  <c r="V47" i="2"/>
  <c r="Q47" i="2"/>
  <c r="L47" i="2"/>
  <c r="G47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6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6" i="2"/>
  <c r="G9" i="2"/>
  <c r="L9" i="2"/>
  <c r="Q9" i="2"/>
  <c r="V9" i="2"/>
  <c r="AA9" i="2"/>
  <c r="AF9" i="2"/>
  <c r="AK9" i="2"/>
  <c r="AP9" i="2"/>
  <c r="AU9" i="2"/>
  <c r="AZ9" i="2"/>
  <c r="BE9" i="2"/>
  <c r="BJ9" i="2"/>
  <c r="BH9" i="2"/>
  <c r="BC9" i="2"/>
  <c r="AX9" i="2"/>
  <c r="AS9" i="2"/>
  <c r="AN9" i="2"/>
  <c r="AI9" i="2"/>
  <c r="AD9" i="2"/>
  <c r="Y9" i="2"/>
  <c r="T9" i="2"/>
  <c r="O9" i="2"/>
  <c r="J9" i="2"/>
  <c r="E9" i="2"/>
</calcChain>
</file>

<file path=xl/sharedStrings.xml><?xml version="1.0" encoding="utf-8"?>
<sst xmlns="http://schemas.openxmlformats.org/spreadsheetml/2006/main" count="150" uniqueCount="51">
  <si>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</si>
  <si>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</si>
  <si>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</si>
  <si>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</si>
  <si>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</si>
  <si>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</si>
  <si>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</si>
  <si>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</si>
  <si>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</si>
  <si>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</si>
  <si>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</si>
  <si>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</si>
  <si>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</si>
  <si>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</si>
  <si>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</si>
  <si>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</si>
  <si>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</si>
  <si>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</si>
  <si>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</si>
  <si>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</si>
  <si>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</si>
  <si>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</si>
  <si>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</si>
  <si>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</si>
  <si>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</si>
  <si>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</si>
  <si>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</si>
  <si>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</si>
  <si>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</si>
  <si>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</si>
  <si>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</si>
  <si>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</si>
  <si>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</si>
  <si>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</si>
  <si>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</si>
  <si>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</si>
  <si>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</si>
  <si>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</si>
  <si>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</si>
  <si>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</si>
  <si>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</si>
  <si>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</si>
  <si>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 xml:space="preserve">** Due  date for March 2020  extended upto 17th July 2020  due to COVID-19 pandemic. 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</si>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</sst>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name val="HelveticaNeue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165" fontId="3" fillId="2" borderId="1" xfId="2" applyNumberFormat="1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6" fillId="2" borderId="0" xfId="0" applyFont="1" applyFill="1" applyAlignment="1">
      <alignment horizontal="left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/>
    <xf numFmtId="10" fontId="6" fillId="2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3" fontId="7" fillId="0" borderId="1" xfId="2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0" borderId="0" xfId="0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2"/>
  <sheetViews>
    <sheetView tabSelected="1" zoomScale="52" zoomScaleNormal="52" workbookViewId="0">
      <selection activeCell="A50" sqref="A50"/>
    </sheetView>
  </sheetViews>
  <sheetFormatPr defaultColWidth="8.77734375" defaultRowHeight="14.4" x14ac:dyDescent="0.3"/>
  <cols>
    <col min="2" max="2" width="26.77734375" bestFit="1" customWidth="1"/>
    <col min="3" max="62" width="18.77734375" customWidth="1"/>
  </cols>
  <sheetData>
    <row r="1" spans="1:6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62" ht="15.6" x14ac:dyDescent="0.3">
      <c r="A2" s="23" t="s">
        <v>0</v>
      </c>
      <c r="B2" s="23"/>
      <c r="C2" s="23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28" t="s">
        <v>49</v>
      </c>
      <c r="B4" s="28"/>
      <c r="C4" s="28"/>
    </row>
    <row r="7" spans="1:62" s="19" customFormat="1" ht="15.6" x14ac:dyDescent="0.3">
      <c r="A7" s="29" t="s">
        <v>1</v>
      </c>
      <c r="B7" s="26" t="s">
        <v>2</v>
      </c>
      <c r="C7" s="30">
        <v>43556</v>
      </c>
      <c r="D7" s="31"/>
      <c r="E7" s="31"/>
      <c r="F7" s="31"/>
      <c r="G7" s="32"/>
      <c r="H7" s="25">
        <v>43586</v>
      </c>
      <c r="I7" s="26"/>
      <c r="J7" s="26"/>
      <c r="K7" s="26"/>
      <c r="L7" s="26"/>
      <c r="M7" s="25">
        <v>43617</v>
      </c>
      <c r="N7" s="26"/>
      <c r="O7" s="26"/>
      <c r="P7" s="26"/>
      <c r="Q7" s="26"/>
      <c r="R7" s="25">
        <v>43647</v>
      </c>
      <c r="S7" s="26"/>
      <c r="T7" s="26"/>
      <c r="U7" s="26"/>
      <c r="V7" s="26"/>
      <c r="W7" s="25">
        <v>43678</v>
      </c>
      <c r="X7" s="26"/>
      <c r="Y7" s="26"/>
      <c r="Z7" s="26"/>
      <c r="AA7" s="26"/>
      <c r="AB7" s="25">
        <v>43709</v>
      </c>
      <c r="AC7" s="26"/>
      <c r="AD7" s="26"/>
      <c r="AE7" s="26"/>
      <c r="AF7" s="26"/>
      <c r="AG7" s="25">
        <v>43739</v>
      </c>
      <c r="AH7" s="26"/>
      <c r="AI7" s="26"/>
      <c r="AJ7" s="26"/>
      <c r="AK7" s="26"/>
      <c r="AL7" s="25">
        <v>43770</v>
      </c>
      <c r="AM7" s="26"/>
      <c r="AN7" s="26"/>
      <c r="AO7" s="26"/>
      <c r="AP7" s="26"/>
      <c r="AQ7" s="25">
        <v>43800</v>
      </c>
      <c r="AR7" s="26"/>
      <c r="AS7" s="26"/>
      <c r="AT7" s="26"/>
      <c r="AU7" s="26"/>
      <c r="AV7" s="25">
        <v>43831</v>
      </c>
      <c r="AW7" s="26"/>
      <c r="AX7" s="26"/>
      <c r="AY7" s="26"/>
      <c r="AZ7" s="26"/>
      <c r="BA7" s="25">
        <v>43862</v>
      </c>
      <c r="BB7" s="26"/>
      <c r="BC7" s="26"/>
      <c r="BD7" s="26"/>
      <c r="BE7" s="26"/>
      <c r="BF7" s="25">
        <v>43891</v>
      </c>
      <c r="BG7" s="26"/>
      <c r="BH7" s="26"/>
      <c r="BI7" s="26"/>
      <c r="BJ7" s="26"/>
    </row>
    <row r="8" spans="1:62" s="19" customFormat="1" ht="46.8" x14ac:dyDescent="0.3">
      <c r="A8" s="29"/>
      <c r="B8" s="26"/>
      <c r="C8" s="22" t="s">
        <v>3</v>
      </c>
      <c r="D8" s="22" t="s">
        <v>4</v>
      </c>
      <c r="E8" s="22" t="s">
        <v>5</v>
      </c>
      <c r="F8" s="2" t="s">
        <v>6</v>
      </c>
      <c r="G8" s="22" t="s">
        <v>50</v>
      </c>
      <c r="H8" s="22" t="s">
        <v>3</v>
      </c>
      <c r="I8" s="22" t="s">
        <v>4</v>
      </c>
      <c r="J8" s="22" t="s">
        <v>5</v>
      </c>
      <c r="K8" s="2" t="s">
        <v>6</v>
      </c>
      <c r="L8" s="22" t="s">
        <v>50</v>
      </c>
      <c r="M8" s="22" t="s">
        <v>3</v>
      </c>
      <c r="N8" s="22" t="s">
        <v>4</v>
      </c>
      <c r="O8" s="22" t="s">
        <v>5</v>
      </c>
      <c r="P8" s="2" t="s">
        <v>6</v>
      </c>
      <c r="Q8" s="22" t="s">
        <v>50</v>
      </c>
      <c r="R8" s="22" t="s">
        <v>3</v>
      </c>
      <c r="S8" s="22" t="s">
        <v>4</v>
      </c>
      <c r="T8" s="22" t="s">
        <v>5</v>
      </c>
      <c r="U8" s="2" t="s">
        <v>6</v>
      </c>
      <c r="V8" s="22" t="s">
        <v>50</v>
      </c>
      <c r="W8" s="22" t="s">
        <v>3</v>
      </c>
      <c r="X8" s="22" t="s">
        <v>4</v>
      </c>
      <c r="Y8" s="22" t="s">
        <v>5</v>
      </c>
      <c r="Z8" s="2" t="s">
        <v>6</v>
      </c>
      <c r="AA8" s="22" t="s">
        <v>50</v>
      </c>
      <c r="AB8" s="22" t="s">
        <v>3</v>
      </c>
      <c r="AC8" s="22" t="s">
        <v>4</v>
      </c>
      <c r="AD8" s="22" t="s">
        <v>5</v>
      </c>
      <c r="AE8" s="2" t="s">
        <v>6</v>
      </c>
      <c r="AF8" s="22" t="s">
        <v>50</v>
      </c>
      <c r="AG8" s="22" t="s">
        <v>3</v>
      </c>
      <c r="AH8" s="22" t="s">
        <v>4</v>
      </c>
      <c r="AI8" s="22" t="s">
        <v>5</v>
      </c>
      <c r="AJ8" s="2" t="s">
        <v>6</v>
      </c>
      <c r="AK8" s="22" t="s">
        <v>50</v>
      </c>
      <c r="AL8" s="22" t="s">
        <v>3</v>
      </c>
      <c r="AM8" s="22" t="s">
        <v>4</v>
      </c>
      <c r="AN8" s="22" t="s">
        <v>5</v>
      </c>
      <c r="AO8" s="2" t="s">
        <v>6</v>
      </c>
      <c r="AP8" s="22" t="s">
        <v>50</v>
      </c>
      <c r="AQ8" s="22" t="s">
        <v>3</v>
      </c>
      <c r="AR8" s="22" t="s">
        <v>4</v>
      </c>
      <c r="AS8" s="22" t="s">
        <v>5</v>
      </c>
      <c r="AT8" s="2" t="s">
        <v>6</v>
      </c>
      <c r="AU8" s="22" t="s">
        <v>50</v>
      </c>
      <c r="AV8" s="22" t="s">
        <v>3</v>
      </c>
      <c r="AW8" s="22" t="s">
        <v>4</v>
      </c>
      <c r="AX8" s="22" t="s">
        <v>5</v>
      </c>
      <c r="AY8" s="2" t="s">
        <v>6</v>
      </c>
      <c r="AZ8" s="22" t="s">
        <v>50</v>
      </c>
      <c r="BA8" s="22" t="s">
        <v>3</v>
      </c>
      <c r="BB8" s="22" t="s">
        <v>4</v>
      </c>
      <c r="BC8" s="22" t="s">
        <v>5</v>
      </c>
      <c r="BD8" s="2" t="s">
        <v>6</v>
      </c>
      <c r="BE8" s="22" t="s">
        <v>50</v>
      </c>
      <c r="BF8" s="22" t="s">
        <v>3</v>
      </c>
      <c r="BG8" s="22" t="s">
        <v>4</v>
      </c>
      <c r="BH8" s="22" t="s">
        <v>5</v>
      </c>
      <c r="BI8" s="2" t="s">
        <v>6</v>
      </c>
      <c r="BJ8" s="22" t="s">
        <v>50</v>
      </c>
    </row>
    <row r="9" spans="1:62" x14ac:dyDescent="0.3">
      <c r="A9" s="20">
        <v>1</v>
      </c>
      <c r="B9" s="12" t="s">
        <v>7</v>
      </c>
      <c r="C9" s="13">
        <v>48072</v>
      </c>
      <c r="D9" s="13">
        <v>6997</v>
      </c>
      <c r="E9" s="6">
        <f>F9-D9</f>
        <v>20325</v>
      </c>
      <c r="F9" s="14">
        <v>27322</v>
      </c>
      <c r="G9" s="7">
        <f>F9/C9</f>
        <v>0.5683557996338825</v>
      </c>
      <c r="H9" s="13">
        <v>46923</v>
      </c>
      <c r="I9" s="13">
        <v>6739</v>
      </c>
      <c r="J9" s="6">
        <f>K9-I9</f>
        <v>20707</v>
      </c>
      <c r="K9" s="14">
        <v>27446</v>
      </c>
      <c r="L9" s="7">
        <f>K9/H9</f>
        <v>0.58491571297657863</v>
      </c>
      <c r="M9" s="13">
        <v>90874</v>
      </c>
      <c r="N9" s="13">
        <v>24941</v>
      </c>
      <c r="O9" s="6">
        <f>P9-N9</f>
        <v>48847</v>
      </c>
      <c r="P9" s="15">
        <v>73788</v>
      </c>
      <c r="Q9" s="7">
        <f>P9/M9</f>
        <v>0.81198142482998437</v>
      </c>
      <c r="R9" s="13">
        <v>43438</v>
      </c>
      <c r="S9" s="13">
        <v>3444</v>
      </c>
      <c r="T9" s="6">
        <f>U9-S9</f>
        <v>23937</v>
      </c>
      <c r="U9" s="14">
        <v>27381</v>
      </c>
      <c r="V9" s="7">
        <f>U9/R9</f>
        <v>0.63034670104516788</v>
      </c>
      <c r="W9" s="13">
        <v>43229</v>
      </c>
      <c r="X9" s="13">
        <v>3119</v>
      </c>
      <c r="Y9" s="6">
        <f>Z9-X9</f>
        <v>24264</v>
      </c>
      <c r="Z9" s="14">
        <v>27383</v>
      </c>
      <c r="AA9" s="7">
        <f>Z9/W9</f>
        <v>0.63344051446945338</v>
      </c>
      <c r="AB9" s="13">
        <v>92462</v>
      </c>
      <c r="AC9" s="13">
        <v>8312</v>
      </c>
      <c r="AD9" s="6">
        <f>AE9-AC9</f>
        <v>65089</v>
      </c>
      <c r="AE9" s="15">
        <v>73401</v>
      </c>
      <c r="AF9" s="7">
        <f>AE9/AB9</f>
        <v>0.79385044666998339</v>
      </c>
      <c r="AG9" s="13">
        <v>42646</v>
      </c>
      <c r="AH9" s="13">
        <v>3083</v>
      </c>
      <c r="AI9" s="6">
        <f>AJ9-AH9</f>
        <v>24432</v>
      </c>
      <c r="AJ9" s="14">
        <v>27515</v>
      </c>
      <c r="AK9" s="7">
        <f>AJ9/AG9</f>
        <v>0.64519532898747833</v>
      </c>
      <c r="AL9" s="13">
        <v>41914</v>
      </c>
      <c r="AM9" s="13">
        <v>4048</v>
      </c>
      <c r="AN9" s="6">
        <f>AO9-AM9</f>
        <v>23617</v>
      </c>
      <c r="AO9" s="14">
        <v>27665</v>
      </c>
      <c r="AP9" s="7">
        <f>AO9/AL9</f>
        <v>0.66004199074294989</v>
      </c>
      <c r="AQ9" s="13">
        <v>92194</v>
      </c>
      <c r="AR9" s="13">
        <v>24884</v>
      </c>
      <c r="AS9" s="6">
        <f>AT9-AR9</f>
        <v>48895</v>
      </c>
      <c r="AT9" s="15">
        <v>73779</v>
      </c>
      <c r="AU9" s="7">
        <f>AT9/AQ9</f>
        <v>0.80025815128967182</v>
      </c>
      <c r="AV9" s="13">
        <v>39353</v>
      </c>
      <c r="AW9" s="13">
        <v>7077</v>
      </c>
      <c r="AX9" s="6">
        <f>AY9-AW9</f>
        <v>20441</v>
      </c>
      <c r="AY9" s="14">
        <v>27518</v>
      </c>
      <c r="AZ9" s="7">
        <f>AY9/AV9</f>
        <v>0.69926053922191445</v>
      </c>
      <c r="BA9" s="13">
        <v>39314</v>
      </c>
      <c r="BB9" s="13">
        <v>13695</v>
      </c>
      <c r="BC9" s="6">
        <f>BD9-BB9</f>
        <v>13822</v>
      </c>
      <c r="BD9" s="14">
        <v>27517</v>
      </c>
      <c r="BE9" s="7">
        <f>BD9/BA9</f>
        <v>0.69992877855216973</v>
      </c>
      <c r="BF9" s="13">
        <v>85741</v>
      </c>
      <c r="BG9" s="13">
        <v>34032</v>
      </c>
      <c r="BH9" s="6">
        <f>BI9-BG9</f>
        <v>37507</v>
      </c>
      <c r="BI9" s="15">
        <v>71539</v>
      </c>
      <c r="BJ9" s="7">
        <f>BI9/BF9</f>
        <v>0.83436162396053226</v>
      </c>
    </row>
    <row r="10" spans="1:62" x14ac:dyDescent="0.3">
      <c r="A10" s="20">
        <v>2</v>
      </c>
      <c r="B10" s="12" t="s">
        <v>8</v>
      </c>
      <c r="C10" s="13">
        <v>37394</v>
      </c>
      <c r="D10" s="13">
        <v>7311</v>
      </c>
      <c r="E10" s="6">
        <f t="shared" ref="E10:E46" si="0">F10-D10</f>
        <v>10783</v>
      </c>
      <c r="F10" s="14">
        <v>18094</v>
      </c>
      <c r="G10" s="7">
        <f t="shared" ref="G10:G46" si="1">F10/C10</f>
        <v>0.48387441835588596</v>
      </c>
      <c r="H10" s="13">
        <v>35683</v>
      </c>
      <c r="I10" s="13">
        <v>7347</v>
      </c>
      <c r="J10" s="6">
        <f t="shared" ref="J10:J46" si="2">K10-I10</f>
        <v>10767</v>
      </c>
      <c r="K10" s="14">
        <v>18114</v>
      </c>
      <c r="L10" s="7">
        <f t="shared" ref="L10:L46" si="3">K10/H10</f>
        <v>0.50763668974021248</v>
      </c>
      <c r="M10" s="13">
        <v>88064</v>
      </c>
      <c r="N10" s="13">
        <v>43206</v>
      </c>
      <c r="O10" s="6">
        <f t="shared" ref="O10:O46" si="4">P10-N10</f>
        <v>32944</v>
      </c>
      <c r="P10" s="15">
        <v>76150</v>
      </c>
      <c r="Q10" s="7">
        <f t="shared" ref="Q10:Q46" si="5">P10/M10</f>
        <v>0.86471202761627908</v>
      </c>
      <c r="R10" s="13">
        <v>32605</v>
      </c>
      <c r="S10" s="13">
        <v>7038</v>
      </c>
      <c r="T10" s="6">
        <f t="shared" ref="T10:T46" si="6">U10-S10</f>
        <v>11354</v>
      </c>
      <c r="U10" s="14">
        <v>18392</v>
      </c>
      <c r="V10" s="7">
        <f t="shared" ref="V10:V46" si="7">U10/R10</f>
        <v>0.56408526299647288</v>
      </c>
      <c r="W10" s="13">
        <v>31156</v>
      </c>
      <c r="X10" s="13">
        <v>7697</v>
      </c>
      <c r="Y10" s="6">
        <f t="shared" ref="Y10:Y46" si="8">Z10-X10</f>
        <v>10802</v>
      </c>
      <c r="Z10" s="14">
        <v>18499</v>
      </c>
      <c r="AA10" s="7">
        <f t="shared" ref="AA10:AA46" si="9">Z10/W10</f>
        <v>0.59375401206830147</v>
      </c>
      <c r="AB10" s="13">
        <v>89912</v>
      </c>
      <c r="AC10" s="13">
        <v>35435</v>
      </c>
      <c r="AD10" s="6">
        <f t="shared" ref="AD10:AD46" si="10">AE10-AC10</f>
        <v>42744</v>
      </c>
      <c r="AE10" s="15">
        <v>78179</v>
      </c>
      <c r="AF10" s="7">
        <f t="shared" ref="AF10:AF46" si="11">AE10/AB10</f>
        <v>0.86950573894474592</v>
      </c>
      <c r="AG10" s="13">
        <v>29485</v>
      </c>
      <c r="AH10" s="13">
        <v>6730</v>
      </c>
      <c r="AI10" s="6">
        <f t="shared" ref="AI10:AI46" si="12">AJ10-AH10</f>
        <v>12034</v>
      </c>
      <c r="AJ10" s="14">
        <v>18764</v>
      </c>
      <c r="AK10" s="7">
        <f t="shared" ref="AK10:AK46" si="13">AJ10/AG10</f>
        <v>0.63639138545022889</v>
      </c>
      <c r="AL10" s="13">
        <v>28002</v>
      </c>
      <c r="AM10" s="13">
        <v>7979</v>
      </c>
      <c r="AN10" s="6">
        <f t="shared" ref="AN10:AN46" si="14">AO10-AM10</f>
        <v>11018</v>
      </c>
      <c r="AO10" s="14">
        <v>18997</v>
      </c>
      <c r="AP10" s="7">
        <f t="shared" ref="AP10:AP46" si="15">AO10/AL10</f>
        <v>0.67841582744089712</v>
      </c>
      <c r="AQ10" s="13">
        <v>88745</v>
      </c>
      <c r="AR10" s="13">
        <v>57329</v>
      </c>
      <c r="AS10" s="6">
        <f t="shared" ref="AS10:AS46" si="16">AT10-AR10</f>
        <v>21639</v>
      </c>
      <c r="AT10" s="15">
        <v>78968</v>
      </c>
      <c r="AU10" s="7">
        <f t="shared" ref="AU10:AU46" si="17">AT10/AQ10</f>
        <v>0.88983041298101306</v>
      </c>
      <c r="AV10" s="13">
        <v>24254</v>
      </c>
      <c r="AW10" s="13">
        <v>10351</v>
      </c>
      <c r="AX10" s="6">
        <f t="shared" ref="AX10:AX46" si="18">AY10-AW10</f>
        <v>8724</v>
      </c>
      <c r="AY10" s="14">
        <v>19075</v>
      </c>
      <c r="AZ10" s="7">
        <f t="shared" ref="AZ10:AZ46" si="19">AY10/AV10</f>
        <v>0.78646821142904266</v>
      </c>
      <c r="BA10" s="13">
        <v>23136</v>
      </c>
      <c r="BB10" s="13">
        <v>14858</v>
      </c>
      <c r="BC10" s="6">
        <f t="shared" ref="BC10:BC46" si="20">BD10-BB10</f>
        <v>4134</v>
      </c>
      <c r="BD10" s="14">
        <v>18992</v>
      </c>
      <c r="BE10" s="7">
        <f t="shared" ref="BE10:BE46" si="21">BD10/BA10</f>
        <v>0.82088520055325032</v>
      </c>
      <c r="BF10" s="13">
        <v>86286</v>
      </c>
      <c r="BG10" s="13">
        <v>57101</v>
      </c>
      <c r="BH10" s="6">
        <f t="shared" ref="BH10:BH46" si="22">BI10-BG10</f>
        <v>21750</v>
      </c>
      <c r="BI10" s="15">
        <v>78851</v>
      </c>
      <c r="BJ10" s="7">
        <f t="shared" ref="BJ10:BJ46" si="23">BI10/BF10</f>
        <v>0.91383306677792453</v>
      </c>
    </row>
    <row r="11" spans="1:62" x14ac:dyDescent="0.3">
      <c r="A11" s="20">
        <v>3</v>
      </c>
      <c r="B11" s="12" t="s">
        <v>9</v>
      </c>
      <c r="C11" s="13">
        <v>123462</v>
      </c>
      <c r="D11" s="13">
        <v>46610</v>
      </c>
      <c r="E11" s="6">
        <f t="shared" si="0"/>
        <v>33672</v>
      </c>
      <c r="F11" s="14">
        <v>80282</v>
      </c>
      <c r="G11" s="7">
        <f t="shared" si="1"/>
        <v>0.65025675916476322</v>
      </c>
      <c r="H11" s="13">
        <v>119967</v>
      </c>
      <c r="I11" s="13">
        <v>48125</v>
      </c>
      <c r="J11" s="6">
        <f t="shared" si="2"/>
        <v>32235</v>
      </c>
      <c r="K11" s="14">
        <v>80360</v>
      </c>
      <c r="L11" s="7">
        <f t="shared" si="3"/>
        <v>0.66985087565747248</v>
      </c>
      <c r="M11" s="13">
        <v>308875</v>
      </c>
      <c r="N11" s="13">
        <v>180468</v>
      </c>
      <c r="O11" s="6">
        <f t="shared" si="4"/>
        <v>98779</v>
      </c>
      <c r="P11" s="15">
        <v>279247</v>
      </c>
      <c r="Q11" s="7">
        <f t="shared" si="5"/>
        <v>0.9040777013354917</v>
      </c>
      <c r="R11" s="13">
        <v>109710</v>
      </c>
      <c r="S11" s="13">
        <v>42897</v>
      </c>
      <c r="T11" s="6">
        <f t="shared" si="6"/>
        <v>37776</v>
      </c>
      <c r="U11" s="14">
        <v>80673</v>
      </c>
      <c r="V11" s="7">
        <f t="shared" si="7"/>
        <v>0.73532950505879136</v>
      </c>
      <c r="W11" s="13">
        <v>106470</v>
      </c>
      <c r="X11" s="13">
        <v>45559</v>
      </c>
      <c r="Y11" s="6">
        <f t="shared" si="8"/>
        <v>35323</v>
      </c>
      <c r="Z11" s="14">
        <v>80882</v>
      </c>
      <c r="AA11" s="7">
        <f t="shared" si="9"/>
        <v>0.75966939043862125</v>
      </c>
      <c r="AB11" s="13">
        <v>311089</v>
      </c>
      <c r="AC11" s="13">
        <v>137144</v>
      </c>
      <c r="AD11" s="6">
        <f t="shared" si="10"/>
        <v>145906</v>
      </c>
      <c r="AE11" s="15">
        <v>283050</v>
      </c>
      <c r="AF11" s="7">
        <f t="shared" si="11"/>
        <v>0.90986823706399134</v>
      </c>
      <c r="AG11" s="13">
        <v>101504</v>
      </c>
      <c r="AH11" s="13">
        <v>39383</v>
      </c>
      <c r="AI11" s="6">
        <f t="shared" si="12"/>
        <v>41899</v>
      </c>
      <c r="AJ11" s="14">
        <v>81282</v>
      </c>
      <c r="AK11" s="7">
        <f t="shared" si="13"/>
        <v>0.80077632408575028</v>
      </c>
      <c r="AL11" s="13">
        <v>97659</v>
      </c>
      <c r="AM11" s="13">
        <v>46541</v>
      </c>
      <c r="AN11" s="6">
        <f t="shared" si="14"/>
        <v>35080</v>
      </c>
      <c r="AO11" s="14">
        <v>81621</v>
      </c>
      <c r="AP11" s="7">
        <f t="shared" si="15"/>
        <v>0.8357755045617915</v>
      </c>
      <c r="AQ11" s="13">
        <v>308579</v>
      </c>
      <c r="AR11" s="13">
        <v>225736</v>
      </c>
      <c r="AS11" s="6">
        <f t="shared" si="16"/>
        <v>60441</v>
      </c>
      <c r="AT11" s="15">
        <v>286177</v>
      </c>
      <c r="AU11" s="7">
        <f t="shared" si="17"/>
        <v>0.92740270724838691</v>
      </c>
      <c r="AV11" s="13">
        <v>95635</v>
      </c>
      <c r="AW11" s="13">
        <v>59206</v>
      </c>
      <c r="AX11" s="6">
        <f t="shared" si="18"/>
        <v>22639</v>
      </c>
      <c r="AY11" s="14">
        <v>81845</v>
      </c>
      <c r="AZ11" s="7">
        <f t="shared" si="19"/>
        <v>0.85580592879176032</v>
      </c>
      <c r="BA11" s="13">
        <v>94540</v>
      </c>
      <c r="BB11" s="13">
        <v>71371</v>
      </c>
      <c r="BC11" s="6">
        <f t="shared" si="20"/>
        <v>10545</v>
      </c>
      <c r="BD11" s="14">
        <v>81916</v>
      </c>
      <c r="BE11" s="7">
        <f t="shared" si="21"/>
        <v>0.866469219378041</v>
      </c>
      <c r="BF11" s="13">
        <v>312194</v>
      </c>
      <c r="BG11" s="13">
        <v>234063</v>
      </c>
      <c r="BH11" s="6">
        <f t="shared" si="22"/>
        <v>52703</v>
      </c>
      <c r="BI11" s="15">
        <v>286766</v>
      </c>
      <c r="BJ11" s="7">
        <f t="shared" si="23"/>
        <v>0.91855064479137971</v>
      </c>
    </row>
    <row r="12" spans="1:62" x14ac:dyDescent="0.3">
      <c r="A12" s="20">
        <v>4</v>
      </c>
      <c r="B12" s="12" t="s">
        <v>10</v>
      </c>
      <c r="C12" s="13">
        <v>12580</v>
      </c>
      <c r="D12" s="13">
        <v>4954</v>
      </c>
      <c r="E12" s="6">
        <f t="shared" si="0"/>
        <v>3832</v>
      </c>
      <c r="F12" s="14">
        <v>8786</v>
      </c>
      <c r="G12" s="7">
        <f t="shared" si="1"/>
        <v>0.69841017488076307</v>
      </c>
      <c r="H12" s="13">
        <v>11968</v>
      </c>
      <c r="I12" s="13">
        <v>5088</v>
      </c>
      <c r="J12" s="6">
        <f t="shared" si="2"/>
        <v>3657</v>
      </c>
      <c r="K12" s="14">
        <v>8745</v>
      </c>
      <c r="L12" s="7">
        <f t="shared" si="3"/>
        <v>0.73069852941176472</v>
      </c>
      <c r="M12" s="13">
        <v>27619</v>
      </c>
      <c r="N12" s="13">
        <v>16123</v>
      </c>
      <c r="O12" s="6">
        <f t="shared" si="4"/>
        <v>9499</v>
      </c>
      <c r="P12" s="15">
        <v>25622</v>
      </c>
      <c r="Q12" s="7">
        <f t="shared" si="5"/>
        <v>0.92769470292190159</v>
      </c>
      <c r="R12" s="13">
        <v>10876</v>
      </c>
      <c r="S12" s="13">
        <v>4824</v>
      </c>
      <c r="T12" s="6">
        <f t="shared" si="6"/>
        <v>3983</v>
      </c>
      <c r="U12" s="14">
        <v>8807</v>
      </c>
      <c r="V12" s="7">
        <f t="shared" si="7"/>
        <v>0.8097646193453476</v>
      </c>
      <c r="W12" s="13">
        <v>10567</v>
      </c>
      <c r="X12" s="13">
        <v>5105</v>
      </c>
      <c r="Y12" s="6">
        <f t="shared" si="8"/>
        <v>3720</v>
      </c>
      <c r="Z12" s="14">
        <v>8825</v>
      </c>
      <c r="AA12" s="7">
        <f t="shared" si="9"/>
        <v>0.83514715624112801</v>
      </c>
      <c r="AB12" s="13">
        <v>27465</v>
      </c>
      <c r="AC12" s="13">
        <v>13512</v>
      </c>
      <c r="AD12" s="6">
        <f t="shared" si="10"/>
        <v>12177</v>
      </c>
      <c r="AE12" s="15">
        <v>25689</v>
      </c>
      <c r="AF12" s="7">
        <f t="shared" si="11"/>
        <v>0.93533588203167672</v>
      </c>
      <c r="AG12" s="13">
        <v>10185</v>
      </c>
      <c r="AH12" s="13">
        <v>4702</v>
      </c>
      <c r="AI12" s="6">
        <f t="shared" si="12"/>
        <v>4205</v>
      </c>
      <c r="AJ12" s="14">
        <v>8907</v>
      </c>
      <c r="AK12" s="7">
        <f t="shared" si="13"/>
        <v>0.87452135493372607</v>
      </c>
      <c r="AL12" s="13">
        <v>9714</v>
      </c>
      <c r="AM12" s="13">
        <v>5327</v>
      </c>
      <c r="AN12" s="6">
        <f t="shared" si="14"/>
        <v>3598</v>
      </c>
      <c r="AO12" s="14">
        <v>8925</v>
      </c>
      <c r="AP12" s="7">
        <f t="shared" si="15"/>
        <v>0.91877702285361329</v>
      </c>
      <c r="AQ12" s="13">
        <v>27106</v>
      </c>
      <c r="AR12" s="13">
        <v>20035</v>
      </c>
      <c r="AS12" s="6">
        <f t="shared" si="16"/>
        <v>5814</v>
      </c>
      <c r="AT12" s="15">
        <v>25849</v>
      </c>
      <c r="AU12" s="7">
        <f t="shared" si="17"/>
        <v>0.95362650335719024</v>
      </c>
      <c r="AV12" s="13">
        <v>9816</v>
      </c>
      <c r="AW12" s="13">
        <v>6506</v>
      </c>
      <c r="AX12" s="6">
        <f t="shared" si="18"/>
        <v>2449</v>
      </c>
      <c r="AY12" s="14">
        <v>8955</v>
      </c>
      <c r="AZ12" s="7">
        <f t="shared" si="19"/>
        <v>0.91228606356968212</v>
      </c>
      <c r="BA12" s="13">
        <v>9666</v>
      </c>
      <c r="BB12" s="13">
        <v>7826</v>
      </c>
      <c r="BC12" s="6">
        <f t="shared" si="20"/>
        <v>1122</v>
      </c>
      <c r="BD12" s="14">
        <v>8948</v>
      </c>
      <c r="BE12" s="7">
        <f t="shared" si="21"/>
        <v>0.92571901510448995</v>
      </c>
      <c r="BF12" s="13">
        <v>27176</v>
      </c>
      <c r="BG12" s="13">
        <v>20426</v>
      </c>
      <c r="BH12" s="6">
        <f t="shared" si="22"/>
        <v>5229</v>
      </c>
      <c r="BI12" s="15">
        <v>25655</v>
      </c>
      <c r="BJ12" s="7">
        <f t="shared" si="23"/>
        <v>0.94403149838092437</v>
      </c>
    </row>
    <row r="13" spans="1:62" x14ac:dyDescent="0.3">
      <c r="A13" s="20">
        <v>5</v>
      </c>
      <c r="B13" s="12" t="s">
        <v>11</v>
      </c>
      <c r="C13" s="13">
        <v>63886</v>
      </c>
      <c r="D13" s="13">
        <v>9076</v>
      </c>
      <c r="E13" s="6">
        <f t="shared" si="0"/>
        <v>21647</v>
      </c>
      <c r="F13" s="14">
        <v>30723</v>
      </c>
      <c r="G13" s="7">
        <f t="shared" si="1"/>
        <v>0.4809034843314654</v>
      </c>
      <c r="H13" s="13">
        <v>59731</v>
      </c>
      <c r="I13" s="13">
        <v>8983</v>
      </c>
      <c r="J13" s="6">
        <f t="shared" si="2"/>
        <v>21938</v>
      </c>
      <c r="K13" s="14">
        <v>30921</v>
      </c>
      <c r="L13" s="7">
        <f t="shared" si="3"/>
        <v>0.51767089116204312</v>
      </c>
      <c r="M13" s="13">
        <v>129422</v>
      </c>
      <c r="N13" s="13">
        <v>41948</v>
      </c>
      <c r="O13" s="6">
        <f t="shared" si="4"/>
        <v>68067</v>
      </c>
      <c r="P13" s="15">
        <v>110015</v>
      </c>
      <c r="Q13" s="7">
        <f t="shared" si="5"/>
        <v>0.85004867796819705</v>
      </c>
      <c r="R13" s="13">
        <v>54062</v>
      </c>
      <c r="S13" s="13">
        <v>8722</v>
      </c>
      <c r="T13" s="6">
        <f t="shared" si="6"/>
        <v>22607</v>
      </c>
      <c r="U13" s="14">
        <v>31329</v>
      </c>
      <c r="V13" s="7">
        <f t="shared" si="7"/>
        <v>0.57950131330694388</v>
      </c>
      <c r="W13" s="13">
        <v>51426</v>
      </c>
      <c r="X13" s="13">
        <v>9149</v>
      </c>
      <c r="Y13" s="6">
        <f t="shared" si="8"/>
        <v>22434</v>
      </c>
      <c r="Z13" s="14">
        <v>31583</v>
      </c>
      <c r="AA13" s="7">
        <f t="shared" si="9"/>
        <v>0.61414459611869487</v>
      </c>
      <c r="AB13" s="13">
        <v>131532</v>
      </c>
      <c r="AC13" s="13">
        <v>36806</v>
      </c>
      <c r="AD13" s="6">
        <f t="shared" si="10"/>
        <v>76391</v>
      </c>
      <c r="AE13" s="15">
        <v>113197</v>
      </c>
      <c r="AF13" s="7">
        <f t="shared" si="11"/>
        <v>0.86060426360125297</v>
      </c>
      <c r="AG13" s="13">
        <v>48183</v>
      </c>
      <c r="AH13" s="13">
        <v>8536</v>
      </c>
      <c r="AI13" s="6">
        <f t="shared" si="12"/>
        <v>23602</v>
      </c>
      <c r="AJ13" s="14">
        <v>32138</v>
      </c>
      <c r="AK13" s="7">
        <f t="shared" si="13"/>
        <v>0.66699873399331711</v>
      </c>
      <c r="AL13" s="13">
        <v>44607</v>
      </c>
      <c r="AM13" s="13">
        <v>10679</v>
      </c>
      <c r="AN13" s="6">
        <f t="shared" si="14"/>
        <v>21900</v>
      </c>
      <c r="AO13" s="14">
        <v>32579</v>
      </c>
      <c r="AP13" s="7">
        <f t="shared" si="15"/>
        <v>0.73035622211760487</v>
      </c>
      <c r="AQ13" s="13">
        <v>128458</v>
      </c>
      <c r="AR13" s="13">
        <v>72827</v>
      </c>
      <c r="AS13" s="6">
        <f t="shared" si="16"/>
        <v>42764</v>
      </c>
      <c r="AT13" s="15">
        <v>115591</v>
      </c>
      <c r="AU13" s="7">
        <f t="shared" si="17"/>
        <v>0.8998349655140202</v>
      </c>
      <c r="AV13" s="13">
        <v>43497</v>
      </c>
      <c r="AW13" s="13">
        <v>16192</v>
      </c>
      <c r="AX13" s="6">
        <f t="shared" si="18"/>
        <v>16344</v>
      </c>
      <c r="AY13" s="14">
        <v>32536</v>
      </c>
      <c r="AZ13" s="7">
        <f t="shared" si="19"/>
        <v>0.74800560958227003</v>
      </c>
      <c r="BA13" s="13">
        <v>42767</v>
      </c>
      <c r="BB13" s="13">
        <v>23867</v>
      </c>
      <c r="BC13" s="6">
        <f t="shared" si="20"/>
        <v>8686</v>
      </c>
      <c r="BD13" s="14">
        <v>32553</v>
      </c>
      <c r="BE13" s="7">
        <f t="shared" si="21"/>
        <v>0.76117099632894525</v>
      </c>
      <c r="BF13" s="13">
        <v>131773</v>
      </c>
      <c r="BG13" s="13">
        <v>76153</v>
      </c>
      <c r="BH13" s="6">
        <f t="shared" si="22"/>
        <v>38715</v>
      </c>
      <c r="BI13" s="15">
        <v>114868</v>
      </c>
      <c r="BJ13" s="7">
        <f t="shared" si="23"/>
        <v>0.87171120032176541</v>
      </c>
    </row>
    <row r="14" spans="1:62" x14ac:dyDescent="0.3">
      <c r="A14" s="20">
        <v>6</v>
      </c>
      <c r="B14" s="12" t="s">
        <v>12</v>
      </c>
      <c r="C14" s="13">
        <v>201278</v>
      </c>
      <c r="D14" s="13">
        <v>54761</v>
      </c>
      <c r="E14" s="6">
        <f t="shared" si="0"/>
        <v>63920</v>
      </c>
      <c r="F14" s="14">
        <v>118681</v>
      </c>
      <c r="G14" s="7">
        <f t="shared" si="1"/>
        <v>0.58963721817585624</v>
      </c>
      <c r="H14" s="13">
        <v>192033</v>
      </c>
      <c r="I14" s="13">
        <v>57044</v>
      </c>
      <c r="J14" s="6">
        <f t="shared" si="2"/>
        <v>61981</v>
      </c>
      <c r="K14" s="14">
        <v>119025</v>
      </c>
      <c r="L14" s="7">
        <f t="shared" si="3"/>
        <v>0.61981534423770912</v>
      </c>
      <c r="M14" s="13">
        <v>423764</v>
      </c>
      <c r="N14" s="13">
        <v>203791</v>
      </c>
      <c r="O14" s="6">
        <f t="shared" si="4"/>
        <v>167145</v>
      </c>
      <c r="P14" s="15">
        <v>370936</v>
      </c>
      <c r="Q14" s="7">
        <f t="shared" si="5"/>
        <v>0.87533627207596676</v>
      </c>
      <c r="R14" s="13">
        <v>173026</v>
      </c>
      <c r="S14" s="13">
        <v>53550</v>
      </c>
      <c r="T14" s="6">
        <f t="shared" si="6"/>
        <v>66505</v>
      </c>
      <c r="U14" s="14">
        <v>120055</v>
      </c>
      <c r="V14" s="7">
        <f t="shared" si="7"/>
        <v>0.6938552587472403</v>
      </c>
      <c r="W14" s="13">
        <v>166832</v>
      </c>
      <c r="X14" s="13">
        <v>57350</v>
      </c>
      <c r="Y14" s="6">
        <f t="shared" si="8"/>
        <v>63304</v>
      </c>
      <c r="Z14" s="14">
        <v>120654</v>
      </c>
      <c r="AA14" s="7">
        <f t="shared" si="9"/>
        <v>0.72320657907355901</v>
      </c>
      <c r="AB14" s="13">
        <v>423483</v>
      </c>
      <c r="AC14" s="13">
        <v>162525</v>
      </c>
      <c r="AD14" s="6">
        <f t="shared" si="10"/>
        <v>215078</v>
      </c>
      <c r="AE14" s="15">
        <v>377603</v>
      </c>
      <c r="AF14" s="7">
        <f t="shared" si="11"/>
        <v>0.89166035000224331</v>
      </c>
      <c r="AG14" s="13">
        <v>160277</v>
      </c>
      <c r="AH14" s="13">
        <v>49199</v>
      </c>
      <c r="AI14" s="6">
        <f t="shared" si="12"/>
        <v>72583</v>
      </c>
      <c r="AJ14" s="14">
        <v>121782</v>
      </c>
      <c r="AK14" s="7">
        <f t="shared" si="13"/>
        <v>0.75982205806198022</v>
      </c>
      <c r="AL14" s="13">
        <v>154903</v>
      </c>
      <c r="AM14" s="13">
        <v>58722</v>
      </c>
      <c r="AN14" s="6">
        <f t="shared" si="14"/>
        <v>64411</v>
      </c>
      <c r="AO14" s="14">
        <v>123133</v>
      </c>
      <c r="AP14" s="7">
        <f t="shared" si="15"/>
        <v>0.79490390760669583</v>
      </c>
      <c r="AQ14" s="13">
        <v>424443</v>
      </c>
      <c r="AR14" s="13">
        <v>279971</v>
      </c>
      <c r="AS14" s="6">
        <f t="shared" si="16"/>
        <v>103992</v>
      </c>
      <c r="AT14" s="15">
        <v>383963</v>
      </c>
      <c r="AU14" s="7">
        <f t="shared" si="17"/>
        <v>0.90462794768673294</v>
      </c>
      <c r="AV14" s="13">
        <v>153606</v>
      </c>
      <c r="AW14" s="13">
        <v>79984</v>
      </c>
      <c r="AX14" s="6">
        <f t="shared" si="18"/>
        <v>43831</v>
      </c>
      <c r="AY14" s="14">
        <v>123815</v>
      </c>
      <c r="AZ14" s="7">
        <f t="shared" si="19"/>
        <v>0.8060557530304806</v>
      </c>
      <c r="BA14" s="13">
        <v>146565</v>
      </c>
      <c r="BB14" s="13">
        <v>102643</v>
      </c>
      <c r="BC14" s="6">
        <f t="shared" si="20"/>
        <v>21105</v>
      </c>
      <c r="BD14" s="14">
        <v>123748</v>
      </c>
      <c r="BE14" s="7">
        <f t="shared" si="21"/>
        <v>0.84432163204039168</v>
      </c>
      <c r="BF14" s="13">
        <v>423351</v>
      </c>
      <c r="BG14" s="13">
        <v>295079</v>
      </c>
      <c r="BH14" s="6">
        <f t="shared" si="22"/>
        <v>88260</v>
      </c>
      <c r="BI14" s="15">
        <v>383339</v>
      </c>
      <c r="BJ14" s="7">
        <f t="shared" si="23"/>
        <v>0.90548740879317635</v>
      </c>
    </row>
    <row r="15" spans="1:62" x14ac:dyDescent="0.3">
      <c r="A15" s="20">
        <v>7</v>
      </c>
      <c r="B15" s="12" t="s">
        <v>13</v>
      </c>
      <c r="C15" s="13">
        <v>364482</v>
      </c>
      <c r="D15" s="13">
        <v>70987</v>
      </c>
      <c r="E15" s="6">
        <f t="shared" si="0"/>
        <v>98666</v>
      </c>
      <c r="F15" s="14">
        <v>169653</v>
      </c>
      <c r="G15" s="7">
        <f t="shared" si="1"/>
        <v>0.46546331506082606</v>
      </c>
      <c r="H15" s="13">
        <v>355644</v>
      </c>
      <c r="I15" s="13">
        <v>72573</v>
      </c>
      <c r="J15" s="6">
        <f t="shared" si="2"/>
        <v>98125</v>
      </c>
      <c r="K15" s="14">
        <v>170698</v>
      </c>
      <c r="L15" s="7">
        <f t="shared" si="3"/>
        <v>0.47996873277772156</v>
      </c>
      <c r="M15" s="13">
        <v>759157</v>
      </c>
      <c r="N15" s="13">
        <v>337223</v>
      </c>
      <c r="O15" s="6">
        <f t="shared" si="4"/>
        <v>279884</v>
      </c>
      <c r="P15" s="15">
        <v>617107</v>
      </c>
      <c r="Q15" s="7">
        <f t="shared" si="5"/>
        <v>0.81288455484175215</v>
      </c>
      <c r="R15" s="13">
        <v>323034</v>
      </c>
      <c r="S15" s="13">
        <v>70025</v>
      </c>
      <c r="T15" s="6">
        <f t="shared" si="6"/>
        <v>103183</v>
      </c>
      <c r="U15" s="14">
        <v>173208</v>
      </c>
      <c r="V15" s="7">
        <f t="shared" si="7"/>
        <v>0.53619123683575098</v>
      </c>
      <c r="W15" s="13">
        <v>309950</v>
      </c>
      <c r="X15" s="13">
        <v>74722</v>
      </c>
      <c r="Y15" s="6">
        <f t="shared" si="8"/>
        <v>99469</v>
      </c>
      <c r="Z15" s="14">
        <v>174191</v>
      </c>
      <c r="AA15" s="7">
        <f t="shared" si="9"/>
        <v>0.56199709630585581</v>
      </c>
      <c r="AB15" s="13">
        <v>766277</v>
      </c>
      <c r="AC15" s="13">
        <v>266498</v>
      </c>
      <c r="AD15" s="6">
        <f t="shared" si="10"/>
        <v>363278</v>
      </c>
      <c r="AE15" s="15">
        <v>629776</v>
      </c>
      <c r="AF15" s="7">
        <f t="shared" si="11"/>
        <v>0.82186467817773468</v>
      </c>
      <c r="AG15" s="13">
        <v>285320</v>
      </c>
      <c r="AH15" s="13">
        <v>65780</v>
      </c>
      <c r="AI15" s="6">
        <f t="shared" si="12"/>
        <v>111037</v>
      </c>
      <c r="AJ15" s="14">
        <v>176817</v>
      </c>
      <c r="AK15" s="7">
        <f t="shared" si="13"/>
        <v>0.61971470629468661</v>
      </c>
      <c r="AL15" s="13">
        <v>274081</v>
      </c>
      <c r="AM15" s="13">
        <v>80807</v>
      </c>
      <c r="AN15" s="6">
        <f t="shared" si="14"/>
        <v>98372</v>
      </c>
      <c r="AO15" s="14">
        <v>179179</v>
      </c>
      <c r="AP15" s="7">
        <f t="shared" si="15"/>
        <v>0.65374469591106277</v>
      </c>
      <c r="AQ15" s="13">
        <v>746559</v>
      </c>
      <c r="AR15" s="13">
        <v>460035</v>
      </c>
      <c r="AS15" s="6">
        <f t="shared" si="16"/>
        <v>180118</v>
      </c>
      <c r="AT15" s="15">
        <v>640153</v>
      </c>
      <c r="AU15" s="7">
        <f t="shared" si="17"/>
        <v>0.85747141217238021</v>
      </c>
      <c r="AV15" s="13">
        <v>253369</v>
      </c>
      <c r="AW15" s="13">
        <v>104289</v>
      </c>
      <c r="AX15" s="6">
        <f t="shared" si="18"/>
        <v>76298</v>
      </c>
      <c r="AY15" s="14">
        <v>180587</v>
      </c>
      <c r="AZ15" s="7">
        <f t="shared" si="19"/>
        <v>0.71274307433032458</v>
      </c>
      <c r="BA15" s="13">
        <v>251087</v>
      </c>
      <c r="BB15" s="13">
        <v>140232</v>
      </c>
      <c r="BC15" s="6">
        <f t="shared" si="20"/>
        <v>41080</v>
      </c>
      <c r="BD15" s="14">
        <v>181312</v>
      </c>
      <c r="BE15" s="7">
        <f t="shared" si="21"/>
        <v>0.72210827322800464</v>
      </c>
      <c r="BF15" s="13">
        <v>752110</v>
      </c>
      <c r="BG15" s="13">
        <v>456725</v>
      </c>
      <c r="BH15" s="6">
        <f t="shared" si="22"/>
        <v>177747</v>
      </c>
      <c r="BI15" s="15">
        <v>634472</v>
      </c>
      <c r="BJ15" s="7">
        <f t="shared" si="23"/>
        <v>0.8435893685764051</v>
      </c>
    </row>
    <row r="16" spans="1:62" x14ac:dyDescent="0.3">
      <c r="A16" s="20">
        <v>8</v>
      </c>
      <c r="B16" s="12" t="s">
        <v>14</v>
      </c>
      <c r="C16" s="13">
        <v>246498</v>
      </c>
      <c r="D16" s="13">
        <v>51178</v>
      </c>
      <c r="E16" s="6">
        <f t="shared" si="0"/>
        <v>70968</v>
      </c>
      <c r="F16" s="14">
        <v>122146</v>
      </c>
      <c r="G16" s="7">
        <f t="shared" si="1"/>
        <v>0.49552531866384314</v>
      </c>
      <c r="H16" s="13">
        <v>236220</v>
      </c>
      <c r="I16" s="13">
        <v>54427</v>
      </c>
      <c r="J16" s="6">
        <f t="shared" si="2"/>
        <v>67805</v>
      </c>
      <c r="K16" s="14">
        <v>122232</v>
      </c>
      <c r="L16" s="7">
        <f t="shared" si="3"/>
        <v>0.51744983489966978</v>
      </c>
      <c r="M16" s="13">
        <v>560439</v>
      </c>
      <c r="N16" s="13">
        <v>263161</v>
      </c>
      <c r="O16" s="6">
        <f t="shared" si="4"/>
        <v>226141</v>
      </c>
      <c r="P16" s="15">
        <v>489302</v>
      </c>
      <c r="Q16" s="7">
        <f t="shared" si="5"/>
        <v>0.87306914757895149</v>
      </c>
      <c r="R16" s="13">
        <v>205814</v>
      </c>
      <c r="S16" s="13">
        <v>50965</v>
      </c>
      <c r="T16" s="6">
        <f t="shared" si="6"/>
        <v>72871</v>
      </c>
      <c r="U16" s="14">
        <v>123836</v>
      </c>
      <c r="V16" s="7">
        <f t="shared" si="7"/>
        <v>0.6016889035731291</v>
      </c>
      <c r="W16" s="13">
        <v>193923</v>
      </c>
      <c r="X16" s="13">
        <v>54220</v>
      </c>
      <c r="Y16" s="6">
        <f t="shared" si="8"/>
        <v>69744</v>
      </c>
      <c r="Z16" s="14">
        <v>123964</v>
      </c>
      <c r="AA16" s="7">
        <f t="shared" si="9"/>
        <v>0.63924341104458982</v>
      </c>
      <c r="AB16" s="13">
        <v>559918</v>
      </c>
      <c r="AC16" s="13">
        <v>199263</v>
      </c>
      <c r="AD16" s="6">
        <f t="shared" si="10"/>
        <v>300028</v>
      </c>
      <c r="AE16" s="15">
        <v>499291</v>
      </c>
      <c r="AF16" s="7">
        <f t="shared" si="11"/>
        <v>0.89172164495515416</v>
      </c>
      <c r="AG16" s="13">
        <v>184413</v>
      </c>
      <c r="AH16" s="13">
        <v>43294</v>
      </c>
      <c r="AI16" s="6">
        <f t="shared" si="12"/>
        <v>81873</v>
      </c>
      <c r="AJ16" s="14">
        <v>125167</v>
      </c>
      <c r="AK16" s="7">
        <f t="shared" si="13"/>
        <v>0.67873197659601003</v>
      </c>
      <c r="AL16" s="13">
        <v>173833</v>
      </c>
      <c r="AM16" s="13">
        <v>55711</v>
      </c>
      <c r="AN16" s="6">
        <f t="shared" si="14"/>
        <v>72241</v>
      </c>
      <c r="AO16" s="14">
        <v>127952</v>
      </c>
      <c r="AP16" s="7">
        <f t="shared" si="15"/>
        <v>0.73606277289122324</v>
      </c>
      <c r="AQ16" s="13">
        <v>541872</v>
      </c>
      <c r="AR16" s="13">
        <v>368743</v>
      </c>
      <c r="AS16" s="6">
        <f t="shared" si="16"/>
        <v>139187</v>
      </c>
      <c r="AT16" s="15">
        <v>507930</v>
      </c>
      <c r="AU16" s="7">
        <f t="shared" si="17"/>
        <v>0.93736159092922311</v>
      </c>
      <c r="AV16" s="13">
        <v>152784</v>
      </c>
      <c r="AW16" s="13">
        <v>78919</v>
      </c>
      <c r="AX16" s="6">
        <f t="shared" si="18"/>
        <v>47561</v>
      </c>
      <c r="AY16" s="14">
        <v>126480</v>
      </c>
      <c r="AZ16" s="7">
        <f t="shared" si="19"/>
        <v>0.82783537543198238</v>
      </c>
      <c r="BA16" s="13">
        <v>150750</v>
      </c>
      <c r="BB16" s="13">
        <v>102068</v>
      </c>
      <c r="BC16" s="6">
        <f t="shared" si="20"/>
        <v>24123</v>
      </c>
      <c r="BD16" s="14">
        <v>126191</v>
      </c>
      <c r="BE16" s="7">
        <f t="shared" si="21"/>
        <v>0.83708789386401328</v>
      </c>
      <c r="BF16" s="13">
        <v>552190</v>
      </c>
      <c r="BG16" s="13">
        <v>377455</v>
      </c>
      <c r="BH16" s="6">
        <f t="shared" si="22"/>
        <v>134265</v>
      </c>
      <c r="BI16" s="15">
        <v>511720</v>
      </c>
      <c r="BJ16" s="7">
        <f t="shared" si="23"/>
        <v>0.92671000923595137</v>
      </c>
    </row>
    <row r="17" spans="1:62" x14ac:dyDescent="0.3">
      <c r="A17" s="20">
        <v>9</v>
      </c>
      <c r="B17" s="12" t="s">
        <v>15</v>
      </c>
      <c r="C17" s="13">
        <v>524456</v>
      </c>
      <c r="D17" s="13">
        <v>79858</v>
      </c>
      <c r="E17" s="6">
        <f t="shared" si="0"/>
        <v>210826</v>
      </c>
      <c r="F17" s="14">
        <v>290684</v>
      </c>
      <c r="G17" s="7">
        <f t="shared" si="1"/>
        <v>0.55425812651585638</v>
      </c>
      <c r="H17" s="13">
        <v>496559</v>
      </c>
      <c r="I17" s="13">
        <v>78716</v>
      </c>
      <c r="J17" s="6">
        <f t="shared" si="2"/>
        <v>213167</v>
      </c>
      <c r="K17" s="14">
        <v>291883</v>
      </c>
      <c r="L17" s="7">
        <f t="shared" si="3"/>
        <v>0.58781131748694515</v>
      </c>
      <c r="M17" s="13">
        <v>1118687</v>
      </c>
      <c r="N17" s="13">
        <v>367818</v>
      </c>
      <c r="O17" s="6">
        <f t="shared" si="4"/>
        <v>588928</v>
      </c>
      <c r="P17" s="15">
        <v>956746</v>
      </c>
      <c r="Q17" s="7">
        <f t="shared" si="5"/>
        <v>0.85524011631492991</v>
      </c>
      <c r="R17" s="13">
        <v>453407</v>
      </c>
      <c r="S17" s="13">
        <v>73238</v>
      </c>
      <c r="T17" s="6">
        <f t="shared" si="6"/>
        <v>222423</v>
      </c>
      <c r="U17" s="14">
        <v>295661</v>
      </c>
      <c r="V17" s="7">
        <f t="shared" si="7"/>
        <v>0.65208741814749216</v>
      </c>
      <c r="W17" s="13">
        <v>432883</v>
      </c>
      <c r="X17" s="13">
        <v>76803</v>
      </c>
      <c r="Y17" s="6">
        <f t="shared" si="8"/>
        <v>221220</v>
      </c>
      <c r="Z17" s="14">
        <v>298023</v>
      </c>
      <c r="AA17" s="7">
        <f t="shared" si="9"/>
        <v>0.68846085431860338</v>
      </c>
      <c r="AB17" s="13">
        <v>1126122</v>
      </c>
      <c r="AC17" s="13">
        <v>285334</v>
      </c>
      <c r="AD17" s="6">
        <f t="shared" si="10"/>
        <v>697972</v>
      </c>
      <c r="AE17" s="15">
        <v>983306</v>
      </c>
      <c r="AF17" s="7">
        <f t="shared" si="11"/>
        <v>0.87317892732758973</v>
      </c>
      <c r="AG17" s="13">
        <v>411675</v>
      </c>
      <c r="AH17" s="13">
        <v>66568</v>
      </c>
      <c r="AI17" s="6">
        <f t="shared" si="12"/>
        <v>236495</v>
      </c>
      <c r="AJ17" s="14">
        <v>303063</v>
      </c>
      <c r="AK17" s="7">
        <f t="shared" si="13"/>
        <v>0.7361705228639096</v>
      </c>
      <c r="AL17" s="13">
        <v>391787</v>
      </c>
      <c r="AM17" s="13">
        <v>82687</v>
      </c>
      <c r="AN17" s="6">
        <f t="shared" si="14"/>
        <v>224650</v>
      </c>
      <c r="AO17" s="14">
        <v>307337</v>
      </c>
      <c r="AP17" s="7">
        <f t="shared" si="15"/>
        <v>0.78444920326606038</v>
      </c>
      <c r="AQ17" s="13">
        <v>1127354</v>
      </c>
      <c r="AR17" s="13">
        <v>624423</v>
      </c>
      <c r="AS17" s="6">
        <f t="shared" si="16"/>
        <v>381260</v>
      </c>
      <c r="AT17" s="15">
        <v>1005683</v>
      </c>
      <c r="AU17" s="7">
        <f t="shared" si="17"/>
        <v>0.8920738295158398</v>
      </c>
      <c r="AV17" s="13">
        <v>386848</v>
      </c>
      <c r="AW17" s="13">
        <v>137990</v>
      </c>
      <c r="AX17" s="6">
        <f t="shared" si="18"/>
        <v>170735</v>
      </c>
      <c r="AY17" s="14">
        <v>308725</v>
      </c>
      <c r="AZ17" s="7">
        <f t="shared" si="19"/>
        <v>0.79805246505087268</v>
      </c>
      <c r="BA17" s="13">
        <v>379844</v>
      </c>
      <c r="BB17" s="13">
        <v>215306</v>
      </c>
      <c r="BC17" s="6">
        <f t="shared" si="20"/>
        <v>93333</v>
      </c>
      <c r="BD17" s="14">
        <v>308639</v>
      </c>
      <c r="BE17" s="7">
        <f t="shared" si="21"/>
        <v>0.81254146439064456</v>
      </c>
      <c r="BF17" s="13">
        <v>1155076</v>
      </c>
      <c r="BG17" s="13">
        <v>632633</v>
      </c>
      <c r="BH17" s="6">
        <f t="shared" si="22"/>
        <v>370522</v>
      </c>
      <c r="BI17" s="15">
        <v>1003155</v>
      </c>
      <c r="BJ17" s="7">
        <f t="shared" si="23"/>
        <v>0.86847532110441217</v>
      </c>
    </row>
    <row r="18" spans="1:62" x14ac:dyDescent="0.3">
      <c r="A18" s="21">
        <v>10</v>
      </c>
      <c r="B18" s="12" t="s">
        <v>16</v>
      </c>
      <c r="C18" s="13">
        <v>171325</v>
      </c>
      <c r="D18" s="13">
        <v>11233</v>
      </c>
      <c r="E18" s="6">
        <f t="shared" si="0"/>
        <v>67980</v>
      </c>
      <c r="F18" s="14">
        <v>79213</v>
      </c>
      <c r="G18" s="7">
        <f t="shared" si="1"/>
        <v>0.46235517291697065</v>
      </c>
      <c r="H18" s="13">
        <v>162671</v>
      </c>
      <c r="I18" s="13">
        <v>11394</v>
      </c>
      <c r="J18" s="6">
        <f t="shared" si="2"/>
        <v>68326</v>
      </c>
      <c r="K18" s="14">
        <v>79720</v>
      </c>
      <c r="L18" s="7">
        <f t="shared" si="3"/>
        <v>0.49006891209865311</v>
      </c>
      <c r="M18" s="13">
        <v>313451</v>
      </c>
      <c r="N18" s="13">
        <v>68554</v>
      </c>
      <c r="O18" s="6">
        <f t="shared" si="4"/>
        <v>182282</v>
      </c>
      <c r="P18" s="15">
        <v>250836</v>
      </c>
      <c r="Q18" s="7">
        <f t="shared" si="5"/>
        <v>0.80023990990617355</v>
      </c>
      <c r="R18" s="13">
        <v>151876</v>
      </c>
      <c r="S18" s="13">
        <v>10786</v>
      </c>
      <c r="T18" s="6">
        <f t="shared" si="6"/>
        <v>70356</v>
      </c>
      <c r="U18" s="14">
        <v>81142</v>
      </c>
      <c r="V18" s="7">
        <f t="shared" si="7"/>
        <v>0.53426479496431301</v>
      </c>
      <c r="W18" s="13">
        <v>147333</v>
      </c>
      <c r="X18" s="13">
        <v>11447</v>
      </c>
      <c r="Y18" s="6">
        <f t="shared" si="8"/>
        <v>70522</v>
      </c>
      <c r="Z18" s="14">
        <v>81969</v>
      </c>
      <c r="AA18" s="7">
        <f t="shared" si="9"/>
        <v>0.5563519374478223</v>
      </c>
      <c r="AB18" s="13">
        <v>325576</v>
      </c>
      <c r="AC18" s="13">
        <v>53178</v>
      </c>
      <c r="AD18" s="6">
        <f t="shared" si="10"/>
        <v>208683</v>
      </c>
      <c r="AE18" s="15">
        <v>261861</v>
      </c>
      <c r="AF18" s="7">
        <f t="shared" si="11"/>
        <v>0.80430068555421774</v>
      </c>
      <c r="AG18" s="13">
        <v>146984</v>
      </c>
      <c r="AH18" s="13">
        <v>10208</v>
      </c>
      <c r="AI18" s="6">
        <f t="shared" si="12"/>
        <v>73762</v>
      </c>
      <c r="AJ18" s="14">
        <v>83970</v>
      </c>
      <c r="AK18" s="7">
        <f t="shared" si="13"/>
        <v>0.57128667065803085</v>
      </c>
      <c r="AL18" s="13">
        <v>143867</v>
      </c>
      <c r="AM18" s="13">
        <v>13204</v>
      </c>
      <c r="AN18" s="6">
        <f t="shared" si="14"/>
        <v>72162</v>
      </c>
      <c r="AO18" s="14">
        <v>85366</v>
      </c>
      <c r="AP18" s="7">
        <f t="shared" si="15"/>
        <v>0.59336748524679039</v>
      </c>
      <c r="AQ18" s="13">
        <v>332886</v>
      </c>
      <c r="AR18" s="13">
        <v>146645</v>
      </c>
      <c r="AS18" s="6">
        <f t="shared" si="16"/>
        <v>124397</v>
      </c>
      <c r="AT18" s="15">
        <v>271042</v>
      </c>
      <c r="AU18" s="7">
        <f t="shared" si="17"/>
        <v>0.81421868147053345</v>
      </c>
      <c r="AV18" s="13">
        <v>133090</v>
      </c>
      <c r="AW18" s="13">
        <v>28179</v>
      </c>
      <c r="AX18" s="6">
        <f t="shared" si="18"/>
        <v>60378</v>
      </c>
      <c r="AY18" s="14">
        <v>88557</v>
      </c>
      <c r="AZ18" s="7">
        <f t="shared" si="19"/>
        <v>0.66539184010819741</v>
      </c>
      <c r="BA18" s="13">
        <v>108549</v>
      </c>
      <c r="BB18" s="13">
        <v>50287</v>
      </c>
      <c r="BC18" s="6">
        <f t="shared" si="20"/>
        <v>35929</v>
      </c>
      <c r="BD18" s="14">
        <v>86216</v>
      </c>
      <c r="BE18" s="7">
        <f t="shared" si="21"/>
        <v>0.79425881399183784</v>
      </c>
      <c r="BF18" s="13">
        <v>320339</v>
      </c>
      <c r="BG18" s="13">
        <v>144552</v>
      </c>
      <c r="BH18" s="6">
        <f t="shared" si="22"/>
        <v>125691</v>
      </c>
      <c r="BI18" s="15">
        <v>270243</v>
      </c>
      <c r="BJ18" s="7">
        <f t="shared" si="23"/>
        <v>0.84361566964996459</v>
      </c>
    </row>
    <row r="19" spans="1:62" x14ac:dyDescent="0.3">
      <c r="A19" s="21">
        <v>11</v>
      </c>
      <c r="B19" s="12" t="s">
        <v>17</v>
      </c>
      <c r="C19" s="13">
        <v>4600</v>
      </c>
      <c r="D19" s="13">
        <v>797</v>
      </c>
      <c r="E19" s="6">
        <f t="shared" si="0"/>
        <v>1867</v>
      </c>
      <c r="F19" s="14">
        <v>2664</v>
      </c>
      <c r="G19" s="7">
        <f t="shared" si="1"/>
        <v>0.57913043478260873</v>
      </c>
      <c r="H19" s="13">
        <v>4548</v>
      </c>
      <c r="I19" s="13">
        <v>811</v>
      </c>
      <c r="J19" s="6">
        <f t="shared" si="2"/>
        <v>1850</v>
      </c>
      <c r="K19" s="14">
        <v>2661</v>
      </c>
      <c r="L19" s="7">
        <f t="shared" si="3"/>
        <v>0.58509234828496037</v>
      </c>
      <c r="M19" s="13">
        <v>7029</v>
      </c>
      <c r="N19" s="13">
        <v>2167</v>
      </c>
      <c r="O19" s="6">
        <f t="shared" si="4"/>
        <v>3589</v>
      </c>
      <c r="P19" s="15">
        <v>5756</v>
      </c>
      <c r="Q19" s="7">
        <f t="shared" si="5"/>
        <v>0.81889315692132592</v>
      </c>
      <c r="R19" s="13">
        <v>4252</v>
      </c>
      <c r="S19" s="13">
        <v>801</v>
      </c>
      <c r="T19" s="6">
        <f t="shared" si="6"/>
        <v>1901</v>
      </c>
      <c r="U19" s="14">
        <v>2702</v>
      </c>
      <c r="V19" s="7">
        <f t="shared" si="7"/>
        <v>0.63546566321730946</v>
      </c>
      <c r="W19" s="13">
        <v>4075</v>
      </c>
      <c r="X19" s="13">
        <v>815</v>
      </c>
      <c r="Y19" s="6">
        <f t="shared" si="8"/>
        <v>1931</v>
      </c>
      <c r="Z19" s="14">
        <v>2746</v>
      </c>
      <c r="AA19" s="7">
        <f t="shared" si="9"/>
        <v>0.6738650306748466</v>
      </c>
      <c r="AB19" s="13">
        <v>7195</v>
      </c>
      <c r="AC19" s="13">
        <v>1733</v>
      </c>
      <c r="AD19" s="6">
        <f t="shared" si="10"/>
        <v>4254</v>
      </c>
      <c r="AE19" s="15">
        <v>5987</v>
      </c>
      <c r="AF19" s="7">
        <f t="shared" si="11"/>
        <v>0.83210562890896456</v>
      </c>
      <c r="AG19" s="13">
        <v>4095</v>
      </c>
      <c r="AH19" s="13">
        <v>761</v>
      </c>
      <c r="AI19" s="6">
        <f t="shared" si="12"/>
        <v>2043</v>
      </c>
      <c r="AJ19" s="14">
        <v>2804</v>
      </c>
      <c r="AK19" s="7">
        <f t="shared" si="13"/>
        <v>0.68473748473748475</v>
      </c>
      <c r="AL19" s="13">
        <v>4062</v>
      </c>
      <c r="AM19" s="13">
        <v>838</v>
      </c>
      <c r="AN19" s="6">
        <f t="shared" si="14"/>
        <v>1981</v>
      </c>
      <c r="AO19" s="14">
        <v>2819</v>
      </c>
      <c r="AP19" s="7">
        <f t="shared" si="15"/>
        <v>0.69399310684391924</v>
      </c>
      <c r="AQ19" s="13">
        <v>7450</v>
      </c>
      <c r="AR19" s="13">
        <v>3061</v>
      </c>
      <c r="AS19" s="6">
        <f t="shared" si="16"/>
        <v>3102</v>
      </c>
      <c r="AT19" s="15">
        <v>6163</v>
      </c>
      <c r="AU19" s="7">
        <f t="shared" si="17"/>
        <v>0.82724832214765098</v>
      </c>
      <c r="AV19" s="13">
        <v>3908</v>
      </c>
      <c r="AW19" s="13">
        <v>1156</v>
      </c>
      <c r="AX19" s="6">
        <f t="shared" si="18"/>
        <v>1667</v>
      </c>
      <c r="AY19" s="14">
        <v>2823</v>
      </c>
      <c r="AZ19" s="7">
        <f t="shared" si="19"/>
        <v>0.72236438075742071</v>
      </c>
      <c r="BA19" s="13">
        <v>3729</v>
      </c>
      <c r="BB19" s="13">
        <v>1818</v>
      </c>
      <c r="BC19" s="6">
        <f t="shared" si="20"/>
        <v>1032</v>
      </c>
      <c r="BD19" s="14">
        <v>2850</v>
      </c>
      <c r="BE19" s="7">
        <f t="shared" si="21"/>
        <v>0.7642799678197908</v>
      </c>
      <c r="BF19" s="13">
        <v>7508</v>
      </c>
      <c r="BG19" s="13">
        <v>4045</v>
      </c>
      <c r="BH19" s="6">
        <f t="shared" si="22"/>
        <v>2257</v>
      </c>
      <c r="BI19" s="15">
        <v>6302</v>
      </c>
      <c r="BJ19" s="7">
        <f t="shared" si="23"/>
        <v>0.83937133724027702</v>
      </c>
    </row>
    <row r="20" spans="1:62" x14ac:dyDescent="0.3">
      <c r="A20" s="21">
        <v>12</v>
      </c>
      <c r="B20" s="12" t="s">
        <v>18</v>
      </c>
      <c r="C20" s="13">
        <v>8440</v>
      </c>
      <c r="D20" s="13">
        <v>435</v>
      </c>
      <c r="E20" s="6">
        <f t="shared" si="0"/>
        <v>2845</v>
      </c>
      <c r="F20" s="14">
        <v>3280</v>
      </c>
      <c r="G20" s="7">
        <f t="shared" si="1"/>
        <v>0.38862559241706163</v>
      </c>
      <c r="H20" s="13">
        <v>8306</v>
      </c>
      <c r="I20" s="13">
        <v>428</v>
      </c>
      <c r="J20" s="6">
        <f t="shared" si="2"/>
        <v>2845</v>
      </c>
      <c r="K20" s="14">
        <v>3273</v>
      </c>
      <c r="L20" s="7">
        <f t="shared" si="3"/>
        <v>0.3940524921743318</v>
      </c>
      <c r="M20" s="13">
        <v>11143</v>
      </c>
      <c r="N20" s="13">
        <v>1390</v>
      </c>
      <c r="O20" s="6">
        <f t="shared" si="4"/>
        <v>6284</v>
      </c>
      <c r="P20" s="15">
        <v>7674</v>
      </c>
      <c r="Q20" s="7">
        <f t="shared" si="5"/>
        <v>0.68868347841694333</v>
      </c>
      <c r="R20" s="13">
        <v>7639</v>
      </c>
      <c r="S20" s="13">
        <v>569</v>
      </c>
      <c r="T20" s="6">
        <f t="shared" si="6"/>
        <v>2767</v>
      </c>
      <c r="U20" s="14">
        <v>3336</v>
      </c>
      <c r="V20" s="7">
        <f t="shared" si="7"/>
        <v>0.43670637517999739</v>
      </c>
      <c r="W20" s="13">
        <v>7528</v>
      </c>
      <c r="X20" s="13">
        <v>602</v>
      </c>
      <c r="Y20" s="6">
        <f t="shared" si="8"/>
        <v>2784</v>
      </c>
      <c r="Z20" s="14">
        <v>3386</v>
      </c>
      <c r="AA20" s="7">
        <f t="shared" si="9"/>
        <v>0.44978746014877791</v>
      </c>
      <c r="AB20" s="13">
        <v>11960</v>
      </c>
      <c r="AC20" s="13">
        <v>1349</v>
      </c>
      <c r="AD20" s="6">
        <f t="shared" si="10"/>
        <v>6802</v>
      </c>
      <c r="AE20" s="15">
        <v>8151</v>
      </c>
      <c r="AF20" s="7">
        <f t="shared" si="11"/>
        <v>0.68152173913043479</v>
      </c>
      <c r="AG20" s="13">
        <v>7480</v>
      </c>
      <c r="AH20" s="13">
        <v>538</v>
      </c>
      <c r="AI20" s="6">
        <f t="shared" si="12"/>
        <v>2964</v>
      </c>
      <c r="AJ20" s="14">
        <v>3502</v>
      </c>
      <c r="AK20" s="7">
        <f t="shared" si="13"/>
        <v>0.4681818181818182</v>
      </c>
      <c r="AL20" s="13">
        <v>7440</v>
      </c>
      <c r="AM20" s="13">
        <v>595</v>
      </c>
      <c r="AN20" s="6">
        <f t="shared" si="14"/>
        <v>2934</v>
      </c>
      <c r="AO20" s="14">
        <v>3529</v>
      </c>
      <c r="AP20" s="7">
        <f t="shared" si="15"/>
        <v>0.47432795698924729</v>
      </c>
      <c r="AQ20" s="13">
        <v>12515</v>
      </c>
      <c r="AR20" s="13">
        <v>3427</v>
      </c>
      <c r="AS20" s="6">
        <f t="shared" si="16"/>
        <v>5064</v>
      </c>
      <c r="AT20" s="15">
        <v>8491</v>
      </c>
      <c r="AU20" s="7">
        <f t="shared" si="17"/>
        <v>0.67846584099081098</v>
      </c>
      <c r="AV20" s="13">
        <v>7275</v>
      </c>
      <c r="AW20" s="13">
        <v>923</v>
      </c>
      <c r="AX20" s="6">
        <f t="shared" si="18"/>
        <v>2662</v>
      </c>
      <c r="AY20" s="14">
        <v>3585</v>
      </c>
      <c r="AZ20" s="7">
        <f t="shared" si="19"/>
        <v>0.4927835051546392</v>
      </c>
      <c r="BA20" s="13">
        <v>7020</v>
      </c>
      <c r="BB20" s="13">
        <v>1782</v>
      </c>
      <c r="BC20" s="6">
        <f t="shared" si="20"/>
        <v>1830</v>
      </c>
      <c r="BD20" s="14">
        <v>3612</v>
      </c>
      <c r="BE20" s="7">
        <f t="shared" si="21"/>
        <v>0.51452991452991448</v>
      </c>
      <c r="BF20" s="13">
        <v>12538</v>
      </c>
      <c r="BG20" s="13">
        <v>3981</v>
      </c>
      <c r="BH20" s="6">
        <f t="shared" si="22"/>
        <v>4690</v>
      </c>
      <c r="BI20" s="15">
        <v>8671</v>
      </c>
      <c r="BJ20" s="7">
        <f t="shared" si="23"/>
        <v>0.69157760408358593</v>
      </c>
    </row>
    <row r="21" spans="1:62" x14ac:dyDescent="0.3">
      <c r="A21" s="21">
        <v>13</v>
      </c>
      <c r="B21" s="12" t="s">
        <v>19</v>
      </c>
      <c r="C21" s="13">
        <v>5424</v>
      </c>
      <c r="D21" s="13">
        <v>564</v>
      </c>
      <c r="E21" s="6">
        <f t="shared" si="0"/>
        <v>2635</v>
      </c>
      <c r="F21" s="14">
        <v>3199</v>
      </c>
      <c r="G21" s="7">
        <f t="shared" si="1"/>
        <v>0.58978613569321536</v>
      </c>
      <c r="H21" s="13">
        <v>5324</v>
      </c>
      <c r="I21" s="13">
        <v>591</v>
      </c>
      <c r="J21" s="6">
        <f t="shared" si="2"/>
        <v>2621</v>
      </c>
      <c r="K21" s="14">
        <v>3212</v>
      </c>
      <c r="L21" s="7">
        <f t="shared" si="3"/>
        <v>0.60330578512396693</v>
      </c>
      <c r="M21" s="13">
        <v>6463</v>
      </c>
      <c r="N21" s="13">
        <v>1086</v>
      </c>
      <c r="O21" s="6">
        <f t="shared" si="4"/>
        <v>3784</v>
      </c>
      <c r="P21" s="15">
        <v>4870</v>
      </c>
      <c r="Q21" s="7">
        <f t="shared" si="5"/>
        <v>0.7535200371344577</v>
      </c>
      <c r="R21" s="13">
        <v>5094</v>
      </c>
      <c r="S21" s="13">
        <v>521</v>
      </c>
      <c r="T21" s="6">
        <f t="shared" si="6"/>
        <v>2796</v>
      </c>
      <c r="U21" s="14">
        <v>3317</v>
      </c>
      <c r="V21" s="7">
        <f t="shared" si="7"/>
        <v>0.65115822536317236</v>
      </c>
      <c r="W21" s="13">
        <v>5116</v>
      </c>
      <c r="X21" s="13">
        <v>621</v>
      </c>
      <c r="Y21" s="6">
        <f t="shared" si="8"/>
        <v>2753</v>
      </c>
      <c r="Z21" s="14">
        <v>3374</v>
      </c>
      <c r="AA21" s="7">
        <f t="shared" si="9"/>
        <v>0.6594996090695856</v>
      </c>
      <c r="AB21" s="13">
        <v>6718</v>
      </c>
      <c r="AC21" s="13">
        <v>998</v>
      </c>
      <c r="AD21" s="6">
        <f t="shared" si="10"/>
        <v>4093</v>
      </c>
      <c r="AE21" s="15">
        <v>5091</v>
      </c>
      <c r="AF21" s="7">
        <f t="shared" si="11"/>
        <v>0.75781482584102411</v>
      </c>
      <c r="AG21" s="13">
        <v>5117</v>
      </c>
      <c r="AH21" s="13">
        <v>607</v>
      </c>
      <c r="AI21" s="6">
        <f t="shared" si="12"/>
        <v>2865</v>
      </c>
      <c r="AJ21" s="14">
        <v>3472</v>
      </c>
      <c r="AK21" s="7">
        <f t="shared" si="13"/>
        <v>0.67852257181942544</v>
      </c>
      <c r="AL21" s="13">
        <v>5024</v>
      </c>
      <c r="AM21" s="13">
        <v>708</v>
      </c>
      <c r="AN21" s="6">
        <f t="shared" si="14"/>
        <v>2789</v>
      </c>
      <c r="AO21" s="14">
        <v>3497</v>
      </c>
      <c r="AP21" s="7">
        <f t="shared" si="15"/>
        <v>0.69605891719745228</v>
      </c>
      <c r="AQ21" s="13">
        <v>6694</v>
      </c>
      <c r="AR21" s="13">
        <v>1700</v>
      </c>
      <c r="AS21" s="6">
        <f t="shared" si="16"/>
        <v>3500</v>
      </c>
      <c r="AT21" s="15">
        <v>5200</v>
      </c>
      <c r="AU21" s="7">
        <f t="shared" si="17"/>
        <v>0.7768150582611294</v>
      </c>
      <c r="AV21" s="13">
        <v>4925</v>
      </c>
      <c r="AW21" s="13">
        <v>998</v>
      </c>
      <c r="AX21" s="6">
        <f t="shared" si="18"/>
        <v>2547</v>
      </c>
      <c r="AY21" s="14">
        <v>3545</v>
      </c>
      <c r="AZ21" s="7">
        <f t="shared" si="19"/>
        <v>0.71979695431472079</v>
      </c>
      <c r="BA21" s="13">
        <v>4794</v>
      </c>
      <c r="BB21" s="13">
        <v>2023</v>
      </c>
      <c r="BC21" s="6">
        <f t="shared" si="20"/>
        <v>1538</v>
      </c>
      <c r="BD21" s="14">
        <v>3561</v>
      </c>
      <c r="BE21" s="7">
        <f t="shared" si="21"/>
        <v>0.7428035043804756</v>
      </c>
      <c r="BF21" s="13">
        <v>6784</v>
      </c>
      <c r="BG21" s="13">
        <v>3051</v>
      </c>
      <c r="BH21" s="6">
        <f t="shared" si="22"/>
        <v>2185</v>
      </c>
      <c r="BI21" s="15">
        <v>5236</v>
      </c>
      <c r="BJ21" s="7">
        <f t="shared" si="23"/>
        <v>0.77181603773584906</v>
      </c>
    </row>
    <row r="22" spans="1:62" x14ac:dyDescent="0.3">
      <c r="A22" s="21">
        <v>14</v>
      </c>
      <c r="B22" s="12" t="s">
        <v>20</v>
      </c>
      <c r="C22" s="13">
        <v>9159</v>
      </c>
      <c r="D22" s="13">
        <v>576</v>
      </c>
      <c r="E22" s="6">
        <f t="shared" si="0"/>
        <v>3581</v>
      </c>
      <c r="F22" s="14">
        <v>4157</v>
      </c>
      <c r="G22" s="7">
        <f t="shared" si="1"/>
        <v>0.45387050988099137</v>
      </c>
      <c r="H22" s="13">
        <v>8938</v>
      </c>
      <c r="I22" s="13">
        <v>557</v>
      </c>
      <c r="J22" s="6">
        <f t="shared" si="2"/>
        <v>3597</v>
      </c>
      <c r="K22" s="14">
        <v>4154</v>
      </c>
      <c r="L22" s="7">
        <f t="shared" si="3"/>
        <v>0.46475721637950324</v>
      </c>
      <c r="M22" s="13">
        <v>10941</v>
      </c>
      <c r="N22" s="13">
        <v>1235</v>
      </c>
      <c r="O22" s="6">
        <f t="shared" si="4"/>
        <v>5555</v>
      </c>
      <c r="P22" s="15">
        <v>6790</v>
      </c>
      <c r="Q22" s="7">
        <f t="shared" si="5"/>
        <v>0.62060140754958415</v>
      </c>
      <c r="R22" s="13">
        <v>8347</v>
      </c>
      <c r="S22" s="13">
        <v>521</v>
      </c>
      <c r="T22" s="6">
        <f t="shared" si="6"/>
        <v>3685</v>
      </c>
      <c r="U22" s="14">
        <v>4206</v>
      </c>
      <c r="V22" s="7">
        <f t="shared" si="7"/>
        <v>0.50389361447226544</v>
      </c>
      <c r="W22" s="13">
        <v>7996</v>
      </c>
      <c r="X22" s="13">
        <v>571</v>
      </c>
      <c r="Y22" s="6">
        <f t="shared" si="8"/>
        <v>3660</v>
      </c>
      <c r="Z22" s="14">
        <v>4231</v>
      </c>
      <c r="AA22" s="7">
        <f t="shared" si="9"/>
        <v>0.52913956978489241</v>
      </c>
      <c r="AB22" s="13">
        <v>10659</v>
      </c>
      <c r="AC22" s="13">
        <v>1119</v>
      </c>
      <c r="AD22" s="6">
        <f t="shared" si="10"/>
        <v>5818</v>
      </c>
      <c r="AE22" s="15">
        <v>6937</v>
      </c>
      <c r="AF22" s="7">
        <f t="shared" si="11"/>
        <v>0.65081152078056104</v>
      </c>
      <c r="AG22" s="13">
        <v>7640</v>
      </c>
      <c r="AH22" s="13">
        <v>601</v>
      </c>
      <c r="AI22" s="6">
        <f t="shared" si="12"/>
        <v>3728</v>
      </c>
      <c r="AJ22" s="14">
        <v>4329</v>
      </c>
      <c r="AK22" s="7">
        <f t="shared" si="13"/>
        <v>0.56662303664921465</v>
      </c>
      <c r="AL22" s="13">
        <v>7565</v>
      </c>
      <c r="AM22" s="13">
        <v>667</v>
      </c>
      <c r="AN22" s="6">
        <f t="shared" si="14"/>
        <v>3674</v>
      </c>
      <c r="AO22" s="14">
        <v>4341</v>
      </c>
      <c r="AP22" s="7">
        <f t="shared" si="15"/>
        <v>0.57382683410442825</v>
      </c>
      <c r="AQ22" s="13">
        <v>10173</v>
      </c>
      <c r="AR22" s="13">
        <v>2393</v>
      </c>
      <c r="AS22" s="6">
        <f t="shared" si="16"/>
        <v>4576</v>
      </c>
      <c r="AT22" s="15">
        <v>6969</v>
      </c>
      <c r="AU22" s="7">
        <f t="shared" si="17"/>
        <v>0.68504865821291649</v>
      </c>
      <c r="AV22" s="13">
        <v>7119</v>
      </c>
      <c r="AW22" s="13">
        <v>1032</v>
      </c>
      <c r="AX22" s="6">
        <f t="shared" si="18"/>
        <v>3309</v>
      </c>
      <c r="AY22" s="14">
        <v>4341</v>
      </c>
      <c r="AZ22" s="7">
        <f t="shared" si="19"/>
        <v>0.60977665402444159</v>
      </c>
      <c r="BA22" s="13">
        <v>7146</v>
      </c>
      <c r="BB22" s="13">
        <v>2056</v>
      </c>
      <c r="BC22" s="6">
        <f t="shared" si="20"/>
        <v>2220</v>
      </c>
      <c r="BD22" s="14">
        <v>4276</v>
      </c>
      <c r="BE22" s="7">
        <f t="shared" si="21"/>
        <v>0.59837671424573191</v>
      </c>
      <c r="BF22" s="13">
        <v>10531</v>
      </c>
      <c r="BG22" s="13">
        <v>2966</v>
      </c>
      <c r="BH22" s="6">
        <f t="shared" si="22"/>
        <v>3770</v>
      </c>
      <c r="BI22" s="15">
        <v>6736</v>
      </c>
      <c r="BJ22" s="7">
        <f t="shared" si="23"/>
        <v>0.63963536226379258</v>
      </c>
    </row>
    <row r="23" spans="1:62" x14ac:dyDescent="0.3">
      <c r="A23" s="21">
        <v>15</v>
      </c>
      <c r="B23" s="12" t="s">
        <v>21</v>
      </c>
      <c r="C23" s="13">
        <v>4309</v>
      </c>
      <c r="D23" s="13">
        <v>520</v>
      </c>
      <c r="E23" s="6">
        <f t="shared" si="0"/>
        <v>2101</v>
      </c>
      <c r="F23" s="14">
        <v>2621</v>
      </c>
      <c r="G23" s="7">
        <f t="shared" si="1"/>
        <v>0.60826177767463452</v>
      </c>
      <c r="H23" s="13">
        <v>4314</v>
      </c>
      <c r="I23" s="13">
        <v>585</v>
      </c>
      <c r="J23" s="6">
        <f t="shared" si="2"/>
        <v>2038</v>
      </c>
      <c r="K23" s="14">
        <v>2623</v>
      </c>
      <c r="L23" s="7">
        <f t="shared" si="3"/>
        <v>0.60802039870190083</v>
      </c>
      <c r="M23" s="13">
        <v>5454</v>
      </c>
      <c r="N23" s="13">
        <v>1297</v>
      </c>
      <c r="O23" s="6">
        <f t="shared" si="4"/>
        <v>2704</v>
      </c>
      <c r="P23" s="15">
        <v>4001</v>
      </c>
      <c r="Q23" s="7">
        <f t="shared" si="5"/>
        <v>0.73359002566923359</v>
      </c>
      <c r="R23" s="13">
        <v>4339</v>
      </c>
      <c r="S23" s="13">
        <v>525</v>
      </c>
      <c r="T23" s="6">
        <f t="shared" si="6"/>
        <v>2185</v>
      </c>
      <c r="U23" s="14">
        <v>2710</v>
      </c>
      <c r="V23" s="7">
        <f t="shared" si="7"/>
        <v>0.62456787278174697</v>
      </c>
      <c r="W23" s="13">
        <v>4331</v>
      </c>
      <c r="X23" s="13">
        <v>544</v>
      </c>
      <c r="Y23" s="6">
        <f t="shared" si="8"/>
        <v>2182</v>
      </c>
      <c r="Z23" s="14">
        <v>2726</v>
      </c>
      <c r="AA23" s="7">
        <f t="shared" si="9"/>
        <v>0.62941583929808353</v>
      </c>
      <c r="AB23" s="13">
        <v>5800</v>
      </c>
      <c r="AC23" s="13">
        <v>1399</v>
      </c>
      <c r="AD23" s="6">
        <f t="shared" si="10"/>
        <v>2769</v>
      </c>
      <c r="AE23" s="15">
        <v>4168</v>
      </c>
      <c r="AF23" s="7">
        <f t="shared" si="11"/>
        <v>0.71862068965517245</v>
      </c>
      <c r="AG23" s="13">
        <v>4378</v>
      </c>
      <c r="AH23" s="13">
        <v>531</v>
      </c>
      <c r="AI23" s="6">
        <f t="shared" si="12"/>
        <v>2212</v>
      </c>
      <c r="AJ23" s="14">
        <v>2743</v>
      </c>
      <c r="AK23" s="7">
        <f t="shared" si="13"/>
        <v>0.62654179990863412</v>
      </c>
      <c r="AL23" s="13">
        <v>4406</v>
      </c>
      <c r="AM23" s="13">
        <v>664</v>
      </c>
      <c r="AN23" s="6">
        <f t="shared" si="14"/>
        <v>2129</v>
      </c>
      <c r="AO23" s="14">
        <v>2793</v>
      </c>
      <c r="AP23" s="7">
        <f t="shared" si="15"/>
        <v>0.63390830685428956</v>
      </c>
      <c r="AQ23" s="13">
        <v>6083</v>
      </c>
      <c r="AR23" s="13">
        <v>1668</v>
      </c>
      <c r="AS23" s="6">
        <f t="shared" si="16"/>
        <v>2635</v>
      </c>
      <c r="AT23" s="15">
        <v>4303</v>
      </c>
      <c r="AU23" s="7">
        <f t="shared" si="17"/>
        <v>0.70738122636856815</v>
      </c>
      <c r="AV23" s="13">
        <v>4479</v>
      </c>
      <c r="AW23" s="13">
        <v>804</v>
      </c>
      <c r="AX23" s="6">
        <f t="shared" si="18"/>
        <v>2069</v>
      </c>
      <c r="AY23" s="14">
        <v>2873</v>
      </c>
      <c r="AZ23" s="7">
        <f t="shared" si="19"/>
        <v>0.64143782094217461</v>
      </c>
      <c r="BA23" s="13">
        <v>4501</v>
      </c>
      <c r="BB23" s="13">
        <v>1857</v>
      </c>
      <c r="BC23" s="6">
        <f t="shared" si="20"/>
        <v>1031</v>
      </c>
      <c r="BD23" s="14">
        <v>2888</v>
      </c>
      <c r="BE23" s="7">
        <f t="shared" si="21"/>
        <v>0.6416351921795157</v>
      </c>
      <c r="BF23" s="13">
        <v>6256</v>
      </c>
      <c r="BG23" s="13">
        <v>3267</v>
      </c>
      <c r="BH23" s="6">
        <f t="shared" si="22"/>
        <v>1169</v>
      </c>
      <c r="BI23" s="15">
        <v>4436</v>
      </c>
      <c r="BJ23" s="7">
        <f t="shared" si="23"/>
        <v>0.70907928388746799</v>
      </c>
    </row>
    <row r="24" spans="1:62" x14ac:dyDescent="0.3">
      <c r="A24" s="21">
        <v>16</v>
      </c>
      <c r="B24" s="12" t="s">
        <v>22</v>
      </c>
      <c r="C24" s="13">
        <v>13357</v>
      </c>
      <c r="D24" s="13">
        <v>1448</v>
      </c>
      <c r="E24" s="6">
        <f t="shared" si="0"/>
        <v>5352</v>
      </c>
      <c r="F24" s="14">
        <v>6800</v>
      </c>
      <c r="G24" s="7">
        <f t="shared" si="1"/>
        <v>0.50909635397170028</v>
      </c>
      <c r="H24" s="13">
        <v>13002</v>
      </c>
      <c r="I24" s="13">
        <v>1571</v>
      </c>
      <c r="J24" s="6">
        <f t="shared" si="2"/>
        <v>5271</v>
      </c>
      <c r="K24" s="14">
        <v>6842</v>
      </c>
      <c r="L24" s="7">
        <f t="shared" si="3"/>
        <v>0.52622673434856171</v>
      </c>
      <c r="M24" s="13">
        <v>24026</v>
      </c>
      <c r="N24" s="13">
        <v>7001</v>
      </c>
      <c r="O24" s="6">
        <f t="shared" si="4"/>
        <v>12355</v>
      </c>
      <c r="P24" s="15">
        <v>19356</v>
      </c>
      <c r="Q24" s="7">
        <f t="shared" si="5"/>
        <v>0.8056272371597436</v>
      </c>
      <c r="R24" s="13">
        <v>12173</v>
      </c>
      <c r="S24" s="13">
        <v>1621</v>
      </c>
      <c r="T24" s="6">
        <f t="shared" si="6"/>
        <v>5345</v>
      </c>
      <c r="U24" s="14">
        <v>6966</v>
      </c>
      <c r="V24" s="7">
        <f t="shared" si="7"/>
        <v>0.57225006161176373</v>
      </c>
      <c r="W24" s="13">
        <v>11708</v>
      </c>
      <c r="X24" s="13">
        <v>1630</v>
      </c>
      <c r="Y24" s="6">
        <f t="shared" si="8"/>
        <v>5405</v>
      </c>
      <c r="Z24" s="14">
        <v>7035</v>
      </c>
      <c r="AA24" s="7">
        <f t="shared" si="9"/>
        <v>0.60087119918004783</v>
      </c>
      <c r="AB24" s="13">
        <v>24530</v>
      </c>
      <c r="AC24" s="13">
        <v>5944</v>
      </c>
      <c r="AD24" s="6">
        <f t="shared" si="10"/>
        <v>14015</v>
      </c>
      <c r="AE24" s="15">
        <v>19959</v>
      </c>
      <c r="AF24" s="7">
        <f t="shared" si="11"/>
        <v>0.8136567468406033</v>
      </c>
      <c r="AG24" s="13">
        <v>11273</v>
      </c>
      <c r="AH24" s="13">
        <v>1712</v>
      </c>
      <c r="AI24" s="6">
        <f t="shared" si="12"/>
        <v>5434</v>
      </c>
      <c r="AJ24" s="14">
        <v>7146</v>
      </c>
      <c r="AK24" s="7">
        <f t="shared" si="13"/>
        <v>0.63390401845116651</v>
      </c>
      <c r="AL24" s="13">
        <v>10971</v>
      </c>
      <c r="AM24" s="13">
        <v>1711</v>
      </c>
      <c r="AN24" s="6">
        <f t="shared" si="14"/>
        <v>5517</v>
      </c>
      <c r="AO24" s="14">
        <v>7228</v>
      </c>
      <c r="AP24" s="7">
        <f t="shared" si="15"/>
        <v>0.65882781879500496</v>
      </c>
      <c r="AQ24" s="13">
        <v>24481</v>
      </c>
      <c r="AR24" s="13">
        <v>10889</v>
      </c>
      <c r="AS24" s="6">
        <f t="shared" si="16"/>
        <v>9379</v>
      </c>
      <c r="AT24" s="15">
        <v>20268</v>
      </c>
      <c r="AU24" s="7">
        <f t="shared" si="17"/>
        <v>0.82790735672562399</v>
      </c>
      <c r="AV24" s="13">
        <v>10298</v>
      </c>
      <c r="AW24" s="13">
        <v>2804</v>
      </c>
      <c r="AX24" s="6">
        <f t="shared" si="18"/>
        <v>4541</v>
      </c>
      <c r="AY24" s="14">
        <v>7345</v>
      </c>
      <c r="AZ24" s="7">
        <f t="shared" si="19"/>
        <v>0.71324529034764028</v>
      </c>
      <c r="BA24" s="13">
        <v>9683</v>
      </c>
      <c r="BB24" s="13">
        <v>4697</v>
      </c>
      <c r="BC24" s="6">
        <f t="shared" si="20"/>
        <v>2599</v>
      </c>
      <c r="BD24" s="14">
        <v>7296</v>
      </c>
      <c r="BE24" s="7">
        <f t="shared" si="21"/>
        <v>0.75348549003408039</v>
      </c>
      <c r="BF24" s="13">
        <v>24205</v>
      </c>
      <c r="BG24" s="13">
        <v>12693</v>
      </c>
      <c r="BH24" s="6">
        <f t="shared" si="22"/>
        <v>7537</v>
      </c>
      <c r="BI24" s="15">
        <v>20230</v>
      </c>
      <c r="BJ24" s="7">
        <f t="shared" si="23"/>
        <v>0.83577773187357984</v>
      </c>
    </row>
    <row r="25" spans="1:62" x14ac:dyDescent="0.3">
      <c r="A25" s="21">
        <v>17</v>
      </c>
      <c r="B25" s="12" t="s">
        <v>23</v>
      </c>
      <c r="C25" s="13">
        <v>16494</v>
      </c>
      <c r="D25" s="13">
        <v>1391</v>
      </c>
      <c r="E25" s="6">
        <f t="shared" si="0"/>
        <v>6505</v>
      </c>
      <c r="F25" s="14">
        <v>7896</v>
      </c>
      <c r="G25" s="7">
        <f t="shared" si="1"/>
        <v>0.47871953437613679</v>
      </c>
      <c r="H25" s="13">
        <v>16584</v>
      </c>
      <c r="I25" s="13">
        <v>1595</v>
      </c>
      <c r="J25" s="6">
        <f t="shared" si="2"/>
        <v>6404</v>
      </c>
      <c r="K25" s="14">
        <v>7999</v>
      </c>
      <c r="L25" s="7">
        <f t="shared" si="3"/>
        <v>0.48233236854799805</v>
      </c>
      <c r="M25" s="13">
        <v>24878</v>
      </c>
      <c r="N25" s="13">
        <v>5739</v>
      </c>
      <c r="O25" s="6">
        <f t="shared" si="4"/>
        <v>11570</v>
      </c>
      <c r="P25" s="15">
        <v>17309</v>
      </c>
      <c r="Q25" s="7">
        <f t="shared" si="5"/>
        <v>0.69575528579467805</v>
      </c>
      <c r="R25" s="13">
        <v>16556</v>
      </c>
      <c r="S25" s="13">
        <v>1545</v>
      </c>
      <c r="T25" s="6">
        <f t="shared" si="6"/>
        <v>6768</v>
      </c>
      <c r="U25" s="14">
        <v>8313</v>
      </c>
      <c r="V25" s="7">
        <f t="shared" si="7"/>
        <v>0.50211403720705483</v>
      </c>
      <c r="W25" s="13">
        <v>16201</v>
      </c>
      <c r="X25" s="13">
        <v>1829</v>
      </c>
      <c r="Y25" s="6">
        <f t="shared" si="8"/>
        <v>6523</v>
      </c>
      <c r="Z25" s="14">
        <v>8352</v>
      </c>
      <c r="AA25" s="7">
        <f t="shared" si="9"/>
        <v>0.5155237331028949</v>
      </c>
      <c r="AB25" s="13">
        <v>26140</v>
      </c>
      <c r="AC25" s="13">
        <v>5993</v>
      </c>
      <c r="AD25" s="6">
        <f t="shared" si="10"/>
        <v>12081</v>
      </c>
      <c r="AE25" s="15">
        <v>18074</v>
      </c>
      <c r="AF25" s="7">
        <f t="shared" si="11"/>
        <v>0.69143075745983162</v>
      </c>
      <c r="AG25" s="13">
        <v>16090</v>
      </c>
      <c r="AH25" s="13">
        <v>1524</v>
      </c>
      <c r="AI25" s="6">
        <f t="shared" si="12"/>
        <v>6880</v>
      </c>
      <c r="AJ25" s="14">
        <v>8404</v>
      </c>
      <c r="AK25" s="7">
        <f t="shared" si="13"/>
        <v>0.52231199502796766</v>
      </c>
      <c r="AL25" s="13">
        <v>15981</v>
      </c>
      <c r="AM25" s="13">
        <v>1747</v>
      </c>
      <c r="AN25" s="6">
        <f t="shared" si="14"/>
        <v>6623</v>
      </c>
      <c r="AO25" s="14">
        <v>8370</v>
      </c>
      <c r="AP25" s="7">
        <f t="shared" si="15"/>
        <v>0.52374694950253431</v>
      </c>
      <c r="AQ25" s="13">
        <v>26428</v>
      </c>
      <c r="AR25" s="13">
        <v>7356</v>
      </c>
      <c r="AS25" s="6">
        <f t="shared" si="16"/>
        <v>10622</v>
      </c>
      <c r="AT25" s="15">
        <v>17978</v>
      </c>
      <c r="AU25" s="7">
        <f t="shared" si="17"/>
        <v>0.68026335704555774</v>
      </c>
      <c r="AV25" s="13">
        <v>15911</v>
      </c>
      <c r="AW25" s="13">
        <v>2477</v>
      </c>
      <c r="AX25" s="6">
        <f t="shared" si="18"/>
        <v>6032</v>
      </c>
      <c r="AY25" s="14">
        <v>8509</v>
      </c>
      <c r="AZ25" s="7">
        <f t="shared" si="19"/>
        <v>0.53478725410093642</v>
      </c>
      <c r="BA25" s="13">
        <v>15896</v>
      </c>
      <c r="BB25" s="13">
        <v>4547</v>
      </c>
      <c r="BC25" s="6">
        <f t="shared" si="20"/>
        <v>3836</v>
      </c>
      <c r="BD25" s="14">
        <v>8383</v>
      </c>
      <c r="BE25" s="7">
        <f t="shared" si="21"/>
        <v>0.52736537493709112</v>
      </c>
      <c r="BF25" s="13">
        <v>26706</v>
      </c>
      <c r="BG25" s="13">
        <v>10227</v>
      </c>
      <c r="BH25" s="6">
        <f t="shared" si="22"/>
        <v>7376</v>
      </c>
      <c r="BI25" s="15">
        <v>17603</v>
      </c>
      <c r="BJ25" s="7">
        <f t="shared" si="23"/>
        <v>0.65914026810454585</v>
      </c>
    </row>
    <row r="26" spans="1:62" x14ac:dyDescent="0.3">
      <c r="A26" s="21">
        <v>18</v>
      </c>
      <c r="B26" s="12" t="s">
        <v>24</v>
      </c>
      <c r="C26" s="13">
        <v>112018</v>
      </c>
      <c r="D26" s="13">
        <v>8261</v>
      </c>
      <c r="E26" s="6">
        <f t="shared" si="0"/>
        <v>40078</v>
      </c>
      <c r="F26" s="14">
        <v>48339</v>
      </c>
      <c r="G26" s="7">
        <f t="shared" si="1"/>
        <v>0.43152886143298397</v>
      </c>
      <c r="H26" s="13">
        <v>109409</v>
      </c>
      <c r="I26" s="13">
        <v>8829</v>
      </c>
      <c r="J26" s="6">
        <f t="shared" si="2"/>
        <v>39828</v>
      </c>
      <c r="K26" s="14">
        <v>48657</v>
      </c>
      <c r="L26" s="7">
        <f t="shared" si="3"/>
        <v>0.44472575382281165</v>
      </c>
      <c r="M26" s="13">
        <v>161175</v>
      </c>
      <c r="N26" s="13">
        <v>30568</v>
      </c>
      <c r="O26" s="6">
        <f t="shared" si="4"/>
        <v>84814</v>
      </c>
      <c r="P26" s="15">
        <v>115382</v>
      </c>
      <c r="Q26" s="7">
        <f t="shared" si="5"/>
        <v>0.71588025438188307</v>
      </c>
      <c r="R26" s="13">
        <v>103195</v>
      </c>
      <c r="S26" s="13">
        <v>8785</v>
      </c>
      <c r="T26" s="6">
        <f t="shared" si="6"/>
        <v>40748</v>
      </c>
      <c r="U26" s="14">
        <v>49533</v>
      </c>
      <c r="V26" s="7">
        <f t="shared" si="7"/>
        <v>0.47999418576481417</v>
      </c>
      <c r="W26" s="13">
        <v>101010</v>
      </c>
      <c r="X26" s="13">
        <v>9112</v>
      </c>
      <c r="Y26" s="6">
        <f t="shared" si="8"/>
        <v>40868</v>
      </c>
      <c r="Z26" s="14">
        <v>49980</v>
      </c>
      <c r="AA26" s="7">
        <f t="shared" si="9"/>
        <v>0.49480249480249483</v>
      </c>
      <c r="AB26" s="13">
        <v>167059</v>
      </c>
      <c r="AC26" s="13">
        <v>23526</v>
      </c>
      <c r="AD26" s="6">
        <f t="shared" si="10"/>
        <v>96132</v>
      </c>
      <c r="AE26" s="15">
        <v>119658</v>
      </c>
      <c r="AF26" s="7">
        <f t="shared" si="11"/>
        <v>0.71626191944163442</v>
      </c>
      <c r="AG26" s="13">
        <v>98900</v>
      </c>
      <c r="AH26" s="13">
        <v>8608</v>
      </c>
      <c r="AI26" s="6">
        <f t="shared" si="12"/>
        <v>42352</v>
      </c>
      <c r="AJ26" s="14">
        <v>50960</v>
      </c>
      <c r="AK26" s="7">
        <f t="shared" si="13"/>
        <v>0.51526794742163806</v>
      </c>
      <c r="AL26" s="13">
        <v>94250</v>
      </c>
      <c r="AM26" s="13">
        <v>9265</v>
      </c>
      <c r="AN26" s="6">
        <f t="shared" si="14"/>
        <v>43784</v>
      </c>
      <c r="AO26" s="14">
        <v>53049</v>
      </c>
      <c r="AP26" s="7">
        <f t="shared" si="15"/>
        <v>0.56285411140583552</v>
      </c>
      <c r="AQ26" s="13">
        <v>146205</v>
      </c>
      <c r="AR26" s="13">
        <v>57838</v>
      </c>
      <c r="AS26" s="6">
        <f t="shared" si="16"/>
        <v>62915</v>
      </c>
      <c r="AT26" s="15">
        <v>120753</v>
      </c>
      <c r="AU26" s="7">
        <f t="shared" si="17"/>
        <v>0.8259156663588797</v>
      </c>
      <c r="AV26" s="13">
        <v>71728</v>
      </c>
      <c r="AW26" s="13">
        <v>17893</v>
      </c>
      <c r="AX26" s="6">
        <f t="shared" si="18"/>
        <v>33620</v>
      </c>
      <c r="AY26" s="14">
        <v>51513</v>
      </c>
      <c r="AZ26" s="7">
        <f t="shared" si="19"/>
        <v>0.71817142538478695</v>
      </c>
      <c r="BA26" s="13">
        <v>70808</v>
      </c>
      <c r="BB26" s="13">
        <v>30124</v>
      </c>
      <c r="BC26" s="6">
        <f t="shared" si="20"/>
        <v>21393</v>
      </c>
      <c r="BD26" s="14">
        <v>51517</v>
      </c>
      <c r="BE26" s="7">
        <f t="shared" si="21"/>
        <v>0.7275590328776409</v>
      </c>
      <c r="BF26" s="13">
        <v>145908</v>
      </c>
      <c r="BG26" s="13">
        <v>61855</v>
      </c>
      <c r="BH26" s="6">
        <f t="shared" si="22"/>
        <v>57940</v>
      </c>
      <c r="BI26" s="15">
        <v>119795</v>
      </c>
      <c r="BJ26" s="7">
        <f t="shared" si="23"/>
        <v>0.8210310606683664</v>
      </c>
    </row>
    <row r="27" spans="1:62" x14ac:dyDescent="0.3">
      <c r="A27" s="21">
        <v>19</v>
      </c>
      <c r="B27" s="12" t="s">
        <v>25</v>
      </c>
      <c r="C27" s="13">
        <v>305268</v>
      </c>
      <c r="D27" s="13">
        <v>48391</v>
      </c>
      <c r="E27" s="6">
        <f t="shared" si="0"/>
        <v>125129</v>
      </c>
      <c r="F27" s="14">
        <v>173520</v>
      </c>
      <c r="G27" s="7">
        <f t="shared" si="1"/>
        <v>0.5684185699123393</v>
      </c>
      <c r="H27" s="13">
        <v>294634</v>
      </c>
      <c r="I27" s="13">
        <v>50100</v>
      </c>
      <c r="J27" s="6">
        <f t="shared" si="2"/>
        <v>123782</v>
      </c>
      <c r="K27" s="14">
        <v>173882</v>
      </c>
      <c r="L27" s="7">
        <f t="shared" si="3"/>
        <v>0.5901627103457171</v>
      </c>
      <c r="M27" s="13">
        <v>593424</v>
      </c>
      <c r="N27" s="13">
        <v>200817</v>
      </c>
      <c r="O27" s="6">
        <f t="shared" si="4"/>
        <v>303565</v>
      </c>
      <c r="P27" s="15">
        <v>504382</v>
      </c>
      <c r="Q27" s="7">
        <f t="shared" si="5"/>
        <v>0.84995214214457115</v>
      </c>
      <c r="R27" s="13">
        <v>274036</v>
      </c>
      <c r="S27" s="13">
        <v>49340</v>
      </c>
      <c r="T27" s="6">
        <f t="shared" si="6"/>
        <v>126749</v>
      </c>
      <c r="U27" s="14">
        <v>176089</v>
      </c>
      <c r="V27" s="7">
        <f t="shared" si="7"/>
        <v>0.64257615787706723</v>
      </c>
      <c r="W27" s="13">
        <v>268694</v>
      </c>
      <c r="X27" s="13">
        <v>51102</v>
      </c>
      <c r="Y27" s="6">
        <f t="shared" si="8"/>
        <v>125987</v>
      </c>
      <c r="Z27" s="14">
        <v>177089</v>
      </c>
      <c r="AA27" s="7">
        <f t="shared" si="9"/>
        <v>0.65907314640446013</v>
      </c>
      <c r="AB27" s="13">
        <v>607620</v>
      </c>
      <c r="AC27" s="13">
        <v>160374</v>
      </c>
      <c r="AD27" s="6">
        <f t="shared" si="10"/>
        <v>355302</v>
      </c>
      <c r="AE27" s="15">
        <v>515676</v>
      </c>
      <c r="AF27" s="7">
        <f t="shared" si="11"/>
        <v>0.84868174187814749</v>
      </c>
      <c r="AG27" s="13">
        <v>264148</v>
      </c>
      <c r="AH27" s="13">
        <v>46935</v>
      </c>
      <c r="AI27" s="6">
        <f t="shared" si="12"/>
        <v>131915</v>
      </c>
      <c r="AJ27" s="14">
        <v>178850</v>
      </c>
      <c r="AK27" s="7">
        <f t="shared" si="13"/>
        <v>0.67708254463406881</v>
      </c>
      <c r="AL27" s="13">
        <v>259704</v>
      </c>
      <c r="AM27" s="13">
        <v>58073</v>
      </c>
      <c r="AN27" s="6">
        <f t="shared" si="14"/>
        <v>122461</v>
      </c>
      <c r="AO27" s="14">
        <v>180534</v>
      </c>
      <c r="AP27" s="7">
        <f t="shared" si="15"/>
        <v>0.69515294335089184</v>
      </c>
      <c r="AQ27" s="13">
        <v>611342</v>
      </c>
      <c r="AR27" s="13">
        <v>312982</v>
      </c>
      <c r="AS27" s="6">
        <f t="shared" si="16"/>
        <v>208694</v>
      </c>
      <c r="AT27" s="15">
        <v>521676</v>
      </c>
      <c r="AU27" s="7">
        <f t="shared" si="17"/>
        <v>0.85332923306430775</v>
      </c>
      <c r="AV27" s="13">
        <v>246718</v>
      </c>
      <c r="AW27" s="13">
        <v>87747</v>
      </c>
      <c r="AX27" s="6">
        <f t="shared" si="18"/>
        <v>93712</v>
      </c>
      <c r="AY27" s="14">
        <v>181459</v>
      </c>
      <c r="AZ27" s="7">
        <f t="shared" si="19"/>
        <v>0.73549153284316504</v>
      </c>
      <c r="BA27" s="13">
        <v>240337</v>
      </c>
      <c r="BB27" s="13">
        <v>129485</v>
      </c>
      <c r="BC27" s="6">
        <f t="shared" si="20"/>
        <v>51793</v>
      </c>
      <c r="BD27" s="14">
        <v>181278</v>
      </c>
      <c r="BE27" s="7">
        <f t="shared" si="21"/>
        <v>0.75426588498649816</v>
      </c>
      <c r="BF27" s="13">
        <v>611625</v>
      </c>
      <c r="BG27" s="13">
        <v>335599</v>
      </c>
      <c r="BH27" s="6">
        <f t="shared" si="22"/>
        <v>179893</v>
      </c>
      <c r="BI27" s="15">
        <v>515492</v>
      </c>
      <c r="BJ27" s="7">
        <f t="shared" si="23"/>
        <v>0.84282362558757407</v>
      </c>
    </row>
    <row r="28" spans="1:62" x14ac:dyDescent="0.3">
      <c r="A28" s="21">
        <v>20</v>
      </c>
      <c r="B28" s="12" t="s">
        <v>26</v>
      </c>
      <c r="C28" s="13">
        <v>88905</v>
      </c>
      <c r="D28" s="13">
        <v>11151</v>
      </c>
      <c r="E28" s="6">
        <f t="shared" si="0"/>
        <v>39751</v>
      </c>
      <c r="F28" s="14">
        <v>50902</v>
      </c>
      <c r="G28" s="7">
        <f t="shared" si="1"/>
        <v>0.57254372644958096</v>
      </c>
      <c r="H28" s="13">
        <v>85852</v>
      </c>
      <c r="I28" s="13">
        <v>11517</v>
      </c>
      <c r="J28" s="6">
        <f t="shared" si="2"/>
        <v>39640</v>
      </c>
      <c r="K28" s="14">
        <v>51157</v>
      </c>
      <c r="L28" s="7">
        <f t="shared" si="3"/>
        <v>0.59587429529888647</v>
      </c>
      <c r="M28" s="13">
        <v>149800</v>
      </c>
      <c r="N28" s="13">
        <v>38601</v>
      </c>
      <c r="O28" s="6">
        <f t="shared" si="4"/>
        <v>85478</v>
      </c>
      <c r="P28" s="15">
        <v>124079</v>
      </c>
      <c r="Q28" s="7">
        <f t="shared" si="5"/>
        <v>0.8282977303070761</v>
      </c>
      <c r="R28" s="13">
        <v>79004</v>
      </c>
      <c r="S28" s="13">
        <v>11061</v>
      </c>
      <c r="T28" s="6">
        <f t="shared" si="6"/>
        <v>40795</v>
      </c>
      <c r="U28" s="14">
        <v>51856</v>
      </c>
      <c r="V28" s="7">
        <f t="shared" si="7"/>
        <v>0.65637182927446713</v>
      </c>
      <c r="W28" s="13">
        <v>76321</v>
      </c>
      <c r="X28" s="13">
        <v>11321</v>
      </c>
      <c r="Y28" s="6">
        <f t="shared" si="8"/>
        <v>40929</v>
      </c>
      <c r="Z28" s="14">
        <v>52250</v>
      </c>
      <c r="AA28" s="7">
        <f t="shared" si="9"/>
        <v>0.68460843018304263</v>
      </c>
      <c r="AB28" s="13">
        <v>151326</v>
      </c>
      <c r="AC28" s="13">
        <v>30208</v>
      </c>
      <c r="AD28" s="6">
        <f t="shared" si="10"/>
        <v>97401</v>
      </c>
      <c r="AE28" s="15">
        <v>127609</v>
      </c>
      <c r="AF28" s="7">
        <f t="shared" si="11"/>
        <v>0.84327214094075043</v>
      </c>
      <c r="AG28" s="13">
        <v>73311</v>
      </c>
      <c r="AH28" s="13">
        <v>10556</v>
      </c>
      <c r="AI28" s="6">
        <f t="shared" si="12"/>
        <v>42875</v>
      </c>
      <c r="AJ28" s="14">
        <v>53431</v>
      </c>
      <c r="AK28" s="7">
        <f t="shared" si="13"/>
        <v>0.72882650625417744</v>
      </c>
      <c r="AL28" s="13">
        <v>67502</v>
      </c>
      <c r="AM28" s="13">
        <v>13118</v>
      </c>
      <c r="AN28" s="6">
        <f t="shared" si="14"/>
        <v>40534</v>
      </c>
      <c r="AO28" s="14">
        <v>53652</v>
      </c>
      <c r="AP28" s="7">
        <f t="shared" si="15"/>
        <v>0.79482089419572755</v>
      </c>
      <c r="AQ28" s="13">
        <v>147404</v>
      </c>
      <c r="AR28" s="13">
        <v>72364</v>
      </c>
      <c r="AS28" s="6">
        <f t="shared" si="16"/>
        <v>57297</v>
      </c>
      <c r="AT28" s="15">
        <v>129661</v>
      </c>
      <c r="AU28" s="7">
        <f t="shared" si="17"/>
        <v>0.87963013215380859</v>
      </c>
      <c r="AV28" s="13">
        <v>63116</v>
      </c>
      <c r="AW28" s="13">
        <v>22759</v>
      </c>
      <c r="AX28" s="6">
        <f t="shared" si="18"/>
        <v>31289</v>
      </c>
      <c r="AY28" s="14">
        <v>54048</v>
      </c>
      <c r="AZ28" s="7">
        <f t="shared" si="19"/>
        <v>0.85632803092718168</v>
      </c>
      <c r="BA28" s="13">
        <v>59716</v>
      </c>
      <c r="BB28" s="13">
        <v>36278</v>
      </c>
      <c r="BC28" s="6">
        <f t="shared" si="20"/>
        <v>17480</v>
      </c>
      <c r="BD28" s="14">
        <v>53758</v>
      </c>
      <c r="BE28" s="7">
        <f t="shared" si="21"/>
        <v>0.90022774465804811</v>
      </c>
      <c r="BF28" s="13">
        <v>143561</v>
      </c>
      <c r="BG28" s="13">
        <v>79316</v>
      </c>
      <c r="BH28" s="6">
        <f t="shared" si="22"/>
        <v>48851</v>
      </c>
      <c r="BI28" s="15">
        <v>128167</v>
      </c>
      <c r="BJ28" s="7">
        <f t="shared" si="23"/>
        <v>0.89277032063025474</v>
      </c>
    </row>
    <row r="29" spans="1:62" x14ac:dyDescent="0.3">
      <c r="A29" s="21">
        <v>21</v>
      </c>
      <c r="B29" s="12" t="s">
        <v>27</v>
      </c>
      <c r="C29" s="13">
        <v>162206</v>
      </c>
      <c r="D29" s="13">
        <v>9313</v>
      </c>
      <c r="E29" s="6">
        <f t="shared" si="0"/>
        <v>57268</v>
      </c>
      <c r="F29" s="14">
        <v>66581</v>
      </c>
      <c r="G29" s="7">
        <f t="shared" si="1"/>
        <v>0.41047186910471867</v>
      </c>
      <c r="H29" s="13">
        <v>149172</v>
      </c>
      <c r="I29" s="13">
        <v>12941</v>
      </c>
      <c r="J29" s="6">
        <f t="shared" si="2"/>
        <v>53949</v>
      </c>
      <c r="K29" s="14">
        <v>66890</v>
      </c>
      <c r="L29" s="7">
        <f t="shared" si="3"/>
        <v>0.44840854852117018</v>
      </c>
      <c r="M29" s="13">
        <v>219769</v>
      </c>
      <c r="N29" s="13">
        <v>56216</v>
      </c>
      <c r="O29" s="6">
        <f t="shared" si="4"/>
        <v>127835</v>
      </c>
      <c r="P29" s="15">
        <v>184051</v>
      </c>
      <c r="Q29" s="7">
        <f t="shared" si="5"/>
        <v>0.83747480308869771</v>
      </c>
      <c r="R29" s="13">
        <v>104974</v>
      </c>
      <c r="S29" s="13">
        <v>13484</v>
      </c>
      <c r="T29" s="6">
        <f t="shared" si="6"/>
        <v>54560</v>
      </c>
      <c r="U29" s="14">
        <v>68044</v>
      </c>
      <c r="V29" s="7">
        <f t="shared" si="7"/>
        <v>0.64819860155848119</v>
      </c>
      <c r="W29" s="13">
        <v>99843</v>
      </c>
      <c r="X29" s="13">
        <v>13611</v>
      </c>
      <c r="Y29" s="6">
        <f t="shared" si="8"/>
        <v>55011</v>
      </c>
      <c r="Z29" s="14">
        <v>68622</v>
      </c>
      <c r="AA29" s="7">
        <f t="shared" si="9"/>
        <v>0.68729905952345183</v>
      </c>
      <c r="AB29" s="13">
        <v>220841</v>
      </c>
      <c r="AC29" s="13">
        <v>50596</v>
      </c>
      <c r="AD29" s="6">
        <f t="shared" si="10"/>
        <v>139528</v>
      </c>
      <c r="AE29" s="15">
        <v>190124</v>
      </c>
      <c r="AF29" s="7">
        <f t="shared" si="11"/>
        <v>0.86090897976372138</v>
      </c>
      <c r="AG29" s="13">
        <v>96497</v>
      </c>
      <c r="AH29" s="13">
        <v>13533</v>
      </c>
      <c r="AI29" s="6">
        <f t="shared" si="12"/>
        <v>56617</v>
      </c>
      <c r="AJ29" s="14">
        <v>70150</v>
      </c>
      <c r="AK29" s="7">
        <f t="shared" si="13"/>
        <v>0.72696560514834663</v>
      </c>
      <c r="AL29" s="13">
        <v>92661</v>
      </c>
      <c r="AM29" s="13">
        <v>16168</v>
      </c>
      <c r="AN29" s="6">
        <f t="shared" si="14"/>
        <v>55021</v>
      </c>
      <c r="AO29" s="14">
        <v>71189</v>
      </c>
      <c r="AP29" s="7">
        <f t="shared" si="15"/>
        <v>0.76827359946471552</v>
      </c>
      <c r="AQ29" s="13">
        <v>222288</v>
      </c>
      <c r="AR29" s="13">
        <v>102150</v>
      </c>
      <c r="AS29" s="6">
        <f t="shared" si="16"/>
        <v>93472</v>
      </c>
      <c r="AT29" s="15">
        <v>195622</v>
      </c>
      <c r="AU29" s="7">
        <f t="shared" si="17"/>
        <v>0.88003850860145394</v>
      </c>
      <c r="AV29" s="13">
        <v>91315</v>
      </c>
      <c r="AW29" s="13">
        <v>25637</v>
      </c>
      <c r="AX29" s="6">
        <f t="shared" si="18"/>
        <v>46321</v>
      </c>
      <c r="AY29" s="14">
        <v>71958</v>
      </c>
      <c r="AZ29" s="7">
        <f t="shared" si="19"/>
        <v>0.78801949296391616</v>
      </c>
      <c r="BA29" s="13">
        <v>88358</v>
      </c>
      <c r="BB29" s="13">
        <v>45831</v>
      </c>
      <c r="BC29" s="6">
        <f t="shared" si="20"/>
        <v>26364</v>
      </c>
      <c r="BD29" s="14">
        <v>72195</v>
      </c>
      <c r="BE29" s="7">
        <f t="shared" si="21"/>
        <v>0.81707372280947965</v>
      </c>
      <c r="BF29" s="13">
        <v>223069</v>
      </c>
      <c r="BG29" s="13">
        <v>119490</v>
      </c>
      <c r="BH29" s="6">
        <f t="shared" si="22"/>
        <v>74073</v>
      </c>
      <c r="BI29" s="15">
        <v>193563</v>
      </c>
      <c r="BJ29" s="7">
        <f t="shared" si="23"/>
        <v>0.86772702616679143</v>
      </c>
    </row>
    <row r="30" spans="1:62" x14ac:dyDescent="0.3">
      <c r="A30" s="21">
        <v>22</v>
      </c>
      <c r="B30" s="12" t="s">
        <v>45</v>
      </c>
      <c r="C30" s="13">
        <v>63451</v>
      </c>
      <c r="D30" s="13">
        <v>7987</v>
      </c>
      <c r="E30" s="6">
        <f t="shared" si="0"/>
        <v>29499</v>
      </c>
      <c r="F30" s="14">
        <v>37486</v>
      </c>
      <c r="G30" s="7">
        <f t="shared" si="1"/>
        <v>0.59078659122787658</v>
      </c>
      <c r="H30" s="13">
        <v>60187</v>
      </c>
      <c r="I30" s="13">
        <v>8525</v>
      </c>
      <c r="J30" s="6">
        <f t="shared" si="2"/>
        <v>29149</v>
      </c>
      <c r="K30" s="14">
        <v>37674</v>
      </c>
      <c r="L30" s="7">
        <f t="shared" si="3"/>
        <v>0.6259491252263778</v>
      </c>
      <c r="M30" s="13">
        <v>104773</v>
      </c>
      <c r="N30" s="13">
        <v>27682</v>
      </c>
      <c r="O30" s="6">
        <f t="shared" si="4"/>
        <v>65834</v>
      </c>
      <c r="P30" s="15">
        <v>93516</v>
      </c>
      <c r="Q30" s="7">
        <f t="shared" si="5"/>
        <v>0.89255819724547358</v>
      </c>
      <c r="R30" s="13">
        <v>53849</v>
      </c>
      <c r="S30" s="13">
        <v>8081</v>
      </c>
      <c r="T30" s="6">
        <f t="shared" si="6"/>
        <v>30046</v>
      </c>
      <c r="U30" s="14">
        <v>38127</v>
      </c>
      <c r="V30" s="7">
        <f t="shared" si="7"/>
        <v>0.70803543241285816</v>
      </c>
      <c r="W30" s="13">
        <v>52544</v>
      </c>
      <c r="X30" s="13">
        <v>8449</v>
      </c>
      <c r="Y30" s="6">
        <f t="shared" si="8"/>
        <v>29901</v>
      </c>
      <c r="Z30" s="14">
        <v>38350</v>
      </c>
      <c r="AA30" s="7">
        <f t="shared" si="9"/>
        <v>0.72986449451887947</v>
      </c>
      <c r="AB30" s="13">
        <v>107458</v>
      </c>
      <c r="AC30" s="13">
        <v>21696</v>
      </c>
      <c r="AD30" s="6">
        <f t="shared" si="10"/>
        <v>74164</v>
      </c>
      <c r="AE30" s="15">
        <v>95860</v>
      </c>
      <c r="AF30" s="7">
        <f t="shared" si="11"/>
        <v>0.89206945969588114</v>
      </c>
      <c r="AG30" s="13">
        <v>51279</v>
      </c>
      <c r="AH30" s="13">
        <v>7836</v>
      </c>
      <c r="AI30" s="6">
        <f t="shared" si="12"/>
        <v>31062</v>
      </c>
      <c r="AJ30" s="14">
        <v>38898</v>
      </c>
      <c r="AK30" s="7">
        <f t="shared" si="13"/>
        <v>0.75855613408997835</v>
      </c>
      <c r="AL30" s="13">
        <v>48984</v>
      </c>
      <c r="AM30" s="13">
        <v>10319</v>
      </c>
      <c r="AN30" s="6">
        <f t="shared" si="14"/>
        <v>28865</v>
      </c>
      <c r="AO30" s="14">
        <v>39184</v>
      </c>
      <c r="AP30" s="7">
        <f t="shared" si="15"/>
        <v>0.79993467254613748</v>
      </c>
      <c r="AQ30" s="13">
        <v>105112</v>
      </c>
      <c r="AR30" s="13">
        <v>56144</v>
      </c>
      <c r="AS30" s="6">
        <f t="shared" si="16"/>
        <v>41211</v>
      </c>
      <c r="AT30" s="15">
        <v>97355</v>
      </c>
      <c r="AU30" s="7">
        <f t="shared" si="17"/>
        <v>0.92620252682852577</v>
      </c>
      <c r="AV30" s="13">
        <v>46049</v>
      </c>
      <c r="AW30" s="13">
        <v>17226</v>
      </c>
      <c r="AX30" s="6">
        <f t="shared" si="18"/>
        <v>21818</v>
      </c>
      <c r="AY30" s="14">
        <v>39044</v>
      </c>
      <c r="AZ30" s="7">
        <f t="shared" si="19"/>
        <v>0.84787943277812761</v>
      </c>
      <c r="BA30" s="13">
        <v>45889</v>
      </c>
      <c r="BB30" s="13">
        <v>25407</v>
      </c>
      <c r="BC30" s="6">
        <f t="shared" si="20"/>
        <v>13561</v>
      </c>
      <c r="BD30" s="14">
        <v>38968</v>
      </c>
      <c r="BE30" s="7">
        <f t="shared" si="21"/>
        <v>0.84917954193815515</v>
      </c>
      <c r="BF30" s="13">
        <v>107069</v>
      </c>
      <c r="BG30" s="13">
        <v>59043</v>
      </c>
      <c r="BH30" s="6">
        <f t="shared" si="22"/>
        <v>37214</v>
      </c>
      <c r="BI30" s="15">
        <v>96257</v>
      </c>
      <c r="BJ30" s="7">
        <f t="shared" si="23"/>
        <v>0.89901839001018036</v>
      </c>
    </row>
    <row r="31" spans="1:62" x14ac:dyDescent="0.3">
      <c r="A31" s="21">
        <v>23</v>
      </c>
      <c r="B31" s="12" t="s">
        <v>28</v>
      </c>
      <c r="C31" s="13">
        <v>177325</v>
      </c>
      <c r="D31" s="13">
        <v>25130</v>
      </c>
      <c r="E31" s="6">
        <f t="shared" si="0"/>
        <v>77510</v>
      </c>
      <c r="F31" s="14">
        <v>102640</v>
      </c>
      <c r="G31" s="7">
        <f t="shared" si="1"/>
        <v>0.57882419286620612</v>
      </c>
      <c r="H31" s="13">
        <v>166338</v>
      </c>
      <c r="I31" s="13">
        <v>26553</v>
      </c>
      <c r="J31" s="6">
        <f t="shared" si="2"/>
        <v>76089</v>
      </c>
      <c r="K31" s="14">
        <v>102642</v>
      </c>
      <c r="L31" s="7">
        <f t="shared" si="3"/>
        <v>0.61706885979150883</v>
      </c>
      <c r="M31" s="13">
        <v>353290</v>
      </c>
      <c r="N31" s="13">
        <v>112241</v>
      </c>
      <c r="O31" s="6">
        <f t="shared" si="4"/>
        <v>205767</v>
      </c>
      <c r="P31" s="15">
        <v>318008</v>
      </c>
      <c r="Q31" s="7">
        <f t="shared" si="5"/>
        <v>0.90013303518356025</v>
      </c>
      <c r="R31" s="13">
        <v>149791</v>
      </c>
      <c r="S31" s="13">
        <v>25018</v>
      </c>
      <c r="T31" s="6">
        <f t="shared" si="6"/>
        <v>78519</v>
      </c>
      <c r="U31" s="14">
        <v>103537</v>
      </c>
      <c r="V31" s="7">
        <f t="shared" si="7"/>
        <v>0.69120975225480841</v>
      </c>
      <c r="W31" s="13">
        <v>145173</v>
      </c>
      <c r="X31" s="13">
        <v>25966</v>
      </c>
      <c r="Y31" s="6">
        <f t="shared" si="8"/>
        <v>77966</v>
      </c>
      <c r="Z31" s="14">
        <v>103932</v>
      </c>
      <c r="AA31" s="7">
        <f t="shared" si="9"/>
        <v>0.71591824926122627</v>
      </c>
      <c r="AB31" s="13">
        <v>359995</v>
      </c>
      <c r="AC31" s="13">
        <v>80485</v>
      </c>
      <c r="AD31" s="6">
        <f t="shared" si="10"/>
        <v>244292</v>
      </c>
      <c r="AE31" s="15">
        <v>324777</v>
      </c>
      <c r="AF31" s="7">
        <f t="shared" si="11"/>
        <v>0.90217086348421505</v>
      </c>
      <c r="AG31" s="13">
        <v>142536</v>
      </c>
      <c r="AH31" s="13">
        <v>22017</v>
      </c>
      <c r="AI31" s="6">
        <f t="shared" si="12"/>
        <v>83174</v>
      </c>
      <c r="AJ31" s="14">
        <v>105191</v>
      </c>
      <c r="AK31" s="7">
        <f t="shared" si="13"/>
        <v>0.737996015041814</v>
      </c>
      <c r="AL31" s="13">
        <v>138001</v>
      </c>
      <c r="AM31" s="13">
        <v>28630</v>
      </c>
      <c r="AN31" s="6">
        <f t="shared" si="14"/>
        <v>78241</v>
      </c>
      <c r="AO31" s="14">
        <v>106871</v>
      </c>
      <c r="AP31" s="7">
        <f t="shared" si="15"/>
        <v>0.77442192447880809</v>
      </c>
      <c r="AQ31" s="13">
        <v>354752</v>
      </c>
      <c r="AR31" s="13">
        <v>214331</v>
      </c>
      <c r="AS31" s="6">
        <f t="shared" si="16"/>
        <v>115100</v>
      </c>
      <c r="AT31" s="15">
        <v>329431</v>
      </c>
      <c r="AU31" s="7">
        <f t="shared" si="17"/>
        <v>0.92862337633050696</v>
      </c>
      <c r="AV31" s="13">
        <v>121996</v>
      </c>
      <c r="AW31" s="13">
        <v>52770</v>
      </c>
      <c r="AX31" s="6">
        <f t="shared" si="18"/>
        <v>53860</v>
      </c>
      <c r="AY31" s="14">
        <v>106630</v>
      </c>
      <c r="AZ31" s="7">
        <f t="shared" si="19"/>
        <v>0.87404505065739857</v>
      </c>
      <c r="BA31" s="13">
        <v>118866</v>
      </c>
      <c r="BB31" s="13">
        <v>77968</v>
      </c>
      <c r="BC31" s="6">
        <f t="shared" si="20"/>
        <v>27956</v>
      </c>
      <c r="BD31" s="14">
        <v>105924</v>
      </c>
      <c r="BE31" s="7">
        <f t="shared" si="21"/>
        <v>0.89112109434152742</v>
      </c>
      <c r="BF31" s="13">
        <v>351474</v>
      </c>
      <c r="BG31" s="13">
        <v>210728</v>
      </c>
      <c r="BH31" s="6">
        <f t="shared" si="22"/>
        <v>114604</v>
      </c>
      <c r="BI31" s="15">
        <v>325332</v>
      </c>
      <c r="BJ31" s="7">
        <f t="shared" si="23"/>
        <v>0.92562180986360298</v>
      </c>
    </row>
    <row r="32" spans="1:62" x14ac:dyDescent="0.3">
      <c r="A32" s="21">
        <v>24</v>
      </c>
      <c r="B32" s="12" t="s">
        <v>46</v>
      </c>
      <c r="C32" s="13">
        <v>399204</v>
      </c>
      <c r="D32" s="13">
        <v>111838</v>
      </c>
      <c r="E32" s="6">
        <f t="shared" si="0"/>
        <v>139152</v>
      </c>
      <c r="F32" s="14">
        <v>250990</v>
      </c>
      <c r="G32" s="7">
        <f t="shared" si="1"/>
        <v>0.62872616506848633</v>
      </c>
      <c r="H32" s="13">
        <v>382894</v>
      </c>
      <c r="I32" s="13">
        <v>116129</v>
      </c>
      <c r="J32" s="6">
        <f t="shared" si="2"/>
        <v>135152</v>
      </c>
      <c r="K32" s="14">
        <v>251281</v>
      </c>
      <c r="L32" s="7">
        <f t="shared" si="3"/>
        <v>0.65626779213045905</v>
      </c>
      <c r="M32" s="13">
        <v>877062</v>
      </c>
      <c r="N32" s="13">
        <v>468729</v>
      </c>
      <c r="O32" s="6">
        <f t="shared" si="4"/>
        <v>334423</v>
      </c>
      <c r="P32" s="15">
        <v>803152</v>
      </c>
      <c r="Q32" s="7">
        <f t="shared" si="5"/>
        <v>0.91573001680610944</v>
      </c>
      <c r="R32" s="13">
        <v>340947</v>
      </c>
      <c r="S32" s="13">
        <v>101809</v>
      </c>
      <c r="T32" s="6">
        <f t="shared" si="6"/>
        <v>151419</v>
      </c>
      <c r="U32" s="14">
        <v>253228</v>
      </c>
      <c r="V32" s="7">
        <f t="shared" si="7"/>
        <v>0.74271954292016062</v>
      </c>
      <c r="W32" s="13">
        <v>329795</v>
      </c>
      <c r="X32" s="13">
        <v>113433</v>
      </c>
      <c r="Y32" s="6">
        <f t="shared" si="8"/>
        <v>140549</v>
      </c>
      <c r="Z32" s="14">
        <v>253982</v>
      </c>
      <c r="AA32" s="7">
        <f t="shared" si="9"/>
        <v>0.77012083263845721</v>
      </c>
      <c r="AB32" s="13">
        <v>884817</v>
      </c>
      <c r="AC32" s="13">
        <v>375641</v>
      </c>
      <c r="AD32" s="6">
        <f t="shared" si="10"/>
        <v>442907</v>
      </c>
      <c r="AE32" s="15">
        <v>818548</v>
      </c>
      <c r="AF32" s="7">
        <f t="shared" si="11"/>
        <v>0.92510428710117454</v>
      </c>
      <c r="AG32" s="13">
        <v>320380</v>
      </c>
      <c r="AH32" s="13">
        <v>91725</v>
      </c>
      <c r="AI32" s="6">
        <f t="shared" si="12"/>
        <v>164314</v>
      </c>
      <c r="AJ32" s="14">
        <v>256039</v>
      </c>
      <c r="AK32" s="7">
        <f t="shared" si="13"/>
        <v>0.7991728572320369</v>
      </c>
      <c r="AL32" s="13">
        <v>311565</v>
      </c>
      <c r="AM32" s="13">
        <v>128059</v>
      </c>
      <c r="AN32" s="6">
        <f t="shared" si="14"/>
        <v>130380</v>
      </c>
      <c r="AO32" s="14">
        <v>258439</v>
      </c>
      <c r="AP32" s="7">
        <f t="shared" si="15"/>
        <v>0.82948662397894501</v>
      </c>
      <c r="AQ32" s="13">
        <v>877839</v>
      </c>
      <c r="AR32" s="13">
        <v>661872</v>
      </c>
      <c r="AS32" s="6">
        <f t="shared" si="16"/>
        <v>171124</v>
      </c>
      <c r="AT32" s="15">
        <v>832996</v>
      </c>
      <c r="AU32" s="7">
        <f t="shared" si="17"/>
        <v>0.94891660088011587</v>
      </c>
      <c r="AV32" s="13">
        <v>297941</v>
      </c>
      <c r="AW32" s="13">
        <v>180734</v>
      </c>
      <c r="AX32" s="6">
        <f t="shared" si="18"/>
        <v>79196</v>
      </c>
      <c r="AY32" s="14">
        <v>259930</v>
      </c>
      <c r="AZ32" s="7">
        <f t="shared" si="19"/>
        <v>0.87242104980516277</v>
      </c>
      <c r="BA32" s="13">
        <v>294413</v>
      </c>
      <c r="BB32" s="13">
        <v>224639</v>
      </c>
      <c r="BC32" s="6">
        <f t="shared" si="20"/>
        <v>35886</v>
      </c>
      <c r="BD32" s="14">
        <v>260525</v>
      </c>
      <c r="BE32" s="7">
        <f t="shared" si="21"/>
        <v>0.88489638704812623</v>
      </c>
      <c r="BF32" s="13">
        <v>893063</v>
      </c>
      <c r="BG32" s="13">
        <v>680053</v>
      </c>
      <c r="BH32" s="6">
        <f t="shared" si="22"/>
        <v>159632</v>
      </c>
      <c r="BI32" s="15">
        <v>839685</v>
      </c>
      <c r="BJ32" s="7">
        <f t="shared" si="23"/>
        <v>0.94023042047425542</v>
      </c>
    </row>
    <row r="33" spans="1:62" x14ac:dyDescent="0.3">
      <c r="A33" s="21">
        <v>25</v>
      </c>
      <c r="B33" s="12" t="s">
        <v>29</v>
      </c>
      <c r="C33" s="13">
        <v>3988</v>
      </c>
      <c r="D33" s="13">
        <v>1456</v>
      </c>
      <c r="E33" s="6">
        <f t="shared" si="0"/>
        <v>1324</v>
      </c>
      <c r="F33" s="14">
        <v>2780</v>
      </c>
      <c r="G33" s="7">
        <f t="shared" si="1"/>
        <v>0.69709127382146441</v>
      </c>
      <c r="H33" s="13">
        <v>3817</v>
      </c>
      <c r="I33" s="13">
        <v>1452</v>
      </c>
      <c r="J33" s="6">
        <f t="shared" si="2"/>
        <v>1312</v>
      </c>
      <c r="K33" s="14">
        <v>2764</v>
      </c>
      <c r="L33" s="7">
        <f t="shared" si="3"/>
        <v>0.72412889703955985</v>
      </c>
      <c r="M33" s="13">
        <v>5816</v>
      </c>
      <c r="N33" s="13">
        <v>2971</v>
      </c>
      <c r="O33" s="6">
        <f t="shared" si="4"/>
        <v>2443</v>
      </c>
      <c r="P33" s="15">
        <v>5414</v>
      </c>
      <c r="Q33" s="7">
        <f t="shared" si="5"/>
        <v>0.93088033012379645</v>
      </c>
      <c r="R33" s="13">
        <v>3338</v>
      </c>
      <c r="S33" s="13">
        <v>1463</v>
      </c>
      <c r="T33" s="6">
        <f t="shared" si="6"/>
        <v>1291</v>
      </c>
      <c r="U33" s="14">
        <v>2754</v>
      </c>
      <c r="V33" s="7">
        <f t="shared" si="7"/>
        <v>0.82504493708807669</v>
      </c>
      <c r="W33" s="13">
        <v>3273</v>
      </c>
      <c r="X33" s="13">
        <v>1498</v>
      </c>
      <c r="Y33" s="6">
        <f t="shared" si="8"/>
        <v>1261</v>
      </c>
      <c r="Z33" s="14">
        <v>2759</v>
      </c>
      <c r="AA33" s="7">
        <f t="shared" si="9"/>
        <v>0.84295753131683471</v>
      </c>
      <c r="AB33" s="13">
        <v>5835</v>
      </c>
      <c r="AC33" s="13">
        <v>2587</v>
      </c>
      <c r="AD33" s="6">
        <f t="shared" si="10"/>
        <v>2834</v>
      </c>
      <c r="AE33" s="15">
        <v>5421</v>
      </c>
      <c r="AF33" s="7">
        <f t="shared" si="11"/>
        <v>0.92904884318766068</v>
      </c>
      <c r="AG33" s="13">
        <v>3229</v>
      </c>
      <c r="AH33" s="13">
        <v>1413</v>
      </c>
      <c r="AI33" s="6">
        <f t="shared" si="12"/>
        <v>1338</v>
      </c>
      <c r="AJ33" s="14">
        <v>2751</v>
      </c>
      <c r="AK33" s="7">
        <f t="shared" si="13"/>
        <v>0.85196655311241876</v>
      </c>
      <c r="AL33" s="13">
        <v>3188</v>
      </c>
      <c r="AM33" s="13">
        <v>1636</v>
      </c>
      <c r="AN33" s="6">
        <f t="shared" si="14"/>
        <v>1151</v>
      </c>
      <c r="AO33" s="14">
        <v>2787</v>
      </c>
      <c r="AP33" s="7">
        <f t="shared" si="15"/>
        <v>0.87421580928481801</v>
      </c>
      <c r="AQ33" s="13">
        <v>5767</v>
      </c>
      <c r="AR33" s="13">
        <v>3777</v>
      </c>
      <c r="AS33" s="6">
        <f t="shared" si="16"/>
        <v>1656</v>
      </c>
      <c r="AT33" s="15">
        <v>5433</v>
      </c>
      <c r="AU33" s="7">
        <f t="shared" si="17"/>
        <v>0.94208427258539973</v>
      </c>
      <c r="AV33" s="13">
        <v>3105</v>
      </c>
      <c r="AW33" s="13">
        <v>1877</v>
      </c>
      <c r="AX33" s="6">
        <f t="shared" si="18"/>
        <v>899</v>
      </c>
      <c r="AY33" s="14">
        <v>2776</v>
      </c>
      <c r="AZ33" s="7">
        <f t="shared" si="19"/>
        <v>0.89404186795491147</v>
      </c>
      <c r="BA33" s="13">
        <v>3077</v>
      </c>
      <c r="BB33" s="13">
        <v>2328</v>
      </c>
      <c r="BC33" s="6">
        <f t="shared" si="20"/>
        <v>445</v>
      </c>
      <c r="BD33" s="14">
        <v>2773</v>
      </c>
      <c r="BE33" s="7">
        <f t="shared" si="21"/>
        <v>0.90120246993825159</v>
      </c>
      <c r="BF33" s="13">
        <v>5841</v>
      </c>
      <c r="BG33" s="13">
        <v>4145</v>
      </c>
      <c r="BH33" s="6">
        <f t="shared" si="22"/>
        <v>1274</v>
      </c>
      <c r="BI33" s="15">
        <v>5419</v>
      </c>
      <c r="BJ33" s="7">
        <f t="shared" si="23"/>
        <v>0.92775209724362262</v>
      </c>
    </row>
    <row r="34" spans="1:62" x14ac:dyDescent="0.3">
      <c r="A34" s="21">
        <v>26</v>
      </c>
      <c r="B34" s="12" t="s">
        <v>30</v>
      </c>
      <c r="C34" s="13">
        <v>5203</v>
      </c>
      <c r="D34" s="13">
        <v>1758</v>
      </c>
      <c r="E34" s="6">
        <f t="shared" si="0"/>
        <v>1651</v>
      </c>
      <c r="F34" s="14">
        <v>3409</v>
      </c>
      <c r="G34" s="7">
        <f t="shared" si="1"/>
        <v>0.65519892369786659</v>
      </c>
      <c r="H34" s="13">
        <v>5064</v>
      </c>
      <c r="I34" s="13">
        <v>1806</v>
      </c>
      <c r="J34" s="6">
        <f t="shared" si="2"/>
        <v>1613</v>
      </c>
      <c r="K34" s="14">
        <v>3419</v>
      </c>
      <c r="L34" s="7">
        <f t="shared" si="3"/>
        <v>0.67515797788309639</v>
      </c>
      <c r="M34" s="13">
        <v>8364</v>
      </c>
      <c r="N34" s="13">
        <v>3920</v>
      </c>
      <c r="O34" s="6">
        <f t="shared" si="4"/>
        <v>3506</v>
      </c>
      <c r="P34" s="15">
        <v>7426</v>
      </c>
      <c r="Q34" s="7">
        <f t="shared" si="5"/>
        <v>0.8878527020564323</v>
      </c>
      <c r="R34" s="13">
        <v>4659</v>
      </c>
      <c r="S34" s="13">
        <v>1715</v>
      </c>
      <c r="T34" s="6">
        <f t="shared" si="6"/>
        <v>1731</v>
      </c>
      <c r="U34" s="14">
        <v>3446</v>
      </c>
      <c r="V34" s="7">
        <f t="shared" si="7"/>
        <v>0.73964370036488514</v>
      </c>
      <c r="W34" s="13">
        <v>4528</v>
      </c>
      <c r="X34" s="13">
        <v>1766</v>
      </c>
      <c r="Y34" s="6">
        <f t="shared" si="8"/>
        <v>1691</v>
      </c>
      <c r="Z34" s="14">
        <v>3457</v>
      </c>
      <c r="AA34" s="7">
        <f t="shared" si="9"/>
        <v>0.76347173144876324</v>
      </c>
      <c r="AB34" s="13">
        <v>8395</v>
      </c>
      <c r="AC34" s="13">
        <v>3369</v>
      </c>
      <c r="AD34" s="6">
        <f t="shared" si="10"/>
        <v>4193</v>
      </c>
      <c r="AE34" s="15">
        <v>7562</v>
      </c>
      <c r="AF34" s="7">
        <f t="shared" si="11"/>
        <v>0.90077427039904701</v>
      </c>
      <c r="AG34" s="13">
        <v>4227</v>
      </c>
      <c r="AH34" s="13">
        <v>1727</v>
      </c>
      <c r="AI34" s="6">
        <f t="shared" si="12"/>
        <v>1790</v>
      </c>
      <c r="AJ34" s="14">
        <v>3517</v>
      </c>
      <c r="AK34" s="7">
        <f t="shared" si="13"/>
        <v>0.8320321741187604</v>
      </c>
      <c r="AL34" s="13">
        <v>3917</v>
      </c>
      <c r="AM34" s="13">
        <v>2059</v>
      </c>
      <c r="AN34" s="6">
        <f t="shared" si="14"/>
        <v>1468</v>
      </c>
      <c r="AO34" s="14">
        <v>3527</v>
      </c>
      <c r="AP34" s="7">
        <f t="shared" si="15"/>
        <v>0.9004340056165433</v>
      </c>
      <c r="AQ34" s="13">
        <v>7976</v>
      </c>
      <c r="AR34" s="13">
        <v>5484</v>
      </c>
      <c r="AS34" s="6">
        <f t="shared" si="16"/>
        <v>2067</v>
      </c>
      <c r="AT34" s="15">
        <v>7551</v>
      </c>
      <c r="AU34" s="7">
        <f t="shared" si="17"/>
        <v>0.94671514543630897</v>
      </c>
      <c r="AV34" s="13">
        <v>4000</v>
      </c>
      <c r="AW34" s="13">
        <v>2576</v>
      </c>
      <c r="AX34" s="6">
        <f t="shared" si="18"/>
        <v>959</v>
      </c>
      <c r="AY34" s="14">
        <v>3535</v>
      </c>
      <c r="AZ34" s="7">
        <f t="shared" si="19"/>
        <v>0.88375000000000004</v>
      </c>
      <c r="BA34" s="13">
        <v>4015</v>
      </c>
      <c r="BB34" s="13">
        <v>3139</v>
      </c>
      <c r="BC34" s="6">
        <f t="shared" si="20"/>
        <v>410</v>
      </c>
      <c r="BD34" s="14">
        <v>3549</v>
      </c>
      <c r="BE34" s="7">
        <f t="shared" si="21"/>
        <v>0.88393524283935243</v>
      </c>
      <c r="BF34" s="13">
        <v>8238</v>
      </c>
      <c r="BG34" s="13">
        <v>5797</v>
      </c>
      <c r="BH34" s="6">
        <f t="shared" si="22"/>
        <v>1801</v>
      </c>
      <c r="BI34" s="15">
        <v>7598</v>
      </c>
      <c r="BJ34" s="7">
        <f t="shared" si="23"/>
        <v>0.92231124059237679</v>
      </c>
    </row>
    <row r="35" spans="1:62" x14ac:dyDescent="0.3">
      <c r="A35" s="21">
        <v>27</v>
      </c>
      <c r="B35" s="12" t="s">
        <v>47</v>
      </c>
      <c r="C35" s="13">
        <v>705207</v>
      </c>
      <c r="D35" s="13">
        <v>136414</v>
      </c>
      <c r="E35" s="6">
        <f t="shared" si="0"/>
        <v>222269</v>
      </c>
      <c r="F35" s="14">
        <v>358683</v>
      </c>
      <c r="G35" s="7">
        <f t="shared" si="1"/>
        <v>0.50862087302026215</v>
      </c>
      <c r="H35" s="13">
        <v>678572</v>
      </c>
      <c r="I35" s="13">
        <v>140050</v>
      </c>
      <c r="J35" s="6">
        <f t="shared" si="2"/>
        <v>218735</v>
      </c>
      <c r="K35" s="14">
        <v>358785</v>
      </c>
      <c r="L35" s="7">
        <f t="shared" si="3"/>
        <v>0.52873534422286805</v>
      </c>
      <c r="M35" s="13">
        <v>1405014</v>
      </c>
      <c r="N35" s="13">
        <v>569967</v>
      </c>
      <c r="O35" s="6">
        <f t="shared" si="4"/>
        <v>635979</v>
      </c>
      <c r="P35" s="15">
        <v>1205946</v>
      </c>
      <c r="Q35" s="7">
        <f t="shared" si="5"/>
        <v>0.85831600254517038</v>
      </c>
      <c r="R35" s="13">
        <v>600814</v>
      </c>
      <c r="S35" s="13">
        <v>131262</v>
      </c>
      <c r="T35" s="6">
        <f t="shared" si="6"/>
        <v>231465</v>
      </c>
      <c r="U35" s="14">
        <v>362727</v>
      </c>
      <c r="V35" s="7">
        <f t="shared" si="7"/>
        <v>0.60372594513443434</v>
      </c>
      <c r="W35" s="13">
        <v>577797</v>
      </c>
      <c r="X35" s="13">
        <v>139003</v>
      </c>
      <c r="Y35" s="6">
        <f t="shared" si="8"/>
        <v>225100</v>
      </c>
      <c r="Z35" s="14">
        <v>364103</v>
      </c>
      <c r="AA35" s="7">
        <f t="shared" si="9"/>
        <v>0.6301573043819888</v>
      </c>
      <c r="AB35" s="13">
        <v>1416919</v>
      </c>
      <c r="AC35" s="13">
        <v>452291</v>
      </c>
      <c r="AD35" s="6">
        <f t="shared" si="10"/>
        <v>775490</v>
      </c>
      <c r="AE35" s="15">
        <v>1227781</v>
      </c>
      <c r="AF35" s="7">
        <f t="shared" si="11"/>
        <v>0.86651459963484156</v>
      </c>
      <c r="AG35" s="13">
        <v>553324</v>
      </c>
      <c r="AH35" s="13">
        <v>122665</v>
      </c>
      <c r="AI35" s="6">
        <f t="shared" si="12"/>
        <v>245047</v>
      </c>
      <c r="AJ35" s="14">
        <v>367712</v>
      </c>
      <c r="AK35" s="7">
        <f t="shared" si="13"/>
        <v>0.66455096832958627</v>
      </c>
      <c r="AL35" s="13">
        <v>528988</v>
      </c>
      <c r="AM35" s="13">
        <v>154904</v>
      </c>
      <c r="AN35" s="6">
        <f t="shared" si="14"/>
        <v>217289</v>
      </c>
      <c r="AO35" s="14">
        <v>372193</v>
      </c>
      <c r="AP35" s="7">
        <f t="shared" si="15"/>
        <v>0.70359441045921645</v>
      </c>
      <c r="AQ35" s="13">
        <v>1379433</v>
      </c>
      <c r="AR35" s="13">
        <v>874896</v>
      </c>
      <c r="AS35" s="6">
        <f t="shared" si="16"/>
        <v>367216</v>
      </c>
      <c r="AT35" s="15">
        <v>1242112</v>
      </c>
      <c r="AU35" s="7">
        <f t="shared" si="17"/>
        <v>0.90045112738349742</v>
      </c>
      <c r="AV35" s="13">
        <v>465114</v>
      </c>
      <c r="AW35" s="13">
        <v>221373</v>
      </c>
      <c r="AX35" s="6">
        <f t="shared" si="18"/>
        <v>150892</v>
      </c>
      <c r="AY35" s="14">
        <v>372265</v>
      </c>
      <c r="AZ35" s="7">
        <f t="shared" si="19"/>
        <v>0.80037367183099195</v>
      </c>
      <c r="BA35" s="13">
        <v>457177</v>
      </c>
      <c r="BB35" s="13">
        <v>284183</v>
      </c>
      <c r="BC35" s="6">
        <f t="shared" si="20"/>
        <v>87732</v>
      </c>
      <c r="BD35" s="14">
        <v>371915</v>
      </c>
      <c r="BE35" s="7">
        <f t="shared" si="21"/>
        <v>0.81350330397198456</v>
      </c>
      <c r="BF35" s="13">
        <v>1380633</v>
      </c>
      <c r="BG35" s="13">
        <v>751562</v>
      </c>
      <c r="BH35" s="6">
        <f t="shared" si="22"/>
        <v>474374</v>
      </c>
      <c r="BI35" s="15">
        <v>1225936</v>
      </c>
      <c r="BJ35" s="7">
        <f t="shared" si="23"/>
        <v>0.88795212051283723</v>
      </c>
    </row>
    <row r="36" spans="1:62" x14ac:dyDescent="0.3">
      <c r="A36" s="21">
        <v>29</v>
      </c>
      <c r="B36" s="12" t="s">
        <v>31</v>
      </c>
      <c r="C36" s="13">
        <v>497177</v>
      </c>
      <c r="D36" s="13">
        <v>108371</v>
      </c>
      <c r="E36" s="6">
        <f t="shared" si="0"/>
        <v>256593</v>
      </c>
      <c r="F36" s="14">
        <v>364964</v>
      </c>
      <c r="G36" s="7">
        <f t="shared" si="1"/>
        <v>0.73407257375140045</v>
      </c>
      <c r="H36" s="13">
        <v>485610</v>
      </c>
      <c r="I36" s="13">
        <v>107614</v>
      </c>
      <c r="J36" s="6">
        <f t="shared" si="2"/>
        <v>259083</v>
      </c>
      <c r="K36" s="14">
        <v>366697</v>
      </c>
      <c r="L36" s="7">
        <f t="shared" si="3"/>
        <v>0.75512654187516737</v>
      </c>
      <c r="M36" s="13">
        <v>710827</v>
      </c>
      <c r="N36" s="13">
        <v>238182</v>
      </c>
      <c r="O36" s="6">
        <f t="shared" si="4"/>
        <v>373990</v>
      </c>
      <c r="P36" s="15">
        <v>612172</v>
      </c>
      <c r="Q36" s="7">
        <f t="shared" si="5"/>
        <v>0.86121095568964035</v>
      </c>
      <c r="R36" s="13">
        <v>464623</v>
      </c>
      <c r="S36" s="13">
        <v>96586</v>
      </c>
      <c r="T36" s="6">
        <f t="shared" si="6"/>
        <v>276266</v>
      </c>
      <c r="U36" s="14">
        <v>372852</v>
      </c>
      <c r="V36" s="7">
        <f t="shared" si="7"/>
        <v>0.80248287321118417</v>
      </c>
      <c r="W36" s="13">
        <v>451202</v>
      </c>
      <c r="X36" s="13">
        <v>104623</v>
      </c>
      <c r="Y36" s="6">
        <f t="shared" si="8"/>
        <v>271106</v>
      </c>
      <c r="Z36" s="14">
        <v>375729</v>
      </c>
      <c r="AA36" s="7">
        <f t="shared" si="9"/>
        <v>0.83272902159121631</v>
      </c>
      <c r="AB36" s="13">
        <v>709880</v>
      </c>
      <c r="AC36" s="13">
        <v>201230</v>
      </c>
      <c r="AD36" s="6">
        <f t="shared" si="10"/>
        <v>427601</v>
      </c>
      <c r="AE36" s="15">
        <v>628831</v>
      </c>
      <c r="AF36" s="7">
        <f t="shared" si="11"/>
        <v>0.88582718205893951</v>
      </c>
      <c r="AG36" s="13">
        <v>448411</v>
      </c>
      <c r="AH36" s="13">
        <v>99248</v>
      </c>
      <c r="AI36" s="6">
        <f t="shared" si="12"/>
        <v>282645</v>
      </c>
      <c r="AJ36" s="14">
        <v>381893</v>
      </c>
      <c r="AK36" s="7">
        <f t="shared" si="13"/>
        <v>0.85165841159115185</v>
      </c>
      <c r="AL36" s="13">
        <v>443261</v>
      </c>
      <c r="AM36" s="13">
        <v>125863</v>
      </c>
      <c r="AN36" s="6">
        <f t="shared" si="14"/>
        <v>260449</v>
      </c>
      <c r="AO36" s="14">
        <v>386312</v>
      </c>
      <c r="AP36" s="7">
        <f t="shared" si="15"/>
        <v>0.87152264692810777</v>
      </c>
      <c r="AQ36" s="13">
        <v>723207</v>
      </c>
      <c r="AR36" s="13">
        <v>383704</v>
      </c>
      <c r="AS36" s="6">
        <f t="shared" si="16"/>
        <v>261050</v>
      </c>
      <c r="AT36" s="15">
        <v>644754</v>
      </c>
      <c r="AU36" s="7">
        <f t="shared" si="17"/>
        <v>0.8915206849491224</v>
      </c>
      <c r="AV36" s="13">
        <v>443230</v>
      </c>
      <c r="AW36" s="13">
        <v>194070</v>
      </c>
      <c r="AX36" s="6">
        <f t="shared" si="18"/>
        <v>196211</v>
      </c>
      <c r="AY36" s="14">
        <v>390281</v>
      </c>
      <c r="AZ36" s="7">
        <f t="shared" si="19"/>
        <v>0.88053832096202878</v>
      </c>
      <c r="BA36" s="13">
        <v>443322</v>
      </c>
      <c r="BB36" s="13">
        <v>301218</v>
      </c>
      <c r="BC36" s="6">
        <f t="shared" si="20"/>
        <v>88449</v>
      </c>
      <c r="BD36" s="14">
        <v>389667</v>
      </c>
      <c r="BE36" s="7">
        <f t="shared" si="21"/>
        <v>0.87897059022561475</v>
      </c>
      <c r="BF36" s="13">
        <v>734800</v>
      </c>
      <c r="BG36" s="13">
        <v>452875</v>
      </c>
      <c r="BH36" s="6">
        <f t="shared" si="22"/>
        <v>185079</v>
      </c>
      <c r="BI36" s="15">
        <v>637954</v>
      </c>
      <c r="BJ36" s="7">
        <f t="shared" si="23"/>
        <v>0.86820087098530208</v>
      </c>
    </row>
    <row r="37" spans="1:62" x14ac:dyDescent="0.3">
      <c r="A37" s="21">
        <v>30</v>
      </c>
      <c r="B37" s="12" t="s">
        <v>32</v>
      </c>
      <c r="C37" s="13">
        <v>21309</v>
      </c>
      <c r="D37" s="13">
        <v>4590</v>
      </c>
      <c r="E37" s="6">
        <f t="shared" si="0"/>
        <v>7226</v>
      </c>
      <c r="F37" s="14">
        <v>11816</v>
      </c>
      <c r="G37" s="7">
        <f t="shared" si="1"/>
        <v>0.55450748510019243</v>
      </c>
      <c r="H37" s="13">
        <v>20779</v>
      </c>
      <c r="I37" s="13">
        <v>4600</v>
      </c>
      <c r="J37" s="6">
        <f t="shared" si="2"/>
        <v>7245</v>
      </c>
      <c r="K37" s="14">
        <v>11845</v>
      </c>
      <c r="L37" s="7">
        <f t="shared" si="3"/>
        <v>0.5700466817459936</v>
      </c>
      <c r="M37" s="13">
        <v>33757</v>
      </c>
      <c r="N37" s="13">
        <v>13260</v>
      </c>
      <c r="O37" s="6">
        <f t="shared" si="4"/>
        <v>15105</v>
      </c>
      <c r="P37" s="15">
        <v>28365</v>
      </c>
      <c r="Q37" s="7">
        <f t="shared" si="5"/>
        <v>0.84027016618775363</v>
      </c>
      <c r="R37" s="13">
        <v>19308</v>
      </c>
      <c r="S37" s="13">
        <v>4383</v>
      </c>
      <c r="T37" s="6">
        <f t="shared" si="6"/>
        <v>7594</v>
      </c>
      <c r="U37" s="14">
        <v>11977</v>
      </c>
      <c r="V37" s="7">
        <f t="shared" si="7"/>
        <v>0.62031282370002072</v>
      </c>
      <c r="W37" s="13">
        <v>18815</v>
      </c>
      <c r="X37" s="13">
        <v>4453</v>
      </c>
      <c r="Y37" s="6">
        <f t="shared" si="8"/>
        <v>7582</v>
      </c>
      <c r="Z37" s="14">
        <v>12035</v>
      </c>
      <c r="AA37" s="7">
        <f t="shared" si="9"/>
        <v>0.6396492160510231</v>
      </c>
      <c r="AB37" s="13">
        <v>34397</v>
      </c>
      <c r="AC37" s="13">
        <v>12228</v>
      </c>
      <c r="AD37" s="6">
        <f t="shared" si="10"/>
        <v>16588</v>
      </c>
      <c r="AE37" s="15">
        <v>28816</v>
      </c>
      <c r="AF37" s="7">
        <f t="shared" si="11"/>
        <v>0.83774747797773064</v>
      </c>
      <c r="AG37" s="13">
        <v>18492</v>
      </c>
      <c r="AH37" s="13">
        <v>4499</v>
      </c>
      <c r="AI37" s="6">
        <f t="shared" si="12"/>
        <v>7691</v>
      </c>
      <c r="AJ37" s="14">
        <v>12190</v>
      </c>
      <c r="AK37" s="7">
        <f t="shared" si="13"/>
        <v>0.65920398009950254</v>
      </c>
      <c r="AL37" s="13">
        <v>18104</v>
      </c>
      <c r="AM37" s="13">
        <v>5174</v>
      </c>
      <c r="AN37" s="6">
        <f t="shared" si="14"/>
        <v>7094</v>
      </c>
      <c r="AO37" s="14">
        <v>12268</v>
      </c>
      <c r="AP37" s="7">
        <f t="shared" si="15"/>
        <v>0.67764030048608037</v>
      </c>
      <c r="AQ37" s="13">
        <v>35044</v>
      </c>
      <c r="AR37" s="13">
        <v>17483</v>
      </c>
      <c r="AS37" s="6">
        <f t="shared" si="16"/>
        <v>11902</v>
      </c>
      <c r="AT37" s="15">
        <v>29385</v>
      </c>
      <c r="AU37" s="7">
        <f t="shared" si="17"/>
        <v>0.83851729254651297</v>
      </c>
      <c r="AV37" s="13">
        <v>17705</v>
      </c>
      <c r="AW37" s="13">
        <v>6414</v>
      </c>
      <c r="AX37" s="6">
        <f t="shared" si="18"/>
        <v>5986</v>
      </c>
      <c r="AY37" s="14">
        <v>12400</v>
      </c>
      <c r="AZ37" s="7">
        <f t="shared" si="19"/>
        <v>0.70036712792996325</v>
      </c>
      <c r="BA37" s="13">
        <v>17648</v>
      </c>
      <c r="BB37" s="13">
        <v>9035</v>
      </c>
      <c r="BC37" s="6">
        <f t="shared" si="20"/>
        <v>3378</v>
      </c>
      <c r="BD37" s="14">
        <v>12413</v>
      </c>
      <c r="BE37" s="7">
        <f t="shared" si="21"/>
        <v>0.70336582048957386</v>
      </c>
      <c r="BF37" s="13">
        <v>36052</v>
      </c>
      <c r="BG37" s="13">
        <v>20196</v>
      </c>
      <c r="BH37" s="6">
        <f t="shared" si="22"/>
        <v>9365</v>
      </c>
      <c r="BI37" s="15">
        <v>29561</v>
      </c>
      <c r="BJ37" s="7">
        <f t="shared" si="23"/>
        <v>0.81995451015200271</v>
      </c>
    </row>
    <row r="38" spans="1:62" x14ac:dyDescent="0.3">
      <c r="A38" s="21">
        <v>31</v>
      </c>
      <c r="B38" s="12" t="s">
        <v>33</v>
      </c>
      <c r="C38" s="13">
        <v>176</v>
      </c>
      <c r="D38" s="13">
        <v>32</v>
      </c>
      <c r="E38" s="6">
        <f t="shared" si="0"/>
        <v>51</v>
      </c>
      <c r="F38" s="14">
        <v>83</v>
      </c>
      <c r="G38" s="7">
        <f t="shared" si="1"/>
        <v>0.47159090909090912</v>
      </c>
      <c r="H38" s="13">
        <v>175</v>
      </c>
      <c r="I38" s="13">
        <v>29</v>
      </c>
      <c r="J38" s="6">
        <f t="shared" si="2"/>
        <v>58</v>
      </c>
      <c r="K38" s="14">
        <v>87</v>
      </c>
      <c r="L38" s="7">
        <f t="shared" si="3"/>
        <v>0.49714285714285716</v>
      </c>
      <c r="M38" s="13">
        <v>219</v>
      </c>
      <c r="N38" s="13">
        <v>58</v>
      </c>
      <c r="O38" s="6">
        <f t="shared" si="4"/>
        <v>106</v>
      </c>
      <c r="P38" s="15">
        <v>164</v>
      </c>
      <c r="Q38" s="7">
        <f t="shared" si="5"/>
        <v>0.74885844748858443</v>
      </c>
      <c r="R38" s="13">
        <v>179</v>
      </c>
      <c r="S38" s="13">
        <v>27</v>
      </c>
      <c r="T38" s="6">
        <f t="shared" si="6"/>
        <v>61</v>
      </c>
      <c r="U38" s="14">
        <v>88</v>
      </c>
      <c r="V38" s="7">
        <f t="shared" si="7"/>
        <v>0.49162011173184356</v>
      </c>
      <c r="W38" s="13">
        <v>178</v>
      </c>
      <c r="X38" s="13">
        <v>31</v>
      </c>
      <c r="Y38" s="6">
        <f t="shared" si="8"/>
        <v>58</v>
      </c>
      <c r="Z38" s="14">
        <v>89</v>
      </c>
      <c r="AA38" s="7">
        <f t="shared" si="9"/>
        <v>0.5</v>
      </c>
      <c r="AB38" s="13">
        <v>229</v>
      </c>
      <c r="AC38" s="13">
        <v>51</v>
      </c>
      <c r="AD38" s="6">
        <f t="shared" si="10"/>
        <v>119</v>
      </c>
      <c r="AE38" s="15">
        <v>170</v>
      </c>
      <c r="AF38" s="7">
        <f t="shared" si="11"/>
        <v>0.74235807860262004</v>
      </c>
      <c r="AG38" s="13">
        <v>179</v>
      </c>
      <c r="AH38" s="13">
        <v>29</v>
      </c>
      <c r="AI38" s="6">
        <f t="shared" si="12"/>
        <v>61</v>
      </c>
      <c r="AJ38" s="14">
        <v>90</v>
      </c>
      <c r="AK38" s="7">
        <f t="shared" si="13"/>
        <v>0.5027932960893855</v>
      </c>
      <c r="AL38" s="13">
        <v>178</v>
      </c>
      <c r="AM38" s="13">
        <v>31</v>
      </c>
      <c r="AN38" s="6">
        <f t="shared" si="14"/>
        <v>61</v>
      </c>
      <c r="AO38" s="14">
        <v>92</v>
      </c>
      <c r="AP38" s="7">
        <f t="shared" si="15"/>
        <v>0.5168539325842697</v>
      </c>
      <c r="AQ38" s="13">
        <v>247</v>
      </c>
      <c r="AR38" s="13">
        <v>73</v>
      </c>
      <c r="AS38" s="6">
        <f t="shared" si="16"/>
        <v>108</v>
      </c>
      <c r="AT38" s="15">
        <v>181</v>
      </c>
      <c r="AU38" s="7">
        <f t="shared" si="17"/>
        <v>0.73279352226720651</v>
      </c>
      <c r="AV38" s="13">
        <v>180</v>
      </c>
      <c r="AW38" s="13">
        <v>39</v>
      </c>
      <c r="AX38" s="6">
        <f t="shared" si="18"/>
        <v>57</v>
      </c>
      <c r="AY38" s="14">
        <v>96</v>
      </c>
      <c r="AZ38" s="7">
        <f t="shared" si="19"/>
        <v>0.53333333333333333</v>
      </c>
      <c r="BA38" s="13">
        <v>181</v>
      </c>
      <c r="BB38" s="13">
        <v>54</v>
      </c>
      <c r="BC38" s="6">
        <f t="shared" si="20"/>
        <v>42</v>
      </c>
      <c r="BD38" s="14">
        <v>96</v>
      </c>
      <c r="BE38" s="7">
        <f t="shared" si="21"/>
        <v>0.53038674033149169</v>
      </c>
      <c r="BF38" s="13">
        <v>261</v>
      </c>
      <c r="BG38" s="13">
        <v>103</v>
      </c>
      <c r="BH38" s="6">
        <f t="shared" si="22"/>
        <v>84</v>
      </c>
      <c r="BI38" s="15">
        <v>187</v>
      </c>
      <c r="BJ38" s="7">
        <f t="shared" si="23"/>
        <v>0.71647509578544066</v>
      </c>
    </row>
    <row r="39" spans="1:62" x14ac:dyDescent="0.3">
      <c r="A39" s="21">
        <v>32</v>
      </c>
      <c r="B39" s="12" t="s">
        <v>34</v>
      </c>
      <c r="C39" s="13">
        <v>202318</v>
      </c>
      <c r="D39" s="13">
        <v>39359</v>
      </c>
      <c r="E39" s="6">
        <f t="shared" si="0"/>
        <v>107047</v>
      </c>
      <c r="F39" s="14">
        <v>146406</v>
      </c>
      <c r="G39" s="7">
        <f t="shared" si="1"/>
        <v>0.72364297788629783</v>
      </c>
      <c r="H39" s="13">
        <v>195184</v>
      </c>
      <c r="I39" s="13">
        <v>37638</v>
      </c>
      <c r="J39" s="6">
        <f t="shared" si="2"/>
        <v>109483</v>
      </c>
      <c r="K39" s="14">
        <v>147121</v>
      </c>
      <c r="L39" s="7">
        <f t="shared" si="3"/>
        <v>0.75375543077301421</v>
      </c>
      <c r="M39" s="13">
        <v>295913</v>
      </c>
      <c r="N39" s="13">
        <v>98773</v>
      </c>
      <c r="O39" s="6">
        <f t="shared" si="4"/>
        <v>164039</v>
      </c>
      <c r="P39" s="15">
        <v>262812</v>
      </c>
      <c r="Q39" s="7">
        <f t="shared" si="5"/>
        <v>0.88813941935636487</v>
      </c>
      <c r="R39" s="13">
        <v>189177</v>
      </c>
      <c r="S39" s="13">
        <v>30431</v>
      </c>
      <c r="T39" s="6">
        <f t="shared" si="6"/>
        <v>118715</v>
      </c>
      <c r="U39" s="14">
        <v>149146</v>
      </c>
      <c r="V39" s="7">
        <f t="shared" si="7"/>
        <v>0.78839393795228807</v>
      </c>
      <c r="W39" s="13">
        <v>187045</v>
      </c>
      <c r="X39" s="13">
        <v>29619</v>
      </c>
      <c r="Y39" s="6">
        <f t="shared" si="8"/>
        <v>120604</v>
      </c>
      <c r="Z39" s="14">
        <v>150223</v>
      </c>
      <c r="AA39" s="7">
        <f t="shared" si="9"/>
        <v>0.80313828223154859</v>
      </c>
      <c r="AB39" s="13">
        <v>301836</v>
      </c>
      <c r="AC39" s="13">
        <v>82599</v>
      </c>
      <c r="AD39" s="6">
        <f t="shared" si="10"/>
        <v>185918</v>
      </c>
      <c r="AE39" s="15">
        <v>268517</v>
      </c>
      <c r="AF39" s="7">
        <f t="shared" si="11"/>
        <v>0.88961223975933956</v>
      </c>
      <c r="AG39" s="13">
        <v>184754</v>
      </c>
      <c r="AH39" s="13">
        <v>36570</v>
      </c>
      <c r="AI39" s="6">
        <f t="shared" si="12"/>
        <v>115702</v>
      </c>
      <c r="AJ39" s="14">
        <v>152272</v>
      </c>
      <c r="AK39" s="7">
        <f t="shared" si="13"/>
        <v>0.8241878389642443</v>
      </c>
      <c r="AL39" s="13">
        <v>180486</v>
      </c>
      <c r="AM39" s="13">
        <v>55426</v>
      </c>
      <c r="AN39" s="6">
        <f t="shared" si="14"/>
        <v>98537</v>
      </c>
      <c r="AO39" s="14">
        <v>153963</v>
      </c>
      <c r="AP39" s="7">
        <f t="shared" si="15"/>
        <v>0.85304677371098037</v>
      </c>
      <c r="AQ39" s="13">
        <v>302709</v>
      </c>
      <c r="AR39" s="13">
        <v>160850</v>
      </c>
      <c r="AS39" s="6">
        <f t="shared" si="16"/>
        <v>112530</v>
      </c>
      <c r="AT39" s="15">
        <v>273380</v>
      </c>
      <c r="AU39" s="7">
        <f t="shared" si="17"/>
        <v>0.90311156919681934</v>
      </c>
      <c r="AV39" s="13">
        <v>175450</v>
      </c>
      <c r="AW39" s="13">
        <v>76635</v>
      </c>
      <c r="AX39" s="6">
        <f t="shared" si="18"/>
        <v>78375</v>
      </c>
      <c r="AY39" s="14">
        <v>155010</v>
      </c>
      <c r="AZ39" s="7">
        <f t="shared" si="19"/>
        <v>0.88349957252778566</v>
      </c>
      <c r="BA39" s="13">
        <v>174499</v>
      </c>
      <c r="BB39" s="13">
        <v>118780</v>
      </c>
      <c r="BC39" s="6">
        <f t="shared" si="20"/>
        <v>36463</v>
      </c>
      <c r="BD39" s="14">
        <v>155243</v>
      </c>
      <c r="BE39" s="7">
        <f t="shared" si="21"/>
        <v>0.88964979742004258</v>
      </c>
      <c r="BF39" s="13">
        <v>304085</v>
      </c>
      <c r="BG39" s="13">
        <v>189686</v>
      </c>
      <c r="BH39" s="6">
        <f t="shared" si="22"/>
        <v>83579</v>
      </c>
      <c r="BI39" s="15">
        <v>273265</v>
      </c>
      <c r="BJ39" s="7">
        <f t="shared" si="23"/>
        <v>0.89864675995198706</v>
      </c>
    </row>
    <row r="40" spans="1:62" x14ac:dyDescent="0.3">
      <c r="A40" s="21">
        <v>33</v>
      </c>
      <c r="B40" s="12" t="s">
        <v>35</v>
      </c>
      <c r="C40" s="13">
        <v>681342</v>
      </c>
      <c r="D40" s="13">
        <v>145877</v>
      </c>
      <c r="E40" s="6">
        <f t="shared" si="0"/>
        <v>374801</v>
      </c>
      <c r="F40" s="14">
        <v>520678</v>
      </c>
      <c r="G40" s="7">
        <f t="shared" si="1"/>
        <v>0.764194780301229</v>
      </c>
      <c r="H40" s="13">
        <v>679109</v>
      </c>
      <c r="I40" s="13">
        <v>144294</v>
      </c>
      <c r="J40" s="6">
        <f t="shared" si="2"/>
        <v>379352</v>
      </c>
      <c r="K40" s="14">
        <v>523646</v>
      </c>
      <c r="L40" s="7">
        <f t="shared" si="3"/>
        <v>0.77107798600813715</v>
      </c>
      <c r="M40" s="13">
        <v>894344</v>
      </c>
      <c r="N40" s="13">
        <v>273096</v>
      </c>
      <c r="O40" s="6">
        <f t="shared" si="4"/>
        <v>479323</v>
      </c>
      <c r="P40" s="15">
        <v>752419</v>
      </c>
      <c r="Q40" s="7">
        <f t="shared" si="5"/>
        <v>0.84130826617051158</v>
      </c>
      <c r="R40" s="13">
        <v>670695</v>
      </c>
      <c r="S40" s="13">
        <v>132477</v>
      </c>
      <c r="T40" s="6">
        <f t="shared" si="6"/>
        <v>398422</v>
      </c>
      <c r="U40" s="14">
        <v>530899</v>
      </c>
      <c r="V40" s="7">
        <f t="shared" si="7"/>
        <v>0.79156546567366681</v>
      </c>
      <c r="W40" s="13">
        <v>664170</v>
      </c>
      <c r="X40" s="13">
        <v>137937</v>
      </c>
      <c r="Y40" s="6">
        <f t="shared" si="8"/>
        <v>396911</v>
      </c>
      <c r="Z40" s="14">
        <v>534848</v>
      </c>
      <c r="AA40" s="7">
        <f t="shared" si="9"/>
        <v>0.80528780282156676</v>
      </c>
      <c r="AB40" s="13">
        <v>900385</v>
      </c>
      <c r="AC40" s="13">
        <v>227476</v>
      </c>
      <c r="AD40" s="6">
        <f t="shared" si="10"/>
        <v>541761</v>
      </c>
      <c r="AE40" s="15">
        <v>769237</v>
      </c>
      <c r="AF40" s="7">
        <f t="shared" si="11"/>
        <v>0.85434230912331943</v>
      </c>
      <c r="AG40" s="13">
        <v>654051</v>
      </c>
      <c r="AH40" s="13">
        <v>134833</v>
      </c>
      <c r="AI40" s="6">
        <f t="shared" si="12"/>
        <v>407200</v>
      </c>
      <c r="AJ40" s="14">
        <v>542033</v>
      </c>
      <c r="AK40" s="7">
        <f t="shared" si="13"/>
        <v>0.8287320101949236</v>
      </c>
      <c r="AL40" s="13">
        <v>640748</v>
      </c>
      <c r="AM40" s="13">
        <v>174944</v>
      </c>
      <c r="AN40" s="6">
        <f t="shared" si="14"/>
        <v>372321</v>
      </c>
      <c r="AO40" s="14">
        <v>547265</v>
      </c>
      <c r="AP40" s="7">
        <f t="shared" si="15"/>
        <v>0.85410332923395782</v>
      </c>
      <c r="AQ40" s="13">
        <v>877850</v>
      </c>
      <c r="AR40" s="13">
        <v>502516</v>
      </c>
      <c r="AS40" s="6">
        <f t="shared" si="16"/>
        <v>283930</v>
      </c>
      <c r="AT40" s="15">
        <v>786446</v>
      </c>
      <c r="AU40" s="7">
        <f t="shared" si="17"/>
        <v>0.89587742780657287</v>
      </c>
      <c r="AV40" s="13">
        <v>620078</v>
      </c>
      <c r="AW40" s="13">
        <v>296846</v>
      </c>
      <c r="AX40" s="6">
        <f t="shared" si="18"/>
        <v>256970</v>
      </c>
      <c r="AY40" s="14">
        <v>553816</v>
      </c>
      <c r="AZ40" s="7">
        <f t="shared" si="19"/>
        <v>0.89313925022335905</v>
      </c>
      <c r="BA40" s="13">
        <v>613352</v>
      </c>
      <c r="BB40" s="13">
        <v>454234</v>
      </c>
      <c r="BC40" s="6">
        <f t="shared" si="20"/>
        <v>101312</v>
      </c>
      <c r="BD40" s="14">
        <v>555546</v>
      </c>
      <c r="BE40" s="7">
        <f t="shared" si="21"/>
        <v>0.9057539553144035</v>
      </c>
      <c r="BF40" s="13">
        <v>876639</v>
      </c>
      <c r="BG40" s="13">
        <v>568031</v>
      </c>
      <c r="BH40" s="6">
        <f t="shared" si="22"/>
        <v>217516</v>
      </c>
      <c r="BI40" s="15">
        <v>785547</v>
      </c>
      <c r="BJ40" s="7">
        <f t="shared" si="23"/>
        <v>0.89608949636053148</v>
      </c>
    </row>
    <row r="41" spans="1:62" x14ac:dyDescent="0.3">
      <c r="A41" s="21">
        <v>34</v>
      </c>
      <c r="B41" s="12" t="s">
        <v>36</v>
      </c>
      <c r="C41" s="13">
        <v>16423</v>
      </c>
      <c r="D41" s="13">
        <v>3505</v>
      </c>
      <c r="E41" s="6">
        <f t="shared" si="0"/>
        <v>8015</v>
      </c>
      <c r="F41" s="14">
        <v>11520</v>
      </c>
      <c r="G41" s="7">
        <f t="shared" si="1"/>
        <v>0.70145527613712477</v>
      </c>
      <c r="H41" s="13">
        <v>16070</v>
      </c>
      <c r="I41" s="13">
        <v>3416</v>
      </c>
      <c r="J41" s="6">
        <f t="shared" si="2"/>
        <v>8187</v>
      </c>
      <c r="K41" s="14">
        <v>11603</v>
      </c>
      <c r="L41" s="7">
        <f t="shared" si="3"/>
        <v>0.72202862476664598</v>
      </c>
      <c r="M41" s="13">
        <v>20879</v>
      </c>
      <c r="N41" s="13">
        <v>6052</v>
      </c>
      <c r="O41" s="6">
        <f t="shared" si="4"/>
        <v>10847</v>
      </c>
      <c r="P41" s="15">
        <v>16899</v>
      </c>
      <c r="Q41" s="7">
        <f t="shared" si="5"/>
        <v>0.80937784376646393</v>
      </c>
      <c r="R41" s="13">
        <v>15621</v>
      </c>
      <c r="S41" s="13">
        <v>3128</v>
      </c>
      <c r="T41" s="6">
        <f t="shared" si="6"/>
        <v>8526</v>
      </c>
      <c r="U41" s="14">
        <v>11654</v>
      </c>
      <c r="V41" s="7">
        <f t="shared" si="7"/>
        <v>0.74604698802893543</v>
      </c>
      <c r="W41" s="13">
        <v>15410</v>
      </c>
      <c r="X41" s="13">
        <v>3251</v>
      </c>
      <c r="Y41" s="6">
        <f t="shared" si="8"/>
        <v>8479</v>
      </c>
      <c r="Z41" s="14">
        <v>11730</v>
      </c>
      <c r="AA41" s="7">
        <f t="shared" si="9"/>
        <v>0.76119402985074625</v>
      </c>
      <c r="AB41" s="13">
        <v>21025</v>
      </c>
      <c r="AC41" s="13">
        <v>5297</v>
      </c>
      <c r="AD41" s="6">
        <f t="shared" si="10"/>
        <v>11892</v>
      </c>
      <c r="AE41" s="15">
        <v>17189</v>
      </c>
      <c r="AF41" s="7">
        <f t="shared" si="11"/>
        <v>0.81755053507728892</v>
      </c>
      <c r="AG41" s="13">
        <v>15000</v>
      </c>
      <c r="AH41" s="13">
        <v>3426</v>
      </c>
      <c r="AI41" s="6">
        <f t="shared" si="12"/>
        <v>8523</v>
      </c>
      <c r="AJ41" s="14">
        <v>11949</v>
      </c>
      <c r="AK41" s="7">
        <f t="shared" si="13"/>
        <v>0.79659999999999997</v>
      </c>
      <c r="AL41" s="13">
        <v>14741</v>
      </c>
      <c r="AM41" s="13">
        <v>4209</v>
      </c>
      <c r="AN41" s="6">
        <f t="shared" si="14"/>
        <v>7789</v>
      </c>
      <c r="AO41" s="14">
        <v>11998</v>
      </c>
      <c r="AP41" s="7">
        <f t="shared" si="15"/>
        <v>0.81392035818465502</v>
      </c>
      <c r="AQ41" s="13">
        <v>20391</v>
      </c>
      <c r="AR41" s="13">
        <v>10447</v>
      </c>
      <c r="AS41" s="6">
        <f t="shared" si="16"/>
        <v>6922</v>
      </c>
      <c r="AT41" s="15">
        <v>17369</v>
      </c>
      <c r="AU41" s="7">
        <f t="shared" si="17"/>
        <v>0.85179736158108965</v>
      </c>
      <c r="AV41" s="13">
        <v>13562</v>
      </c>
      <c r="AW41" s="13">
        <v>6083</v>
      </c>
      <c r="AX41" s="6">
        <f t="shared" si="18"/>
        <v>5910</v>
      </c>
      <c r="AY41" s="14">
        <v>11993</v>
      </c>
      <c r="AZ41" s="7">
        <f t="shared" si="19"/>
        <v>0.88430909895295684</v>
      </c>
      <c r="BA41" s="13">
        <v>13336</v>
      </c>
      <c r="BB41" s="13">
        <v>9563</v>
      </c>
      <c r="BC41" s="6">
        <f t="shared" si="20"/>
        <v>2430</v>
      </c>
      <c r="BD41" s="14">
        <v>11993</v>
      </c>
      <c r="BE41" s="7">
        <f t="shared" si="21"/>
        <v>0.89929514097180563</v>
      </c>
      <c r="BF41" s="13">
        <v>19681</v>
      </c>
      <c r="BG41" s="13">
        <v>12605</v>
      </c>
      <c r="BH41" s="6">
        <f t="shared" si="22"/>
        <v>4506</v>
      </c>
      <c r="BI41" s="15">
        <v>17111</v>
      </c>
      <c r="BJ41" s="7">
        <f t="shared" si="23"/>
        <v>0.86941720441034498</v>
      </c>
    </row>
    <row r="42" spans="1:62" x14ac:dyDescent="0.3">
      <c r="A42" s="21">
        <v>35</v>
      </c>
      <c r="B42" s="12" t="s">
        <v>48</v>
      </c>
      <c r="C42" s="13">
        <v>3127</v>
      </c>
      <c r="D42" s="13">
        <v>335</v>
      </c>
      <c r="E42" s="6">
        <f t="shared" si="0"/>
        <v>1576</v>
      </c>
      <c r="F42" s="14">
        <v>1911</v>
      </c>
      <c r="G42" s="7">
        <f t="shared" si="1"/>
        <v>0.61112887751838818</v>
      </c>
      <c r="H42" s="13">
        <v>3085</v>
      </c>
      <c r="I42" s="13">
        <v>326</v>
      </c>
      <c r="J42" s="6">
        <f t="shared" si="2"/>
        <v>1569</v>
      </c>
      <c r="K42" s="14">
        <v>1895</v>
      </c>
      <c r="L42" s="7">
        <f t="shared" si="3"/>
        <v>0.61426256077795782</v>
      </c>
      <c r="M42" s="13">
        <v>3826</v>
      </c>
      <c r="N42" s="13">
        <v>643</v>
      </c>
      <c r="O42" s="6">
        <f t="shared" si="4"/>
        <v>2564</v>
      </c>
      <c r="P42" s="15">
        <v>3207</v>
      </c>
      <c r="Q42" s="7">
        <f t="shared" si="5"/>
        <v>0.83821223209618401</v>
      </c>
      <c r="R42" s="13">
        <v>2934</v>
      </c>
      <c r="S42" s="13">
        <v>270</v>
      </c>
      <c r="T42" s="6">
        <f t="shared" si="6"/>
        <v>1641</v>
      </c>
      <c r="U42" s="14">
        <v>1911</v>
      </c>
      <c r="V42" s="7">
        <f t="shared" si="7"/>
        <v>0.65132924335378328</v>
      </c>
      <c r="W42" s="13">
        <v>2929</v>
      </c>
      <c r="X42" s="13">
        <v>300</v>
      </c>
      <c r="Y42" s="6">
        <f t="shared" si="8"/>
        <v>1632</v>
      </c>
      <c r="Z42" s="14">
        <v>1932</v>
      </c>
      <c r="AA42" s="7">
        <f t="shared" si="9"/>
        <v>0.65961078866507339</v>
      </c>
      <c r="AB42" s="13">
        <v>3994</v>
      </c>
      <c r="AC42" s="13">
        <v>521</v>
      </c>
      <c r="AD42" s="6">
        <f t="shared" si="10"/>
        <v>2752</v>
      </c>
      <c r="AE42" s="15">
        <v>3273</v>
      </c>
      <c r="AF42" s="7">
        <f t="shared" si="11"/>
        <v>0.81947921882824237</v>
      </c>
      <c r="AG42" s="13">
        <v>2925</v>
      </c>
      <c r="AH42" s="13">
        <v>274</v>
      </c>
      <c r="AI42" s="6">
        <f t="shared" si="12"/>
        <v>1692</v>
      </c>
      <c r="AJ42" s="14">
        <v>1966</v>
      </c>
      <c r="AK42" s="7">
        <f t="shared" si="13"/>
        <v>0.67213675213675217</v>
      </c>
      <c r="AL42" s="13">
        <v>2906</v>
      </c>
      <c r="AM42" s="13">
        <v>339</v>
      </c>
      <c r="AN42" s="6">
        <f t="shared" si="14"/>
        <v>1658</v>
      </c>
      <c r="AO42" s="14">
        <v>1997</v>
      </c>
      <c r="AP42" s="7">
        <f t="shared" si="15"/>
        <v>0.68719889883000684</v>
      </c>
      <c r="AQ42" s="13">
        <v>4090</v>
      </c>
      <c r="AR42" s="13">
        <v>1214</v>
      </c>
      <c r="AS42" s="6">
        <f t="shared" si="16"/>
        <v>2159</v>
      </c>
      <c r="AT42" s="15">
        <v>3373</v>
      </c>
      <c r="AU42" s="7">
        <f t="shared" si="17"/>
        <v>0.82469437652811739</v>
      </c>
      <c r="AV42" s="13">
        <v>2535</v>
      </c>
      <c r="AW42" s="13">
        <v>449</v>
      </c>
      <c r="AX42" s="6">
        <f t="shared" si="18"/>
        <v>1558</v>
      </c>
      <c r="AY42" s="14">
        <v>2007</v>
      </c>
      <c r="AZ42" s="7">
        <f t="shared" si="19"/>
        <v>0.79171597633136093</v>
      </c>
      <c r="BA42" s="13">
        <v>2542</v>
      </c>
      <c r="BB42" s="13">
        <v>842</v>
      </c>
      <c r="BC42" s="6">
        <f t="shared" si="20"/>
        <v>1159</v>
      </c>
      <c r="BD42" s="14">
        <v>2001</v>
      </c>
      <c r="BE42" s="7">
        <f t="shared" si="21"/>
        <v>0.78717545239968534</v>
      </c>
      <c r="BF42" s="13">
        <v>3877</v>
      </c>
      <c r="BG42" s="13">
        <v>1547</v>
      </c>
      <c r="BH42" s="6">
        <f t="shared" si="22"/>
        <v>1806</v>
      </c>
      <c r="BI42" s="15">
        <v>3353</v>
      </c>
      <c r="BJ42" s="7">
        <f t="shared" si="23"/>
        <v>0.86484395150889859</v>
      </c>
    </row>
    <row r="43" spans="1:62" x14ac:dyDescent="0.3">
      <c r="A43" s="21">
        <v>36</v>
      </c>
      <c r="B43" s="12" t="s">
        <v>37</v>
      </c>
      <c r="C43" s="13">
        <v>247115</v>
      </c>
      <c r="D43" s="13">
        <v>43261</v>
      </c>
      <c r="E43" s="6">
        <f t="shared" si="0"/>
        <v>128414</v>
      </c>
      <c r="F43" s="14">
        <v>171675</v>
      </c>
      <c r="G43" s="7">
        <f t="shared" si="1"/>
        <v>0.6947170345790421</v>
      </c>
      <c r="H43" s="13">
        <v>243625</v>
      </c>
      <c r="I43" s="13">
        <v>41822</v>
      </c>
      <c r="J43" s="6">
        <f t="shared" si="2"/>
        <v>131244</v>
      </c>
      <c r="K43" s="14">
        <v>173066</v>
      </c>
      <c r="L43" s="7">
        <f t="shared" si="3"/>
        <v>0.71037865572088255</v>
      </c>
      <c r="M43" s="13">
        <v>327844</v>
      </c>
      <c r="N43" s="13">
        <v>88086</v>
      </c>
      <c r="O43" s="6">
        <f t="shared" si="4"/>
        <v>177494</v>
      </c>
      <c r="P43" s="15">
        <v>265580</v>
      </c>
      <c r="Q43" s="7">
        <f t="shared" si="5"/>
        <v>0.81008040409463034</v>
      </c>
      <c r="R43" s="13">
        <v>238294</v>
      </c>
      <c r="S43" s="13">
        <v>40853</v>
      </c>
      <c r="T43" s="6">
        <f t="shared" si="6"/>
        <v>135159</v>
      </c>
      <c r="U43" s="14">
        <v>176012</v>
      </c>
      <c r="V43" s="7">
        <f t="shared" si="7"/>
        <v>0.73863378851334904</v>
      </c>
      <c r="W43" s="13">
        <v>236935</v>
      </c>
      <c r="X43" s="13">
        <v>42250</v>
      </c>
      <c r="Y43" s="6">
        <f t="shared" si="8"/>
        <v>135328</v>
      </c>
      <c r="Z43" s="14">
        <v>177578</v>
      </c>
      <c r="AA43" s="7">
        <f t="shared" si="9"/>
        <v>0.74947981513917317</v>
      </c>
      <c r="AB43" s="13">
        <v>337626</v>
      </c>
      <c r="AC43" s="13">
        <v>72375</v>
      </c>
      <c r="AD43" s="6">
        <f t="shared" si="10"/>
        <v>202419</v>
      </c>
      <c r="AE43" s="15">
        <v>274794</v>
      </c>
      <c r="AF43" s="7">
        <f t="shared" si="11"/>
        <v>0.81390058822484046</v>
      </c>
      <c r="AG43" s="13">
        <v>239475</v>
      </c>
      <c r="AH43" s="13">
        <v>39650</v>
      </c>
      <c r="AI43" s="6">
        <f t="shared" si="12"/>
        <v>141548</v>
      </c>
      <c r="AJ43" s="14">
        <v>181198</v>
      </c>
      <c r="AK43" s="7">
        <f t="shared" si="13"/>
        <v>0.75664683161081536</v>
      </c>
      <c r="AL43" s="13">
        <v>240217</v>
      </c>
      <c r="AM43" s="13">
        <v>49826</v>
      </c>
      <c r="AN43" s="6">
        <f t="shared" si="14"/>
        <v>133818</v>
      </c>
      <c r="AO43" s="14">
        <v>183644</v>
      </c>
      <c r="AP43" s="7">
        <f t="shared" si="15"/>
        <v>0.76449210505501275</v>
      </c>
      <c r="AQ43" s="13">
        <v>350234</v>
      </c>
      <c r="AR43" s="13">
        <v>155108</v>
      </c>
      <c r="AS43" s="6">
        <f t="shared" si="16"/>
        <v>129099</v>
      </c>
      <c r="AT43" s="15">
        <v>284207</v>
      </c>
      <c r="AU43" s="7">
        <f t="shared" si="17"/>
        <v>0.81147746934906373</v>
      </c>
      <c r="AV43" s="13">
        <v>239471</v>
      </c>
      <c r="AW43" s="13">
        <v>82395</v>
      </c>
      <c r="AX43" s="6">
        <f t="shared" si="18"/>
        <v>103608</v>
      </c>
      <c r="AY43" s="14">
        <v>186003</v>
      </c>
      <c r="AZ43" s="7">
        <f t="shared" si="19"/>
        <v>0.77672453031891131</v>
      </c>
      <c r="BA43" s="13">
        <v>238143</v>
      </c>
      <c r="BB43" s="13">
        <v>135886</v>
      </c>
      <c r="BC43" s="6">
        <f t="shared" si="20"/>
        <v>50109</v>
      </c>
      <c r="BD43" s="14">
        <v>185995</v>
      </c>
      <c r="BE43" s="7">
        <f t="shared" si="21"/>
        <v>0.78102232692121965</v>
      </c>
      <c r="BF43" s="13">
        <v>357819</v>
      </c>
      <c r="BG43" s="13">
        <v>195061</v>
      </c>
      <c r="BH43" s="6">
        <f t="shared" si="22"/>
        <v>87523</v>
      </c>
      <c r="BI43" s="15">
        <v>282584</v>
      </c>
      <c r="BJ43" s="7">
        <f t="shared" si="23"/>
        <v>0.78974006411062581</v>
      </c>
    </row>
    <row r="44" spans="1:62" x14ac:dyDescent="0.3">
      <c r="A44" s="21">
        <v>37</v>
      </c>
      <c r="B44" s="12" t="s">
        <v>38</v>
      </c>
      <c r="C44" s="13">
        <v>211912</v>
      </c>
      <c r="D44" s="13">
        <v>39948</v>
      </c>
      <c r="E44" s="6">
        <f t="shared" si="0"/>
        <v>115163</v>
      </c>
      <c r="F44" s="14">
        <v>155111</v>
      </c>
      <c r="G44" s="7">
        <f t="shared" si="1"/>
        <v>0.73195949261957793</v>
      </c>
      <c r="H44" s="13">
        <v>206448</v>
      </c>
      <c r="I44" s="13">
        <v>40973</v>
      </c>
      <c r="J44" s="6">
        <f t="shared" si="2"/>
        <v>114663</v>
      </c>
      <c r="K44" s="14">
        <v>155636</v>
      </c>
      <c r="L44" s="7">
        <f t="shared" si="3"/>
        <v>0.75387506781368674</v>
      </c>
      <c r="M44" s="13">
        <v>281946</v>
      </c>
      <c r="N44" s="13">
        <v>81878</v>
      </c>
      <c r="O44" s="6">
        <f t="shared" si="4"/>
        <v>154654</v>
      </c>
      <c r="P44" s="15">
        <v>236532</v>
      </c>
      <c r="Q44" s="7">
        <f t="shared" si="5"/>
        <v>0.83892660296652555</v>
      </c>
      <c r="R44" s="13">
        <v>201438</v>
      </c>
      <c r="S44" s="13">
        <v>37758</v>
      </c>
      <c r="T44" s="6">
        <f t="shared" si="6"/>
        <v>120068</v>
      </c>
      <c r="U44" s="14">
        <v>157826</v>
      </c>
      <c r="V44" s="7">
        <f t="shared" si="7"/>
        <v>0.78349665902163446</v>
      </c>
      <c r="W44" s="13">
        <v>199209</v>
      </c>
      <c r="X44" s="13">
        <v>39371</v>
      </c>
      <c r="Y44" s="6">
        <f t="shared" si="8"/>
        <v>119408</v>
      </c>
      <c r="Z44" s="14">
        <v>158779</v>
      </c>
      <c r="AA44" s="7">
        <f t="shared" si="9"/>
        <v>0.79704732215913943</v>
      </c>
      <c r="AB44" s="13">
        <v>287263</v>
      </c>
      <c r="AC44" s="13">
        <v>65860</v>
      </c>
      <c r="AD44" s="6">
        <f t="shared" si="10"/>
        <v>175610</v>
      </c>
      <c r="AE44" s="15">
        <v>241470</v>
      </c>
      <c r="AF44" s="7">
        <f t="shared" si="11"/>
        <v>0.84058858955034232</v>
      </c>
      <c r="AG44" s="13">
        <v>197620</v>
      </c>
      <c r="AH44" s="13">
        <v>36398</v>
      </c>
      <c r="AI44" s="6">
        <f t="shared" si="12"/>
        <v>124459</v>
      </c>
      <c r="AJ44" s="14">
        <v>160857</v>
      </c>
      <c r="AK44" s="7">
        <f t="shared" si="13"/>
        <v>0.81397125796984116</v>
      </c>
      <c r="AL44" s="13">
        <v>193704</v>
      </c>
      <c r="AM44" s="13">
        <v>47355</v>
      </c>
      <c r="AN44" s="6">
        <f t="shared" si="14"/>
        <v>115474</v>
      </c>
      <c r="AO44" s="14">
        <v>162829</v>
      </c>
      <c r="AP44" s="7">
        <f t="shared" si="15"/>
        <v>0.84060731838268699</v>
      </c>
      <c r="AQ44" s="13">
        <v>286760</v>
      </c>
      <c r="AR44" s="13">
        <v>151471</v>
      </c>
      <c r="AS44" s="6">
        <f t="shared" si="16"/>
        <v>94935</v>
      </c>
      <c r="AT44" s="15">
        <v>246406</v>
      </c>
      <c r="AU44" s="7">
        <f t="shared" si="17"/>
        <v>0.85927604965825077</v>
      </c>
      <c r="AV44" s="13">
        <v>192119</v>
      </c>
      <c r="AW44" s="13">
        <v>79873</v>
      </c>
      <c r="AX44" s="6">
        <f t="shared" si="18"/>
        <v>83610</v>
      </c>
      <c r="AY44" s="14">
        <v>163483</v>
      </c>
      <c r="AZ44" s="7">
        <f t="shared" si="19"/>
        <v>0.85094654875363707</v>
      </c>
      <c r="BA44" s="13">
        <v>188319</v>
      </c>
      <c r="BB44" s="13">
        <v>128641</v>
      </c>
      <c r="BC44" s="6">
        <f t="shared" si="20"/>
        <v>34270</v>
      </c>
      <c r="BD44" s="14">
        <v>162911</v>
      </c>
      <c r="BE44" s="7">
        <f t="shared" si="21"/>
        <v>0.86507999723872786</v>
      </c>
      <c r="BF44" s="13">
        <v>283250</v>
      </c>
      <c r="BG44" s="13">
        <v>174803</v>
      </c>
      <c r="BH44" s="6">
        <f t="shared" si="22"/>
        <v>65571</v>
      </c>
      <c r="BI44" s="15">
        <v>240374</v>
      </c>
      <c r="BJ44" s="7">
        <f t="shared" si="23"/>
        <v>0.84862842012356576</v>
      </c>
    </row>
    <row r="45" spans="1:62" x14ac:dyDescent="0.3">
      <c r="A45" s="21">
        <v>38</v>
      </c>
      <c r="B45" s="12" t="s">
        <v>39</v>
      </c>
      <c r="C45" s="16" t="s">
        <v>44</v>
      </c>
      <c r="D45" s="16" t="s">
        <v>44</v>
      </c>
      <c r="E45" s="16" t="s">
        <v>44</v>
      </c>
      <c r="F45" s="16" t="s">
        <v>44</v>
      </c>
      <c r="G45" s="16" t="s">
        <v>44</v>
      </c>
      <c r="H45" s="16" t="s">
        <v>44</v>
      </c>
      <c r="I45" s="16" t="s">
        <v>44</v>
      </c>
      <c r="J45" s="16" t="s">
        <v>44</v>
      </c>
      <c r="K45" s="16" t="s">
        <v>44</v>
      </c>
      <c r="L45" s="16" t="s">
        <v>44</v>
      </c>
      <c r="M45" s="16" t="s">
        <v>44</v>
      </c>
      <c r="N45" s="16" t="s">
        <v>44</v>
      </c>
      <c r="O45" s="16" t="s">
        <v>44</v>
      </c>
      <c r="P45" s="16" t="s">
        <v>44</v>
      </c>
      <c r="Q45" s="16" t="s">
        <v>44</v>
      </c>
      <c r="R45" s="16" t="s">
        <v>44</v>
      </c>
      <c r="S45" s="16" t="s">
        <v>44</v>
      </c>
      <c r="T45" s="16" t="s">
        <v>44</v>
      </c>
      <c r="U45" s="16" t="s">
        <v>44</v>
      </c>
      <c r="V45" s="16" t="s">
        <v>44</v>
      </c>
      <c r="W45" s="16" t="s">
        <v>44</v>
      </c>
      <c r="X45" s="16" t="s">
        <v>44</v>
      </c>
      <c r="Y45" s="16" t="s">
        <v>44</v>
      </c>
      <c r="Z45" s="16" t="s">
        <v>44</v>
      </c>
      <c r="AA45" s="16" t="s">
        <v>44</v>
      </c>
      <c r="AB45" s="16" t="s">
        <v>44</v>
      </c>
      <c r="AC45" s="16" t="s">
        <v>44</v>
      </c>
      <c r="AD45" s="16" t="s">
        <v>44</v>
      </c>
      <c r="AE45" s="16" t="s">
        <v>44</v>
      </c>
      <c r="AF45" s="16" t="s">
        <v>44</v>
      </c>
      <c r="AG45" s="16" t="s">
        <v>44</v>
      </c>
      <c r="AH45" s="16" t="s">
        <v>44</v>
      </c>
      <c r="AI45" s="16" t="s">
        <v>44</v>
      </c>
      <c r="AJ45" s="16" t="s">
        <v>44</v>
      </c>
      <c r="AK45" s="16" t="s">
        <v>44</v>
      </c>
      <c r="AL45" s="16" t="s">
        <v>44</v>
      </c>
      <c r="AM45" s="16" t="s">
        <v>44</v>
      </c>
      <c r="AN45" s="16" t="s">
        <v>44</v>
      </c>
      <c r="AO45" s="16" t="s">
        <v>44</v>
      </c>
      <c r="AP45" s="16" t="s">
        <v>44</v>
      </c>
      <c r="AQ45" s="16" t="s">
        <v>44</v>
      </c>
      <c r="AR45" s="16" t="s">
        <v>44</v>
      </c>
      <c r="AS45" s="16" t="s">
        <v>44</v>
      </c>
      <c r="AT45" s="16" t="s">
        <v>44</v>
      </c>
      <c r="AU45" s="16" t="s">
        <v>44</v>
      </c>
      <c r="AV45" s="16">
        <v>868</v>
      </c>
      <c r="AW45" s="16">
        <v>0</v>
      </c>
      <c r="AX45" s="17">
        <f t="shared" si="18"/>
        <v>382</v>
      </c>
      <c r="AY45" s="14">
        <v>382</v>
      </c>
      <c r="AZ45" s="7">
        <f t="shared" si="19"/>
        <v>0.44009216589861749</v>
      </c>
      <c r="BA45" s="16">
        <v>982</v>
      </c>
      <c r="BB45" s="16">
        <v>0</v>
      </c>
      <c r="BC45" s="17">
        <f t="shared" si="20"/>
        <v>439</v>
      </c>
      <c r="BD45" s="14">
        <v>439</v>
      </c>
      <c r="BE45" s="7">
        <f t="shared" si="21"/>
        <v>0.4470468431771894</v>
      </c>
      <c r="BF45" s="16">
        <v>3014</v>
      </c>
      <c r="BG45" s="16">
        <v>1388</v>
      </c>
      <c r="BH45" s="17">
        <f t="shared" si="22"/>
        <v>1293</v>
      </c>
      <c r="BI45" s="15">
        <v>2681</v>
      </c>
      <c r="BJ45" s="7">
        <f t="shared" si="23"/>
        <v>0.88951559389515589</v>
      </c>
    </row>
    <row r="46" spans="1:62" x14ac:dyDescent="0.3">
      <c r="A46" s="21">
        <v>97</v>
      </c>
      <c r="B46" s="12" t="s">
        <v>40</v>
      </c>
      <c r="C46" s="13">
        <v>65</v>
      </c>
      <c r="D46" s="13">
        <v>45</v>
      </c>
      <c r="E46" s="6">
        <f t="shared" si="0"/>
        <v>4</v>
      </c>
      <c r="F46" s="14">
        <v>49</v>
      </c>
      <c r="G46" s="7">
        <f t="shared" si="1"/>
        <v>0.75384615384615383</v>
      </c>
      <c r="H46" s="13">
        <v>65</v>
      </c>
      <c r="I46" s="13">
        <v>44</v>
      </c>
      <c r="J46" s="6">
        <f t="shared" si="2"/>
        <v>5</v>
      </c>
      <c r="K46" s="14">
        <v>49</v>
      </c>
      <c r="L46" s="7">
        <f t="shared" si="3"/>
        <v>0.75384615384615383</v>
      </c>
      <c r="M46" s="13">
        <v>71</v>
      </c>
      <c r="N46" s="13">
        <v>53</v>
      </c>
      <c r="O46" s="6">
        <f t="shared" si="4"/>
        <v>3</v>
      </c>
      <c r="P46" s="15">
        <v>56</v>
      </c>
      <c r="Q46" s="7">
        <f t="shared" si="5"/>
        <v>0.78873239436619713</v>
      </c>
      <c r="R46" s="13">
        <v>70</v>
      </c>
      <c r="S46" s="13">
        <v>47</v>
      </c>
      <c r="T46" s="6">
        <f t="shared" si="6"/>
        <v>6</v>
      </c>
      <c r="U46" s="14">
        <v>53</v>
      </c>
      <c r="V46" s="7">
        <f t="shared" si="7"/>
        <v>0.75714285714285712</v>
      </c>
      <c r="W46" s="13">
        <v>71</v>
      </c>
      <c r="X46" s="13">
        <v>49</v>
      </c>
      <c r="Y46" s="6">
        <f t="shared" si="8"/>
        <v>5</v>
      </c>
      <c r="Z46" s="14">
        <v>54</v>
      </c>
      <c r="AA46" s="7">
        <f t="shared" si="9"/>
        <v>0.76056338028169013</v>
      </c>
      <c r="AB46" s="13">
        <v>76</v>
      </c>
      <c r="AC46" s="13">
        <v>51</v>
      </c>
      <c r="AD46" s="6">
        <f t="shared" si="10"/>
        <v>8</v>
      </c>
      <c r="AE46" s="15">
        <v>59</v>
      </c>
      <c r="AF46" s="7">
        <f t="shared" si="11"/>
        <v>0.77631578947368418</v>
      </c>
      <c r="AG46" s="13">
        <v>73</v>
      </c>
      <c r="AH46" s="13">
        <v>48</v>
      </c>
      <c r="AI46" s="6">
        <f t="shared" si="12"/>
        <v>8</v>
      </c>
      <c r="AJ46" s="14">
        <v>56</v>
      </c>
      <c r="AK46" s="7">
        <f t="shared" si="13"/>
        <v>0.76712328767123283</v>
      </c>
      <c r="AL46" s="13">
        <v>74</v>
      </c>
      <c r="AM46" s="13">
        <v>49</v>
      </c>
      <c r="AN46" s="6">
        <f t="shared" si="14"/>
        <v>7</v>
      </c>
      <c r="AO46" s="14">
        <v>56</v>
      </c>
      <c r="AP46" s="7">
        <f t="shared" si="15"/>
        <v>0.7567567567567568</v>
      </c>
      <c r="AQ46" s="13">
        <v>76</v>
      </c>
      <c r="AR46" s="13">
        <v>56</v>
      </c>
      <c r="AS46" s="6">
        <f t="shared" si="16"/>
        <v>5</v>
      </c>
      <c r="AT46" s="15">
        <v>61</v>
      </c>
      <c r="AU46" s="7">
        <f t="shared" si="17"/>
        <v>0.80263157894736847</v>
      </c>
      <c r="AV46" s="13">
        <v>71</v>
      </c>
      <c r="AW46" s="13">
        <v>54</v>
      </c>
      <c r="AX46" s="6">
        <f t="shared" si="18"/>
        <v>4</v>
      </c>
      <c r="AY46" s="14">
        <v>58</v>
      </c>
      <c r="AZ46" s="7">
        <f t="shared" si="19"/>
        <v>0.81690140845070425</v>
      </c>
      <c r="BA46" s="13">
        <v>73</v>
      </c>
      <c r="BB46" s="13">
        <v>58</v>
      </c>
      <c r="BC46" s="6">
        <f t="shared" si="20"/>
        <v>0</v>
      </c>
      <c r="BD46" s="14">
        <v>58</v>
      </c>
      <c r="BE46" s="7">
        <f t="shared" si="21"/>
        <v>0.79452054794520544</v>
      </c>
      <c r="BF46" s="13">
        <v>81</v>
      </c>
      <c r="BG46" s="13">
        <v>62</v>
      </c>
      <c r="BH46" s="6">
        <f t="shared" si="22"/>
        <v>3</v>
      </c>
      <c r="BI46" s="15">
        <v>65</v>
      </c>
      <c r="BJ46" s="7">
        <f t="shared" si="23"/>
        <v>0.80246913580246915</v>
      </c>
    </row>
    <row r="47" spans="1:62" ht="15.6" x14ac:dyDescent="0.3">
      <c r="A47" s="27" t="s">
        <v>41</v>
      </c>
      <c r="B47" s="27"/>
      <c r="C47" s="10">
        <f>SUM(C9:C46)</f>
        <v>5758955</v>
      </c>
      <c r="D47" s="11">
        <f>SUM(D9:D46)</f>
        <v>1095718</v>
      </c>
      <c r="E47" s="8">
        <f>F47-D47</f>
        <v>2360026</v>
      </c>
      <c r="F47" s="10">
        <f>SUM(F9:F46)</f>
        <v>3455744</v>
      </c>
      <c r="G47" s="9">
        <f>F47/C47</f>
        <v>0.600064421409787</v>
      </c>
      <c r="H47" s="10">
        <f>SUM(H9:H46)</f>
        <v>5564504</v>
      </c>
      <c r="I47" s="11">
        <f>SUM(I9:I46)</f>
        <v>1115232</v>
      </c>
      <c r="J47" s="8">
        <f>K47-I47</f>
        <v>2353472</v>
      </c>
      <c r="K47" s="10">
        <f>SUM(K9:K46)</f>
        <v>3468704</v>
      </c>
      <c r="L47" s="9">
        <f>K47/H47</f>
        <v>0.62336265730063267</v>
      </c>
      <c r="M47" s="10">
        <f>SUM(M9:M46)</f>
        <v>10358399</v>
      </c>
      <c r="N47" s="11">
        <f>SUM(N9:N46)</f>
        <v>3878941</v>
      </c>
      <c r="O47" s="8">
        <f>P47-N47</f>
        <v>4976126</v>
      </c>
      <c r="P47" s="10">
        <f>SUM(P9:P46)</f>
        <v>8855067</v>
      </c>
      <c r="Q47" s="9">
        <f>P47/M47</f>
        <v>0.85486830542055781</v>
      </c>
      <c r="R47" s="10">
        <f>SUM(R9:R46)</f>
        <v>5133194</v>
      </c>
      <c r="S47" s="11">
        <f>SUM(S9:S46)</f>
        <v>1029570</v>
      </c>
      <c r="T47" s="8">
        <f>U47-S47</f>
        <v>2484223</v>
      </c>
      <c r="U47" s="10">
        <f>SUM(U9:U46)</f>
        <v>3513793</v>
      </c>
      <c r="V47" s="9">
        <f>U47/R47</f>
        <v>0.68452370979939581</v>
      </c>
      <c r="W47" s="10">
        <f>SUM(W9:W46)</f>
        <v>4985666</v>
      </c>
      <c r="X47" s="11">
        <f>SUM(X9:X46)</f>
        <v>1088928</v>
      </c>
      <c r="Y47" s="8">
        <f>Z47-X47</f>
        <v>2446416</v>
      </c>
      <c r="Z47" s="10">
        <f>SUM(Z9:Z46)</f>
        <v>3535344</v>
      </c>
      <c r="AA47" s="9">
        <f>Z47/W47</f>
        <v>0.70910165261772451</v>
      </c>
      <c r="AB47" s="10">
        <f>SUM(AB9:AB46)</f>
        <v>10473814</v>
      </c>
      <c r="AC47" s="11">
        <f>SUM(AC9:AC46)</f>
        <v>3085003</v>
      </c>
      <c r="AD47" s="8">
        <f>AE47-AC47</f>
        <v>5974089</v>
      </c>
      <c r="AE47" s="10">
        <f>SUM(AE9:AE46)</f>
        <v>9059092</v>
      </c>
      <c r="AF47" s="9">
        <f>AE47/AB47</f>
        <v>0.86492771401134294</v>
      </c>
      <c r="AG47" s="10">
        <f>SUM(AG9:AG46)</f>
        <v>4845556</v>
      </c>
      <c r="AH47" s="11">
        <f>SUM(AH9:AH46)</f>
        <v>985747</v>
      </c>
      <c r="AI47" s="8">
        <f>AJ47-AH47</f>
        <v>2598061</v>
      </c>
      <c r="AJ47" s="10">
        <f>SUM(AJ9:AJ46)</f>
        <v>3583808</v>
      </c>
      <c r="AK47" s="9">
        <f>AJ47/AG47</f>
        <v>0.73960717820617494</v>
      </c>
      <c r="AL47" s="10">
        <f>SUM(AL9:AL46)</f>
        <v>4698995</v>
      </c>
      <c r="AM47" s="11">
        <f>SUM(AM9:AM46)</f>
        <v>1258082</v>
      </c>
      <c r="AN47" s="8">
        <f>AO47-AM47</f>
        <v>2369098</v>
      </c>
      <c r="AO47" s="10">
        <f>SUM(AO9:AO46)</f>
        <v>3627180</v>
      </c>
      <c r="AP47" s="9">
        <f>AO47/AL47</f>
        <v>0.77190548191687802</v>
      </c>
      <c r="AQ47" s="10">
        <f>SUM(AQ9:AQ46)</f>
        <v>10370746</v>
      </c>
      <c r="AR47" s="11">
        <f>SUM(AR9:AR46)</f>
        <v>6055882</v>
      </c>
      <c r="AS47" s="8">
        <f>AT47-AR47</f>
        <v>3170777</v>
      </c>
      <c r="AT47" s="10">
        <f>SUM(AT9:AT46)</f>
        <v>9226659</v>
      </c>
      <c r="AU47" s="9">
        <f>AT47/AQ47</f>
        <v>0.88968132090015506</v>
      </c>
      <c r="AV47" s="10">
        <f>SUM(AV9:AV46)</f>
        <v>4462518</v>
      </c>
      <c r="AW47" s="11">
        <f>SUM(AW9:AW46)</f>
        <v>1912337</v>
      </c>
      <c r="AX47" s="8">
        <f>AY47-AW47</f>
        <v>1737464</v>
      </c>
      <c r="AY47" s="10">
        <f>SUM(AY9:AY46)</f>
        <v>3649801</v>
      </c>
      <c r="AZ47" s="9">
        <f>AY47/AV47</f>
        <v>0.81787927802195981</v>
      </c>
      <c r="BA47" s="10">
        <f>SUM(BA9:BA46)</f>
        <v>4374040</v>
      </c>
      <c r="BB47" s="11">
        <f>SUM(BB9:BB46)</f>
        <v>2778626</v>
      </c>
      <c r="BC47" s="8">
        <f>BD47-BB47</f>
        <v>869036</v>
      </c>
      <c r="BD47" s="10">
        <f>SUM(BD9:BD46)</f>
        <v>3647662</v>
      </c>
      <c r="BE47" s="9">
        <f>BD47/BA47</f>
        <v>0.83393430329855234</v>
      </c>
      <c r="BF47" s="10">
        <f>SUM(BF9:BF46)</f>
        <v>10430804</v>
      </c>
      <c r="BG47" s="11">
        <f>SUM(BG9:BG46)</f>
        <v>6292394</v>
      </c>
      <c r="BH47" s="8">
        <f>BI47-BG47</f>
        <v>2887354</v>
      </c>
      <c r="BI47" s="10">
        <f>SUM(BI9:BI46)</f>
        <v>9179748</v>
      </c>
      <c r="BJ47" s="9">
        <f>BI47/BF47</f>
        <v>0.88006140274517664</v>
      </c>
    </row>
    <row r="57" spans="1:14" x14ac:dyDescent="0.3">
      <c r="J57" s="18"/>
    </row>
    <row r="59" spans="1:14" ht="15.6" x14ac:dyDescent="0.3">
      <c r="A59" s="3" t="s">
        <v>42</v>
      </c>
    </row>
    <row r="61" spans="1:14" x14ac:dyDescent="0.3">
      <c r="A61" s="24" t="s">
        <v>43</v>
      </c>
      <c r="B61" s="24"/>
      <c r="C61" s="24"/>
      <c r="D61" s="24"/>
      <c r="E61" s="24"/>
      <c r="F61" s="5"/>
    </row>
    <row r="62" spans="1:14" x14ac:dyDescent="0.3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</sheetData>
  <mergeCells count="18">
    <mergeCell ref="AB7:AF7"/>
    <mergeCell ref="AQ7:AU7"/>
    <mergeCell ref="AV7:AZ7"/>
    <mergeCell ref="BA7:BE7"/>
    <mergeCell ref="BF7:BJ7"/>
    <mergeCell ref="AG7:AK7"/>
    <mergeCell ref="AL7:AP7"/>
    <mergeCell ref="A2:C2"/>
    <mergeCell ref="A61:E61"/>
    <mergeCell ref="M7:Q7"/>
    <mergeCell ref="R7:V7"/>
    <mergeCell ref="W7:AA7"/>
    <mergeCell ref="A47:B47"/>
    <mergeCell ref="A4:C4"/>
    <mergeCell ref="A7:A8"/>
    <mergeCell ref="B7:B8"/>
    <mergeCell ref="C7:G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2026-03-11T10:15:08Z</dcterms:modified>
</cp:coreProperties>
</file>