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Registration\"/>
    </mc:Choice>
  </mc:AlternateContent>
  <xr:revisionPtr revIDLastSave="0" documentId="13_ncr:1_{FEE93C08-A54F-433A-B67B-F7C42867BF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gistration" sheetId="2" r:id="rId1"/>
    <sheet name="Gender Based Analysis" sheetId="3" r:id="rId2"/>
  </sheets>
  <definedNames>
    <definedName name="_xlnm._FilterDatabase" localSheetId="0" hidden="1">Registration!$A$2:$L$41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2" l="1"/>
  <c r="I42" i="2"/>
  <c r="C4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 l="1"/>
  <c r="D42" i="2" l="1"/>
  <c r="E42" i="2"/>
  <c r="F42" i="2"/>
  <c r="G42" i="2"/>
  <c r="H42" i="2"/>
  <c r="J42" i="2"/>
</calcChain>
</file>

<file path=xl/sharedStrings.xml><?xml version="1.0" encoding="utf-8"?>
<sst xmlns="http://schemas.openxmlformats.org/spreadsheetml/2006/main" count="85" uniqueCount="84">
  <si>
    <t>State Name</t>
  </si>
  <si>
    <t>Normal Taxpayers</t>
  </si>
  <si>
    <t>Composition Taxpayers</t>
  </si>
  <si>
    <t>Input Service Distributor</t>
  </si>
  <si>
    <t>Casual Taxpayers</t>
  </si>
  <si>
    <t>Tax Collector at source</t>
  </si>
  <si>
    <t>Tax Deductor at source</t>
  </si>
  <si>
    <t>Total</t>
  </si>
  <si>
    <t>UIN Holders</t>
  </si>
  <si>
    <t>Andaman and Nicobar Islands</t>
  </si>
  <si>
    <t>Andhra Pradesh</t>
  </si>
  <si>
    <t>Arunachal Pradesh</t>
  </si>
  <si>
    <t>Assam</t>
  </si>
  <si>
    <t>Bihar</t>
  </si>
  <si>
    <t>Center Jurisdiction</t>
  </si>
  <si>
    <t>Chandigarh</t>
  </si>
  <si>
    <t>Chattisgarh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</si>
  <si>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</si>
  <si>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</si>
  <si>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</si>
  <si>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</si>
  <si>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</si>
  <si>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</si>
  <si>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</si>
  <si>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</si>
  <si>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</si>
  <si>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</si>
  <si>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</si>
  <si>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</si>
  <si>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</si>
  <si>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</si>
  <si>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Manipur</t>
  </si>
  <si>
    <t>Meghalaya</t>
  </si>
  <si>
    <t>Mizoram</t>
  </si>
  <si>
    <t>Nagaland</t>
  </si>
  <si>
    <t>Odisha</t>
  </si>
  <si>
    <t>Other Territory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</si>
  <si>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</si>
  <si>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</si>
  <si>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</si>
  <si>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</si>
  <si>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</si>
  <si>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</si>
  <si>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</si>
  <si>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</si>
  <si>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</si>
  <si>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</si>
  <si>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Grand Total</t>
  </si>
  <si>
    <t>Non Resident Taxpayers</t>
  </si>
  <si>
    <t>OIDAR</t>
  </si>
  <si>
    <t>State Code</t>
  </si>
  <si>
    <t>Constitution of business</t>
  </si>
  <si>
    <t>(1)</t>
  </si>
  <si>
    <t>(2)</t>
  </si>
  <si>
    <t>(3)</t>
  </si>
  <si>
    <t>(4)</t>
  </si>
  <si>
    <t>(5)</t>
  </si>
  <si>
    <t>(6)</t>
  </si>
  <si>
    <t>Foreign Company</t>
  </si>
  <si>
    <t>Foreign Limited Liability Partnership</t>
  </si>
  <si>
    <t>Hindu Undivided Family</t>
  </si>
  <si>
    <t>Partnership</t>
  </si>
  <si>
    <t>Proprietorship</t>
  </si>
  <si>
    <t>Public Sector Undertaking</t>
  </si>
  <si>
    <t>Unlimited Company</t>
  </si>
  <si>
    <t>Private Limited Company</t>
  </si>
  <si>
    <t>Any other body notified by committee</t>
  </si>
  <si>
    <t>Limited Liability Partnership</t>
  </si>
  <si>
    <t>Local Authority</t>
  </si>
  <si>
    <t>Others</t>
  </si>
  <si>
    <t>Statutory Body</t>
  </si>
  <si>
    <t>Public Limited Company</t>
  </si>
  <si>
    <t>Government Department</t>
  </si>
  <si>
    <t>Society/ Club/ Trust/ AOP</t>
  </si>
  <si>
    <t>Note -</t>
  </si>
  <si>
    <t>* Total excludes temporary GSTINs</t>
  </si>
  <si>
    <t># Gender of natural persons as declared in section 21 of GST registration application Form REG-01</t>
  </si>
  <si>
    <t># Constitution of business which not included in summary are :
1.	Authority or board or any other body notified by Central / State Government
2.	Statutory Body/Government agencies
3.	Society established by Central / State Government or Local Authority</t>
  </si>
  <si>
    <t>Maharashtra</t>
  </si>
  <si>
    <t>Total no. of taxpayers registered as on last day as on 31st March 2026*</t>
  </si>
  <si>
    <r>
      <t xml:space="preserve">Out of (2), number and % of Taxpayers having </t>
    </r>
    <r>
      <rPr>
        <b/>
        <u/>
        <sz val="12"/>
        <color theme="1"/>
        <rFont val="Calibri"/>
        <family val="2"/>
        <scheme val="minor"/>
      </rPr>
      <t xml:space="preserve">all female members </t>
    </r>
    <r>
      <rPr>
        <b/>
        <sz val="12"/>
        <color theme="1"/>
        <rFont val="Calibri"/>
        <family val="2"/>
        <scheme val="minor"/>
      </rPr>
      <t>on 31st March 2026#</t>
    </r>
  </si>
  <si>
    <r>
      <t xml:space="preserve">Out of (2), number and % of Taxpayers having </t>
    </r>
    <r>
      <rPr>
        <b/>
        <u/>
        <sz val="12"/>
        <color theme="1"/>
        <rFont val="Calibri"/>
        <family val="2"/>
        <scheme val="minor"/>
      </rPr>
      <t>at least one female member</t>
    </r>
    <r>
      <rPr>
        <b/>
        <sz val="12"/>
        <color theme="1"/>
        <rFont val="Calibri"/>
        <family val="2"/>
        <scheme val="minor"/>
      </rPr>
      <t xml:space="preserve"> on 31st March 2026#</t>
    </r>
  </si>
  <si>
    <t>State Wise Registration Typewise No. of Active Tax payers as on 31st Aug 26</t>
  </si>
  <si>
    <t>Gender Based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</si>
</sst>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2" fillId="0" borderId="0" xfId="0" applyNumberFormat="1" applyFont="1"/>
    <xf numFmtId="0" fontId="6" fillId="5" borderId="4" xfId="0" applyFont="1" applyFill="1" applyBorder="1" applyAlignment="1">
      <alignment horizontal="center" vertical="center" wrapText="1"/>
    </xf>
    <xf numFmtId="0" fontId="6" fillId="5" borderId="4" xfId="0" quotePrefix="1" applyFont="1" applyFill="1" applyBorder="1" applyAlignment="1">
      <alignment horizontal="center" vertical="center" wrapText="1"/>
    </xf>
    <xf numFmtId="164" fontId="0" fillId="0" borderId="4" xfId="1" applyNumberFormat="1" applyFont="1" applyBorder="1"/>
    <xf numFmtId="165" fontId="0" fillId="0" borderId="4" xfId="1" applyNumberFormat="1" applyFont="1" applyBorder="1"/>
    <xf numFmtId="0" fontId="8" fillId="0" borderId="0" xfId="0" applyFont="1"/>
    <xf numFmtId="0" fontId="6" fillId="5" borderId="14" xfId="0" quotePrefix="1" applyFont="1" applyFill="1" applyBorder="1" applyAlignment="1">
      <alignment horizontal="center" vertical="center"/>
    </xf>
    <xf numFmtId="0" fontId="6" fillId="5" borderId="15" xfId="0" quotePrefix="1" applyFont="1" applyFill="1" applyBorder="1" applyAlignment="1">
      <alignment horizontal="center" vertical="center" wrapText="1"/>
    </xf>
    <xf numFmtId="0" fontId="0" fillId="0" borderId="14" xfId="0" applyBorder="1"/>
    <xf numFmtId="165" fontId="0" fillId="0" borderId="15" xfId="0" applyNumberFormat="1" applyBorder="1"/>
    <xf numFmtId="164" fontId="5" fillId="6" borderId="17" xfId="1" applyNumberFormat="1" applyFont="1" applyFill="1" applyBorder="1"/>
    <xf numFmtId="165" fontId="5" fillId="6" borderId="17" xfId="1" applyNumberFormat="1" applyFont="1" applyFill="1" applyBorder="1"/>
    <xf numFmtId="165" fontId="5" fillId="6" borderId="18" xfId="0" applyNumberFormat="1" applyFont="1" applyFill="1" applyBorder="1"/>
    <xf numFmtId="0" fontId="6" fillId="5" borderId="14" xfId="0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vertical="center" wrapText="1"/>
    </xf>
    <xf numFmtId="0" fontId="9" fillId="6" borderId="16" xfId="0" applyFont="1" applyFill="1" applyBorder="1" applyAlignment="1">
      <alignment horizontal="right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85" zoomScaleNormal="85" workbookViewId="0">
      <pane ySplit="2" topLeftCell="A18" activePane="bottomLeft" state="frozen"/>
      <selection pane="bottomLeft" activeCell="M30" sqref="M30"/>
    </sheetView>
  </sheetViews>
  <sheetFormatPr defaultColWidth="9.109375" defaultRowHeight="15.6" x14ac:dyDescent="0.3"/>
  <cols>
    <col min="1" max="1" width="11.6640625" style="3" bestFit="1" customWidth="1"/>
    <col min="2" max="2" width="28.6640625" style="3" customWidth="1"/>
    <col min="3" max="5" width="16.44140625" style="3" customWidth="1"/>
    <col min="6" max="6" width="12.88671875" style="3" customWidth="1"/>
    <col min="7" max="7" width="18" style="3" customWidth="1"/>
    <col min="8" max="8" width="17.6640625" style="3" customWidth="1"/>
    <col min="9" max="9" width="14.44140625" style="3" customWidth="1"/>
    <col min="10" max="10" width="9.6640625" style="3" customWidth="1"/>
    <col min="11" max="11" width="13.44140625" style="3" customWidth="1"/>
    <col min="12" max="12" width="16.44140625" style="3" customWidth="1"/>
    <col min="13" max="13" width="15.33203125" style="3" customWidth="1"/>
    <col min="14" max="16384" width="9.109375" style="3"/>
  </cols>
  <sheetData>
    <row r="1" spans="1:12" ht="17.399999999999999" x14ac:dyDescent="0.3">
      <c r="A1" s="36" t="s">
        <v>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48.6" customHeight="1" x14ac:dyDescent="0.3">
      <c r="A2" s="1" t="s">
        <v>50</v>
      </c>
      <c r="B2" s="1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48</v>
      </c>
      <c r="J2" s="5" t="s">
        <v>49</v>
      </c>
      <c r="K2" s="5" t="s">
        <v>8</v>
      </c>
      <c r="L2" s="5" t="s">
        <v>7</v>
      </c>
    </row>
    <row r="3" spans="1:12" ht="15" customHeight="1" x14ac:dyDescent="0.3">
      <c r="A3" s="2">
        <v>1</v>
      </c>
      <c r="B3" s="4" t="s">
        <v>24</v>
      </c>
      <c r="C3" s="6">
        <v>155211</v>
      </c>
      <c r="D3" s="6">
        <v>9192</v>
      </c>
      <c r="E3" s="6">
        <v>30</v>
      </c>
      <c r="F3" s="6">
        <v>9</v>
      </c>
      <c r="G3" s="6">
        <v>272</v>
      </c>
      <c r="H3" s="6">
        <v>8429</v>
      </c>
      <c r="I3" s="6">
        <v>0</v>
      </c>
      <c r="J3" s="2">
        <v>0</v>
      </c>
      <c r="K3" s="6">
        <v>23</v>
      </c>
      <c r="L3" s="6">
        <f>SUM(C3:J3)</f>
        <v>173143</v>
      </c>
    </row>
    <row r="4" spans="1:12" ht="15" customHeight="1" x14ac:dyDescent="0.3">
      <c r="A4" s="2">
        <v>2</v>
      </c>
      <c r="B4" s="4" t="s">
        <v>23</v>
      </c>
      <c r="C4" s="6">
        <v>120746</v>
      </c>
      <c r="D4" s="6">
        <v>15150</v>
      </c>
      <c r="E4" s="6">
        <v>64</v>
      </c>
      <c r="F4" s="6">
        <v>6</v>
      </c>
      <c r="G4" s="6">
        <v>336</v>
      </c>
      <c r="H4" s="6">
        <v>2546</v>
      </c>
      <c r="I4" s="6">
        <v>0</v>
      </c>
      <c r="J4" s="2">
        <v>0</v>
      </c>
      <c r="K4" s="6">
        <v>37</v>
      </c>
      <c r="L4" s="6">
        <f t="shared" ref="L4:L41" si="0">SUM(C4:J4)</f>
        <v>138848</v>
      </c>
    </row>
    <row r="5" spans="1:12" ht="15" customHeight="1" x14ac:dyDescent="0.3">
      <c r="A5" s="2">
        <v>3</v>
      </c>
      <c r="B5" s="4" t="s">
        <v>38</v>
      </c>
      <c r="C5" s="6">
        <v>409896</v>
      </c>
      <c r="D5" s="6">
        <v>35899</v>
      </c>
      <c r="E5" s="6">
        <v>305</v>
      </c>
      <c r="F5" s="6">
        <v>97</v>
      </c>
      <c r="G5" s="6">
        <v>726</v>
      </c>
      <c r="H5" s="6">
        <v>11126</v>
      </c>
      <c r="I5" s="6">
        <v>0</v>
      </c>
      <c r="J5" s="2">
        <v>0</v>
      </c>
      <c r="K5" s="6">
        <v>22</v>
      </c>
      <c r="L5" s="6">
        <f t="shared" si="0"/>
        <v>458049</v>
      </c>
    </row>
    <row r="6" spans="1:12" ht="15" customHeight="1" x14ac:dyDescent="0.3">
      <c r="A6" s="2">
        <v>4</v>
      </c>
      <c r="B6" s="4" t="s">
        <v>15</v>
      </c>
      <c r="C6" s="6">
        <v>31242</v>
      </c>
      <c r="D6" s="6">
        <v>1546</v>
      </c>
      <c r="E6" s="6">
        <v>172</v>
      </c>
      <c r="F6" s="6">
        <v>88</v>
      </c>
      <c r="G6" s="6">
        <v>326</v>
      </c>
      <c r="H6" s="6">
        <v>959</v>
      </c>
      <c r="I6" s="6">
        <v>0</v>
      </c>
      <c r="J6" s="2">
        <v>0</v>
      </c>
      <c r="K6" s="6">
        <v>5</v>
      </c>
      <c r="L6" s="6">
        <f t="shared" si="0"/>
        <v>34333</v>
      </c>
    </row>
    <row r="7" spans="1:12" ht="15" customHeight="1" x14ac:dyDescent="0.3">
      <c r="A7" s="2">
        <v>5</v>
      </c>
      <c r="B7" s="4" t="s">
        <v>45</v>
      </c>
      <c r="C7" s="6">
        <v>200778</v>
      </c>
      <c r="D7" s="6">
        <v>29365</v>
      </c>
      <c r="E7" s="6">
        <v>92</v>
      </c>
      <c r="F7" s="6">
        <v>29</v>
      </c>
      <c r="G7" s="6">
        <v>567</v>
      </c>
      <c r="H7" s="6">
        <v>5139</v>
      </c>
      <c r="I7" s="6">
        <v>0</v>
      </c>
      <c r="J7" s="2">
        <v>0</v>
      </c>
      <c r="K7" s="6">
        <v>21</v>
      </c>
      <c r="L7" s="6">
        <f t="shared" si="0"/>
        <v>235970</v>
      </c>
    </row>
    <row r="8" spans="1:12" ht="15" customHeight="1" x14ac:dyDescent="0.3">
      <c r="A8" s="2">
        <v>6</v>
      </c>
      <c r="B8" s="4" t="s">
        <v>22</v>
      </c>
      <c r="C8" s="6">
        <v>637403</v>
      </c>
      <c r="D8" s="6">
        <v>13666</v>
      </c>
      <c r="E8" s="6">
        <v>2725</v>
      </c>
      <c r="F8" s="6">
        <v>18</v>
      </c>
      <c r="G8" s="6">
        <v>1398</v>
      </c>
      <c r="H8" s="6">
        <v>8550</v>
      </c>
      <c r="I8" s="6">
        <v>5</v>
      </c>
      <c r="J8" s="2">
        <v>0</v>
      </c>
      <c r="K8" s="6">
        <v>42</v>
      </c>
      <c r="L8" s="6">
        <f t="shared" si="0"/>
        <v>663765</v>
      </c>
    </row>
    <row r="9" spans="1:12" ht="15" customHeight="1" x14ac:dyDescent="0.3">
      <c r="A9" s="2">
        <v>7</v>
      </c>
      <c r="B9" s="4" t="s">
        <v>19</v>
      </c>
      <c r="C9" s="6">
        <v>911705</v>
      </c>
      <c r="D9" s="6">
        <v>15352</v>
      </c>
      <c r="E9" s="6">
        <v>3778</v>
      </c>
      <c r="F9" s="6">
        <v>106</v>
      </c>
      <c r="G9" s="6">
        <v>2003</v>
      </c>
      <c r="H9" s="6">
        <v>8006</v>
      </c>
      <c r="I9" s="6">
        <v>7</v>
      </c>
      <c r="J9" s="2">
        <v>0</v>
      </c>
      <c r="K9" s="6">
        <v>326</v>
      </c>
      <c r="L9" s="6">
        <f t="shared" si="0"/>
        <v>940957</v>
      </c>
    </row>
    <row r="10" spans="1:12" ht="15" customHeight="1" x14ac:dyDescent="0.3">
      <c r="A10" s="2">
        <v>8</v>
      </c>
      <c r="B10" s="4" t="s">
        <v>39</v>
      </c>
      <c r="C10" s="6">
        <v>851822</v>
      </c>
      <c r="D10" s="6">
        <v>109485</v>
      </c>
      <c r="E10" s="6">
        <v>602</v>
      </c>
      <c r="F10" s="6">
        <v>25</v>
      </c>
      <c r="G10" s="6">
        <v>1016</v>
      </c>
      <c r="H10" s="6">
        <v>27919</v>
      </c>
      <c r="I10" s="6">
        <v>0</v>
      </c>
      <c r="J10" s="2">
        <v>0</v>
      </c>
      <c r="K10" s="6">
        <v>96</v>
      </c>
      <c r="L10" s="6">
        <f t="shared" si="0"/>
        <v>990869</v>
      </c>
    </row>
    <row r="11" spans="1:12" ht="15" customHeight="1" x14ac:dyDescent="0.3">
      <c r="A11" s="2">
        <v>9</v>
      </c>
      <c r="B11" s="4" t="s">
        <v>44</v>
      </c>
      <c r="C11" s="6">
        <v>1874990</v>
      </c>
      <c r="D11" s="6">
        <v>283633</v>
      </c>
      <c r="E11" s="6">
        <v>1484</v>
      </c>
      <c r="F11" s="6">
        <v>23</v>
      </c>
      <c r="G11" s="6">
        <v>1920</v>
      </c>
      <c r="H11" s="6">
        <v>78301</v>
      </c>
      <c r="I11" s="6">
        <v>1</v>
      </c>
      <c r="J11" s="2">
        <v>0</v>
      </c>
      <c r="K11" s="6">
        <v>312</v>
      </c>
      <c r="L11" s="6">
        <f t="shared" si="0"/>
        <v>2240352</v>
      </c>
    </row>
    <row r="12" spans="1:12" ht="15" customHeight="1" x14ac:dyDescent="0.3">
      <c r="A12" s="2">
        <v>10</v>
      </c>
      <c r="B12" s="4" t="s">
        <v>13</v>
      </c>
      <c r="C12" s="6">
        <v>642163</v>
      </c>
      <c r="D12" s="6">
        <v>78414</v>
      </c>
      <c r="E12" s="6">
        <v>103</v>
      </c>
      <c r="F12" s="6">
        <v>5</v>
      </c>
      <c r="G12" s="6">
        <v>633</v>
      </c>
      <c r="H12" s="6">
        <v>19356</v>
      </c>
      <c r="I12" s="6">
        <v>0</v>
      </c>
      <c r="J12" s="2">
        <v>0</v>
      </c>
      <c r="K12" s="6">
        <v>142</v>
      </c>
      <c r="L12" s="6">
        <f t="shared" si="0"/>
        <v>740674</v>
      </c>
    </row>
    <row r="13" spans="1:12" ht="15" customHeight="1" x14ac:dyDescent="0.3">
      <c r="A13" s="2">
        <v>11</v>
      </c>
      <c r="B13" s="4" t="s">
        <v>40</v>
      </c>
      <c r="C13" s="6">
        <v>10728</v>
      </c>
      <c r="D13" s="6">
        <v>663</v>
      </c>
      <c r="E13" s="6">
        <v>4</v>
      </c>
      <c r="F13" s="6">
        <v>1</v>
      </c>
      <c r="G13" s="6">
        <v>160</v>
      </c>
      <c r="H13" s="6">
        <v>543</v>
      </c>
      <c r="I13" s="6">
        <v>0</v>
      </c>
      <c r="J13" s="2">
        <v>0</v>
      </c>
      <c r="K13" s="6">
        <v>4</v>
      </c>
      <c r="L13" s="6">
        <f t="shared" si="0"/>
        <v>12099</v>
      </c>
    </row>
    <row r="14" spans="1:12" ht="15" customHeight="1" x14ac:dyDescent="0.3">
      <c r="A14" s="2">
        <v>12</v>
      </c>
      <c r="B14" s="4" t="s">
        <v>11</v>
      </c>
      <c r="C14" s="6">
        <v>19397</v>
      </c>
      <c r="D14" s="6">
        <v>1833</v>
      </c>
      <c r="E14" s="6">
        <v>3</v>
      </c>
      <c r="F14" s="6">
        <v>0</v>
      </c>
      <c r="G14" s="6">
        <v>158</v>
      </c>
      <c r="H14" s="6">
        <v>1689</v>
      </c>
      <c r="I14" s="6">
        <v>0</v>
      </c>
      <c r="J14" s="2">
        <v>0</v>
      </c>
      <c r="K14" s="6">
        <v>5</v>
      </c>
      <c r="L14" s="6">
        <f t="shared" si="0"/>
        <v>23080</v>
      </c>
    </row>
    <row r="15" spans="1:12" ht="15" customHeight="1" x14ac:dyDescent="0.3">
      <c r="A15" s="2">
        <v>13</v>
      </c>
      <c r="B15" s="4" t="s">
        <v>34</v>
      </c>
      <c r="C15" s="6">
        <v>9555</v>
      </c>
      <c r="D15" s="6">
        <v>1724</v>
      </c>
      <c r="E15" s="6">
        <v>3</v>
      </c>
      <c r="F15" s="6">
        <v>2</v>
      </c>
      <c r="G15" s="6">
        <v>141</v>
      </c>
      <c r="H15" s="6">
        <v>418</v>
      </c>
      <c r="I15" s="6">
        <v>0</v>
      </c>
      <c r="J15" s="2">
        <v>0</v>
      </c>
      <c r="K15" s="6">
        <v>7</v>
      </c>
      <c r="L15" s="6">
        <f t="shared" si="0"/>
        <v>11843</v>
      </c>
    </row>
    <row r="16" spans="1:12" ht="15" customHeight="1" x14ac:dyDescent="0.3">
      <c r="A16" s="2">
        <v>14</v>
      </c>
      <c r="B16" s="4" t="s">
        <v>31</v>
      </c>
      <c r="C16" s="6">
        <v>14299</v>
      </c>
      <c r="D16" s="6">
        <v>1363</v>
      </c>
      <c r="E16" s="6">
        <v>14</v>
      </c>
      <c r="F16" s="6">
        <v>0</v>
      </c>
      <c r="G16" s="6">
        <v>176</v>
      </c>
      <c r="H16" s="6">
        <v>733</v>
      </c>
      <c r="I16" s="6">
        <v>0</v>
      </c>
      <c r="J16" s="2">
        <v>0</v>
      </c>
      <c r="K16" s="6">
        <v>4</v>
      </c>
      <c r="L16" s="6">
        <f t="shared" si="0"/>
        <v>16585</v>
      </c>
    </row>
    <row r="17" spans="1:12" ht="15" customHeight="1" x14ac:dyDescent="0.3">
      <c r="A17" s="2">
        <v>15</v>
      </c>
      <c r="B17" s="4" t="s">
        <v>33</v>
      </c>
      <c r="C17" s="6">
        <v>9549</v>
      </c>
      <c r="D17" s="6">
        <v>177</v>
      </c>
      <c r="E17" s="6">
        <v>4</v>
      </c>
      <c r="F17" s="6">
        <v>1</v>
      </c>
      <c r="G17" s="6">
        <v>133</v>
      </c>
      <c r="H17" s="6">
        <v>408</v>
      </c>
      <c r="I17" s="6">
        <v>0</v>
      </c>
      <c r="J17" s="2">
        <v>0</v>
      </c>
      <c r="K17" s="6">
        <v>3</v>
      </c>
      <c r="L17" s="6">
        <f t="shared" si="0"/>
        <v>10272</v>
      </c>
    </row>
    <row r="18" spans="1:12" ht="15" customHeight="1" x14ac:dyDescent="0.3">
      <c r="A18" s="2">
        <v>16</v>
      </c>
      <c r="B18" s="4" t="s">
        <v>43</v>
      </c>
      <c r="C18" s="6">
        <v>32490</v>
      </c>
      <c r="D18" s="6">
        <v>2806</v>
      </c>
      <c r="E18" s="6">
        <v>11</v>
      </c>
      <c r="F18" s="6">
        <v>1</v>
      </c>
      <c r="G18" s="6">
        <v>186</v>
      </c>
      <c r="H18" s="6">
        <v>1455</v>
      </c>
      <c r="I18" s="6">
        <v>0</v>
      </c>
      <c r="J18" s="2">
        <v>0</v>
      </c>
      <c r="K18" s="6">
        <v>7</v>
      </c>
      <c r="L18" s="6">
        <f t="shared" si="0"/>
        <v>36949</v>
      </c>
    </row>
    <row r="19" spans="1:12" ht="15" customHeight="1" x14ac:dyDescent="0.3">
      <c r="A19" s="2">
        <v>17</v>
      </c>
      <c r="B19" s="4" t="s">
        <v>32</v>
      </c>
      <c r="C19" s="6">
        <v>32076</v>
      </c>
      <c r="D19" s="6">
        <v>2008</v>
      </c>
      <c r="E19" s="6">
        <v>14</v>
      </c>
      <c r="F19" s="6">
        <v>1</v>
      </c>
      <c r="G19" s="6">
        <v>185</v>
      </c>
      <c r="H19" s="6">
        <v>798</v>
      </c>
      <c r="I19" s="6">
        <v>0</v>
      </c>
      <c r="J19" s="2">
        <v>0</v>
      </c>
      <c r="K19" s="6">
        <v>5</v>
      </c>
      <c r="L19" s="6">
        <f t="shared" si="0"/>
        <v>35082</v>
      </c>
    </row>
    <row r="20" spans="1:12" ht="15" customHeight="1" x14ac:dyDescent="0.3">
      <c r="A20" s="2">
        <v>18</v>
      </c>
      <c r="B20" s="4" t="s">
        <v>12</v>
      </c>
      <c r="C20" s="6">
        <v>223419</v>
      </c>
      <c r="D20" s="6">
        <v>29918</v>
      </c>
      <c r="E20" s="6">
        <v>77</v>
      </c>
      <c r="F20" s="6">
        <v>8</v>
      </c>
      <c r="G20" s="6">
        <v>460</v>
      </c>
      <c r="H20" s="6">
        <v>8078</v>
      </c>
      <c r="I20" s="6">
        <v>0</v>
      </c>
      <c r="J20" s="2">
        <v>0</v>
      </c>
      <c r="K20" s="6">
        <v>44</v>
      </c>
      <c r="L20" s="6">
        <f t="shared" si="0"/>
        <v>261960</v>
      </c>
    </row>
    <row r="21" spans="1:12" ht="15" customHeight="1" x14ac:dyDescent="0.3">
      <c r="A21" s="2">
        <v>19</v>
      </c>
      <c r="B21" s="4" t="s">
        <v>46</v>
      </c>
      <c r="C21" s="6">
        <v>824823</v>
      </c>
      <c r="D21" s="6">
        <v>51343</v>
      </c>
      <c r="E21" s="6">
        <v>1220</v>
      </c>
      <c r="F21" s="6">
        <v>64</v>
      </c>
      <c r="G21" s="6">
        <v>1160</v>
      </c>
      <c r="H21" s="6">
        <v>15959</v>
      </c>
      <c r="I21" s="6">
        <v>3</v>
      </c>
      <c r="J21" s="2">
        <v>0</v>
      </c>
      <c r="K21" s="6">
        <v>216</v>
      </c>
      <c r="L21" s="6">
        <f t="shared" si="0"/>
        <v>894572</v>
      </c>
    </row>
    <row r="22" spans="1:12" ht="15" customHeight="1" x14ac:dyDescent="0.3">
      <c r="A22" s="2">
        <v>20</v>
      </c>
      <c r="B22" s="4" t="s">
        <v>25</v>
      </c>
      <c r="C22" s="6">
        <v>226400</v>
      </c>
      <c r="D22" s="6">
        <v>12966</v>
      </c>
      <c r="E22" s="6">
        <v>61</v>
      </c>
      <c r="F22" s="6">
        <v>12</v>
      </c>
      <c r="G22" s="6">
        <v>456</v>
      </c>
      <c r="H22" s="6">
        <v>5228</v>
      </c>
      <c r="I22" s="6">
        <v>0</v>
      </c>
      <c r="J22" s="2">
        <v>0</v>
      </c>
      <c r="K22" s="6">
        <v>50</v>
      </c>
      <c r="L22" s="6">
        <f t="shared" si="0"/>
        <v>245123</v>
      </c>
    </row>
    <row r="23" spans="1:12" ht="15" customHeight="1" x14ac:dyDescent="0.3">
      <c r="A23" s="2">
        <v>21</v>
      </c>
      <c r="B23" s="4" t="s">
        <v>35</v>
      </c>
      <c r="C23" s="6">
        <v>361284</v>
      </c>
      <c r="D23" s="6">
        <v>24203</v>
      </c>
      <c r="E23" s="6">
        <v>86</v>
      </c>
      <c r="F23" s="6">
        <v>5</v>
      </c>
      <c r="G23" s="6">
        <v>453</v>
      </c>
      <c r="H23" s="6">
        <v>5970</v>
      </c>
      <c r="I23" s="6">
        <v>0</v>
      </c>
      <c r="J23" s="2">
        <v>0</v>
      </c>
      <c r="K23" s="6">
        <v>59</v>
      </c>
      <c r="L23" s="6">
        <f t="shared" si="0"/>
        <v>392001</v>
      </c>
    </row>
    <row r="24" spans="1:12" ht="15" customHeight="1" x14ac:dyDescent="0.3">
      <c r="A24" s="2">
        <v>22</v>
      </c>
      <c r="B24" s="4" t="s">
        <v>16</v>
      </c>
      <c r="C24" s="6">
        <v>165691</v>
      </c>
      <c r="D24" s="6">
        <v>29808</v>
      </c>
      <c r="E24" s="6">
        <v>103</v>
      </c>
      <c r="F24" s="6">
        <v>110</v>
      </c>
      <c r="G24" s="6">
        <v>429</v>
      </c>
      <c r="H24" s="6">
        <v>15358</v>
      </c>
      <c r="I24" s="6">
        <v>0</v>
      </c>
      <c r="J24" s="2">
        <v>0</v>
      </c>
      <c r="K24" s="6">
        <v>35</v>
      </c>
      <c r="L24" s="6">
        <f t="shared" si="0"/>
        <v>211499</v>
      </c>
    </row>
    <row r="25" spans="1:12" ht="15" customHeight="1" x14ac:dyDescent="0.3">
      <c r="A25" s="2">
        <v>23</v>
      </c>
      <c r="B25" s="4" t="s">
        <v>30</v>
      </c>
      <c r="C25" s="6">
        <v>561911</v>
      </c>
      <c r="D25" s="6">
        <v>37769</v>
      </c>
      <c r="E25" s="6">
        <v>365</v>
      </c>
      <c r="F25" s="6">
        <v>62</v>
      </c>
      <c r="G25" s="6">
        <v>887</v>
      </c>
      <c r="H25" s="6">
        <v>27359</v>
      </c>
      <c r="I25" s="6">
        <v>0</v>
      </c>
      <c r="J25" s="2">
        <v>0</v>
      </c>
      <c r="K25" s="6">
        <v>138</v>
      </c>
      <c r="L25" s="6">
        <f t="shared" si="0"/>
        <v>628353</v>
      </c>
    </row>
    <row r="26" spans="1:12" ht="15" customHeight="1" x14ac:dyDescent="0.3">
      <c r="A26" s="2">
        <v>24</v>
      </c>
      <c r="B26" s="4" t="s">
        <v>21</v>
      </c>
      <c r="C26" s="6">
        <v>1328857</v>
      </c>
      <c r="D26" s="6">
        <v>89015</v>
      </c>
      <c r="E26" s="6">
        <v>2036</v>
      </c>
      <c r="F26" s="6">
        <v>70</v>
      </c>
      <c r="G26" s="6">
        <v>1213</v>
      </c>
      <c r="H26" s="6">
        <v>38903</v>
      </c>
      <c r="I26" s="6">
        <v>5</v>
      </c>
      <c r="J26" s="2">
        <v>0</v>
      </c>
      <c r="K26" s="6">
        <v>93</v>
      </c>
      <c r="L26" s="6">
        <f t="shared" si="0"/>
        <v>1460099</v>
      </c>
    </row>
    <row r="27" spans="1:12" ht="15" customHeight="1" x14ac:dyDescent="0.3">
      <c r="A27" s="2">
        <v>25</v>
      </c>
      <c r="B27" s="4" t="s">
        <v>18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6">
        <f t="shared" si="0"/>
        <v>0</v>
      </c>
    </row>
    <row r="28" spans="1:12" ht="15" customHeight="1" x14ac:dyDescent="0.3">
      <c r="A28" s="2">
        <v>26</v>
      </c>
      <c r="B28" s="4" t="s">
        <v>17</v>
      </c>
      <c r="C28" s="6">
        <v>15978</v>
      </c>
      <c r="D28" s="6">
        <v>544</v>
      </c>
      <c r="E28" s="6">
        <v>29</v>
      </c>
      <c r="F28" s="6">
        <v>1</v>
      </c>
      <c r="G28" s="6">
        <v>224</v>
      </c>
      <c r="H28" s="6">
        <v>414</v>
      </c>
      <c r="I28" s="6">
        <v>0</v>
      </c>
      <c r="J28" s="2">
        <v>0</v>
      </c>
      <c r="K28" s="6">
        <v>0</v>
      </c>
      <c r="L28" s="6">
        <f t="shared" si="0"/>
        <v>17190</v>
      </c>
    </row>
    <row r="29" spans="1:12" ht="15" customHeight="1" x14ac:dyDescent="0.3">
      <c r="A29" s="2">
        <v>27</v>
      </c>
      <c r="B29" s="4" t="s">
        <v>78</v>
      </c>
      <c r="C29" s="6">
        <v>1915643</v>
      </c>
      <c r="D29" s="6">
        <v>116801</v>
      </c>
      <c r="E29" s="6">
        <v>7944</v>
      </c>
      <c r="F29" s="6">
        <v>165</v>
      </c>
      <c r="G29" s="6">
        <v>2051</v>
      </c>
      <c r="H29" s="6">
        <v>54709</v>
      </c>
      <c r="I29" s="6">
        <v>14</v>
      </c>
      <c r="J29" s="2">
        <v>0</v>
      </c>
      <c r="K29" s="6">
        <v>269</v>
      </c>
      <c r="L29" s="6">
        <f t="shared" si="0"/>
        <v>2097327</v>
      </c>
    </row>
    <row r="30" spans="1:12" ht="15" customHeight="1" x14ac:dyDescent="0.3">
      <c r="A30" s="2">
        <v>29</v>
      </c>
      <c r="B30" s="4" t="s">
        <v>26</v>
      </c>
      <c r="C30" s="6">
        <v>1018081</v>
      </c>
      <c r="D30" s="6">
        <v>96227</v>
      </c>
      <c r="E30" s="6">
        <v>2449</v>
      </c>
      <c r="F30" s="6">
        <v>199</v>
      </c>
      <c r="G30" s="6">
        <v>1945</v>
      </c>
      <c r="H30" s="6">
        <v>24457</v>
      </c>
      <c r="I30" s="6">
        <v>2</v>
      </c>
      <c r="J30" s="2">
        <v>0</v>
      </c>
      <c r="K30" s="6">
        <v>98</v>
      </c>
      <c r="L30" s="6">
        <f t="shared" si="0"/>
        <v>1143360</v>
      </c>
    </row>
    <row r="31" spans="1:12" ht="15" customHeight="1" x14ac:dyDescent="0.3">
      <c r="A31" s="2">
        <v>30</v>
      </c>
      <c r="B31" s="4" t="s">
        <v>20</v>
      </c>
      <c r="C31" s="6">
        <v>44587</v>
      </c>
      <c r="D31" s="6">
        <v>5352</v>
      </c>
      <c r="E31" s="6">
        <v>150</v>
      </c>
      <c r="F31" s="6">
        <v>12</v>
      </c>
      <c r="G31" s="6">
        <v>334</v>
      </c>
      <c r="H31" s="6">
        <v>1025</v>
      </c>
      <c r="I31" s="6">
        <v>0</v>
      </c>
      <c r="J31" s="2">
        <v>0</v>
      </c>
      <c r="K31" s="6">
        <v>12</v>
      </c>
      <c r="L31" s="6">
        <f t="shared" si="0"/>
        <v>51460</v>
      </c>
    </row>
    <row r="32" spans="1:12" ht="15" customHeight="1" x14ac:dyDescent="0.3">
      <c r="A32" s="2">
        <v>31</v>
      </c>
      <c r="B32" s="4" t="s">
        <v>29</v>
      </c>
      <c r="C32" s="2">
        <v>370</v>
      </c>
      <c r="D32" s="2">
        <v>26</v>
      </c>
      <c r="E32" s="2">
        <v>0</v>
      </c>
      <c r="F32" s="2">
        <v>0</v>
      </c>
      <c r="G32" s="2">
        <v>103</v>
      </c>
      <c r="H32" s="2">
        <v>53</v>
      </c>
      <c r="I32" s="2">
        <v>0</v>
      </c>
      <c r="J32" s="2">
        <v>0</v>
      </c>
      <c r="K32" s="2">
        <v>0</v>
      </c>
      <c r="L32" s="6">
        <f t="shared" si="0"/>
        <v>552</v>
      </c>
    </row>
    <row r="33" spans="1:13" ht="15" customHeight="1" x14ac:dyDescent="0.3">
      <c r="A33" s="2">
        <v>32</v>
      </c>
      <c r="B33" s="4" t="s">
        <v>27</v>
      </c>
      <c r="C33" s="6">
        <v>393276</v>
      </c>
      <c r="D33" s="6">
        <v>51513</v>
      </c>
      <c r="E33" s="6">
        <v>448</v>
      </c>
      <c r="F33" s="6">
        <v>45</v>
      </c>
      <c r="G33" s="6">
        <v>1074</v>
      </c>
      <c r="H33" s="6">
        <v>10525</v>
      </c>
      <c r="I33" s="6">
        <v>3</v>
      </c>
      <c r="J33" s="2">
        <v>0</v>
      </c>
      <c r="K33" s="6">
        <v>37</v>
      </c>
      <c r="L33" s="6">
        <f t="shared" si="0"/>
        <v>456884</v>
      </c>
    </row>
    <row r="34" spans="1:13" ht="15" customHeight="1" x14ac:dyDescent="0.3">
      <c r="A34" s="2">
        <v>33</v>
      </c>
      <c r="B34" s="4" t="s">
        <v>41</v>
      </c>
      <c r="C34" s="6">
        <v>1184493</v>
      </c>
      <c r="D34" s="6">
        <v>62054</v>
      </c>
      <c r="E34" s="6">
        <v>1792</v>
      </c>
      <c r="F34" s="6">
        <v>83</v>
      </c>
      <c r="G34" s="6">
        <v>1670</v>
      </c>
      <c r="H34" s="6">
        <v>24821</v>
      </c>
      <c r="I34" s="6">
        <v>2</v>
      </c>
      <c r="J34" s="2">
        <v>0</v>
      </c>
      <c r="K34" s="6">
        <v>149</v>
      </c>
      <c r="L34" s="6">
        <f t="shared" si="0"/>
        <v>1274915</v>
      </c>
    </row>
    <row r="35" spans="1:13" ht="15" customHeight="1" x14ac:dyDescent="0.3">
      <c r="A35" s="2">
        <v>34</v>
      </c>
      <c r="B35" s="4" t="s">
        <v>37</v>
      </c>
      <c r="C35" s="6">
        <v>24079</v>
      </c>
      <c r="D35" s="6">
        <v>2134</v>
      </c>
      <c r="E35" s="6">
        <v>30</v>
      </c>
      <c r="F35" s="6">
        <v>5</v>
      </c>
      <c r="G35" s="6">
        <v>236</v>
      </c>
      <c r="H35" s="6">
        <v>490</v>
      </c>
      <c r="I35" s="6">
        <v>0</v>
      </c>
      <c r="J35" s="2">
        <v>0</v>
      </c>
      <c r="K35" s="6">
        <v>1</v>
      </c>
      <c r="L35" s="6">
        <f t="shared" si="0"/>
        <v>26974</v>
      </c>
    </row>
    <row r="36" spans="1:13" ht="15" customHeight="1" x14ac:dyDescent="0.3">
      <c r="A36" s="2">
        <v>35</v>
      </c>
      <c r="B36" s="4" t="s">
        <v>9</v>
      </c>
      <c r="C36" s="6">
        <v>5819</v>
      </c>
      <c r="D36" s="6">
        <v>728</v>
      </c>
      <c r="E36" s="6">
        <v>6</v>
      </c>
      <c r="F36" s="6">
        <v>0</v>
      </c>
      <c r="G36" s="6">
        <v>129</v>
      </c>
      <c r="H36" s="6">
        <v>387</v>
      </c>
      <c r="I36" s="6">
        <v>0</v>
      </c>
      <c r="J36" s="2">
        <v>0</v>
      </c>
      <c r="K36" s="6">
        <v>0</v>
      </c>
      <c r="L36" s="6">
        <f t="shared" si="0"/>
        <v>7069</v>
      </c>
    </row>
    <row r="37" spans="1:13" ht="15" customHeight="1" x14ac:dyDescent="0.3">
      <c r="A37" s="2">
        <v>36</v>
      </c>
      <c r="B37" s="4" t="s">
        <v>42</v>
      </c>
      <c r="C37" s="6">
        <v>522582</v>
      </c>
      <c r="D37" s="6">
        <v>46781</v>
      </c>
      <c r="E37" s="6">
        <v>1062</v>
      </c>
      <c r="F37" s="6">
        <v>149</v>
      </c>
      <c r="G37" s="6">
        <v>690</v>
      </c>
      <c r="H37" s="6">
        <v>19674</v>
      </c>
      <c r="I37" s="6">
        <v>2</v>
      </c>
      <c r="J37" s="2">
        <v>0</v>
      </c>
      <c r="K37" s="6">
        <v>75</v>
      </c>
      <c r="L37" s="6">
        <f t="shared" si="0"/>
        <v>590940</v>
      </c>
    </row>
    <row r="38" spans="1:13" ht="15" customHeight="1" x14ac:dyDescent="0.3">
      <c r="A38" s="2">
        <v>37</v>
      </c>
      <c r="B38" s="4" t="s">
        <v>10</v>
      </c>
      <c r="C38" s="6">
        <v>377870</v>
      </c>
      <c r="D38" s="6">
        <v>80320</v>
      </c>
      <c r="E38" s="6">
        <v>146</v>
      </c>
      <c r="F38" s="6">
        <v>55</v>
      </c>
      <c r="G38" s="6">
        <v>740</v>
      </c>
      <c r="H38" s="6">
        <v>7780</v>
      </c>
      <c r="I38" s="6">
        <v>0</v>
      </c>
      <c r="J38" s="2">
        <v>0</v>
      </c>
      <c r="K38" s="6">
        <v>88</v>
      </c>
      <c r="L38" s="6">
        <f t="shared" si="0"/>
        <v>466911</v>
      </c>
    </row>
    <row r="39" spans="1:13" ht="15" customHeight="1" x14ac:dyDescent="0.3">
      <c r="A39" s="2">
        <v>38</v>
      </c>
      <c r="B39" s="4" t="s">
        <v>28</v>
      </c>
      <c r="C39" s="6">
        <v>9643</v>
      </c>
      <c r="D39" s="6">
        <v>662</v>
      </c>
      <c r="E39" s="6">
        <v>1</v>
      </c>
      <c r="F39" s="6">
        <v>5</v>
      </c>
      <c r="G39" s="6">
        <v>92</v>
      </c>
      <c r="H39" s="6">
        <v>710</v>
      </c>
      <c r="I39" s="6">
        <v>0</v>
      </c>
      <c r="J39" s="2">
        <v>0</v>
      </c>
      <c r="K39" s="6">
        <v>0</v>
      </c>
      <c r="L39" s="6">
        <f t="shared" si="0"/>
        <v>11113</v>
      </c>
    </row>
    <row r="40" spans="1:13" ht="15" customHeight="1" x14ac:dyDescent="0.3">
      <c r="A40" s="2">
        <v>97</v>
      </c>
      <c r="B40" s="4" t="s">
        <v>36</v>
      </c>
      <c r="C40" s="2">
        <v>72</v>
      </c>
      <c r="D40" s="2">
        <v>0</v>
      </c>
      <c r="E40" s="2">
        <v>0</v>
      </c>
      <c r="F40" s="2">
        <v>0</v>
      </c>
      <c r="G40" s="2">
        <v>21</v>
      </c>
      <c r="H40" s="2">
        <v>4</v>
      </c>
      <c r="I40" s="2">
        <v>0</v>
      </c>
      <c r="J40" s="2">
        <v>0</v>
      </c>
      <c r="K40" s="2">
        <v>0</v>
      </c>
      <c r="L40" s="6">
        <f t="shared" si="0"/>
        <v>97</v>
      </c>
    </row>
    <row r="41" spans="1:13" ht="15" customHeight="1" x14ac:dyDescent="0.3">
      <c r="A41" s="2">
        <v>99</v>
      </c>
      <c r="B41" s="4" t="s">
        <v>14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964</v>
      </c>
      <c r="K41" s="2">
        <v>0</v>
      </c>
      <c r="L41" s="6">
        <f t="shared" si="0"/>
        <v>964</v>
      </c>
    </row>
    <row r="42" spans="1:13" customFormat="1" x14ac:dyDescent="0.3">
      <c r="A42" s="8"/>
      <c r="B42" s="7" t="s">
        <v>47</v>
      </c>
      <c r="C42" s="23">
        <f>SUM(C3:C41)</f>
        <v>15168928</v>
      </c>
      <c r="D42" s="23">
        <f t="shared" ref="D42:J42" si="1">SUM(D3:D41)</f>
        <v>1340440</v>
      </c>
      <c r="E42" s="23">
        <f t="shared" si="1"/>
        <v>27413</v>
      </c>
      <c r="F42" s="23">
        <f t="shared" si="1"/>
        <v>1462</v>
      </c>
      <c r="G42" s="23">
        <f t="shared" si="1"/>
        <v>24703</v>
      </c>
      <c r="H42" s="23">
        <f t="shared" si="1"/>
        <v>438279</v>
      </c>
      <c r="I42" s="23">
        <f>SUM(I3:I41)</f>
        <v>44</v>
      </c>
      <c r="J42" s="23">
        <f t="shared" si="1"/>
        <v>964</v>
      </c>
      <c r="K42" s="23">
        <f>SUM(K3:K41)</f>
        <v>2426</v>
      </c>
      <c r="L42" s="23">
        <f>SUM(L3:L41)</f>
        <v>17002233</v>
      </c>
      <c r="M42" s="9"/>
    </row>
  </sheetData>
  <sortState xmlns:xlrd2="http://schemas.microsoft.com/office/spreadsheetml/2017/richdata2" ref="A4:L42">
    <sortCondition ref="A4:A42"/>
  </sortState>
  <mergeCells count="1">
    <mergeCell ref="A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E321-CD75-4C1D-B892-B20887EA78E4}">
  <dimension ref="C1:H31"/>
  <sheetViews>
    <sheetView topLeftCell="C1" workbookViewId="0">
      <selection activeCell="C3" sqref="C3"/>
    </sheetView>
  </sheetViews>
  <sheetFormatPr defaultRowHeight="14.4" x14ac:dyDescent="0.3"/>
  <cols>
    <col min="3" max="3" width="54.5546875" customWidth="1"/>
    <col min="4" max="4" width="24.88671875" customWidth="1"/>
    <col min="5" max="6" width="19" customWidth="1"/>
    <col min="7" max="7" width="16.88671875" customWidth="1"/>
    <col min="8" max="8" width="13" customWidth="1"/>
  </cols>
  <sheetData>
    <row r="1" spans="3:8" ht="15" thickBot="1" x14ac:dyDescent="0.35"/>
    <row r="2" spans="3:8" x14ac:dyDescent="0.3">
      <c r="C2" s="25" t="s">
        <v>83</v>
      </c>
      <c r="D2" s="26"/>
      <c r="E2" s="26"/>
      <c r="F2" s="26"/>
      <c r="G2" s="26"/>
      <c r="H2" s="27"/>
    </row>
    <row r="3" spans="3:8" ht="46.8" customHeight="1" x14ac:dyDescent="0.3">
      <c r="C3" s="22" t="s">
        <v>51</v>
      </c>
      <c r="D3" s="10" t="s">
        <v>79</v>
      </c>
      <c r="E3" s="28" t="s">
        <v>81</v>
      </c>
      <c r="F3" s="28"/>
      <c r="G3" s="28" t="s">
        <v>80</v>
      </c>
      <c r="H3" s="29"/>
    </row>
    <row r="4" spans="3:8" ht="15.6" x14ac:dyDescent="0.3">
      <c r="C4" s="15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6" t="s">
        <v>57</v>
      </c>
    </row>
    <row r="5" spans="3:8" x14ac:dyDescent="0.3">
      <c r="C5" s="17" t="s">
        <v>58</v>
      </c>
      <c r="D5" s="12">
        <v>1949</v>
      </c>
      <c r="E5" s="12">
        <v>241</v>
      </c>
      <c r="F5" s="13">
        <v>0.12365315546434069</v>
      </c>
      <c r="G5" s="12">
        <v>44</v>
      </c>
      <c r="H5" s="18">
        <v>2.2575679835813236E-2</v>
      </c>
    </row>
    <row r="6" spans="3:8" x14ac:dyDescent="0.3">
      <c r="C6" s="17" t="s">
        <v>59</v>
      </c>
      <c r="D6" s="12">
        <v>158</v>
      </c>
      <c r="E6" s="12">
        <v>84</v>
      </c>
      <c r="F6" s="13">
        <v>0.53164556962025311</v>
      </c>
      <c r="G6" s="12">
        <v>9</v>
      </c>
      <c r="H6" s="18">
        <v>5.6962025316455694E-2</v>
      </c>
    </row>
    <row r="7" spans="3:8" x14ac:dyDescent="0.3">
      <c r="C7" s="17" t="s">
        <v>60</v>
      </c>
      <c r="D7" s="12">
        <v>91220</v>
      </c>
      <c r="E7" s="12">
        <v>4346</v>
      </c>
      <c r="F7" s="13">
        <v>4.7643060732295552E-2</v>
      </c>
      <c r="G7" s="12">
        <v>477</v>
      </c>
      <c r="H7" s="18">
        <v>5.2291164218373166E-3</v>
      </c>
    </row>
    <row r="8" spans="3:8" x14ac:dyDescent="0.3">
      <c r="C8" s="17" t="s">
        <v>61</v>
      </c>
      <c r="D8" s="12">
        <v>1559421</v>
      </c>
      <c r="E8" s="12">
        <v>697880</v>
      </c>
      <c r="F8" s="13">
        <v>0.44752507501181527</v>
      </c>
      <c r="G8" s="12">
        <v>82284</v>
      </c>
      <c r="H8" s="18">
        <v>5.2765738052777282E-2</v>
      </c>
    </row>
    <row r="9" spans="3:8" x14ac:dyDescent="0.3">
      <c r="C9" s="17" t="s">
        <v>62</v>
      </c>
      <c r="D9" s="12">
        <v>12585263</v>
      </c>
      <c r="E9" s="12">
        <v>2342159</v>
      </c>
      <c r="F9" s="13">
        <v>0.18610330193338034</v>
      </c>
      <c r="G9" s="12">
        <v>2341994</v>
      </c>
      <c r="H9" s="18">
        <v>0.18609019136111815</v>
      </c>
    </row>
    <row r="10" spans="3:8" x14ac:dyDescent="0.3">
      <c r="C10" s="17" t="s">
        <v>63</v>
      </c>
      <c r="D10" s="12">
        <v>6925</v>
      </c>
      <c r="E10" s="12">
        <v>1128</v>
      </c>
      <c r="F10" s="13">
        <v>0.16288808664259927</v>
      </c>
      <c r="G10" s="12">
        <v>116</v>
      </c>
      <c r="H10" s="18">
        <v>1.6750902527075812E-2</v>
      </c>
    </row>
    <row r="11" spans="3:8" x14ac:dyDescent="0.3">
      <c r="C11" s="17" t="s">
        <v>64</v>
      </c>
      <c r="D11" s="12">
        <v>129</v>
      </c>
      <c r="E11" s="12">
        <v>64</v>
      </c>
      <c r="F11" s="13">
        <v>0.49612403100775193</v>
      </c>
      <c r="G11" s="12">
        <v>7</v>
      </c>
      <c r="H11" s="18">
        <v>5.4263565891472867E-2</v>
      </c>
    </row>
    <row r="12" spans="3:8" x14ac:dyDescent="0.3">
      <c r="C12" s="17" t="s">
        <v>65</v>
      </c>
      <c r="D12" s="12">
        <v>1162506</v>
      </c>
      <c r="E12" s="12">
        <v>587216</v>
      </c>
      <c r="F12" s="13">
        <v>0.50512943589108361</v>
      </c>
      <c r="G12" s="12">
        <v>55668</v>
      </c>
      <c r="H12" s="18">
        <v>4.7886204458299567E-2</v>
      </c>
    </row>
    <row r="13" spans="3:8" x14ac:dyDescent="0.3">
      <c r="C13" s="17" t="s">
        <v>66</v>
      </c>
      <c r="D13" s="12">
        <v>9802</v>
      </c>
      <c r="E13" s="12">
        <v>8</v>
      </c>
      <c r="F13" s="13">
        <v>8.1615996735360131E-4</v>
      </c>
      <c r="G13" s="12">
        <v>5</v>
      </c>
      <c r="H13" s="18">
        <v>5.1009997959600086E-4</v>
      </c>
    </row>
    <row r="14" spans="3:8" x14ac:dyDescent="0.3">
      <c r="C14" s="17" t="s">
        <v>67</v>
      </c>
      <c r="D14" s="12">
        <v>215950</v>
      </c>
      <c r="E14" s="12">
        <v>114010</v>
      </c>
      <c r="F14" s="13">
        <v>0.52794628386200504</v>
      </c>
      <c r="G14" s="12">
        <v>15668</v>
      </c>
      <c r="H14" s="18">
        <v>7.2553831905533689E-2</v>
      </c>
    </row>
    <row r="15" spans="3:8" x14ac:dyDescent="0.3">
      <c r="C15" s="17" t="s">
        <v>68</v>
      </c>
      <c r="D15" s="12">
        <v>120062</v>
      </c>
      <c r="E15" s="12">
        <v>1333</v>
      </c>
      <c r="F15" s="13">
        <v>1.1102596991554364E-2</v>
      </c>
      <c r="G15" s="12">
        <v>1001</v>
      </c>
      <c r="H15" s="18">
        <v>8.337359031167231E-3</v>
      </c>
    </row>
    <row r="16" spans="3:8" x14ac:dyDescent="0.3">
      <c r="C16" s="17" t="s">
        <v>69</v>
      </c>
      <c r="D16" s="12">
        <v>112769</v>
      </c>
      <c r="E16" s="12">
        <v>12047</v>
      </c>
      <c r="F16" s="13">
        <v>0.10682900442497495</v>
      </c>
      <c r="G16" s="12">
        <v>9572</v>
      </c>
      <c r="H16" s="18">
        <v>8.4881483386391648E-2</v>
      </c>
    </row>
    <row r="17" spans="3:8" x14ac:dyDescent="0.3">
      <c r="C17" s="17" t="s">
        <v>70</v>
      </c>
      <c r="D17" s="12">
        <v>4804</v>
      </c>
      <c r="E17" s="12">
        <v>143</v>
      </c>
      <c r="F17" s="13">
        <v>2.9766860949208992E-2</v>
      </c>
      <c r="G17" s="12">
        <v>77</v>
      </c>
      <c r="H17" s="18">
        <v>1.6028309741881765E-2</v>
      </c>
    </row>
    <row r="18" spans="3:8" x14ac:dyDescent="0.3">
      <c r="C18" s="17" t="s">
        <v>71</v>
      </c>
      <c r="D18" s="12">
        <v>94100</v>
      </c>
      <c r="E18" s="12">
        <v>44208</v>
      </c>
      <c r="F18" s="13">
        <v>0.46979808714133903</v>
      </c>
      <c r="G18" s="12">
        <v>1080</v>
      </c>
      <c r="H18" s="18">
        <v>1.1477151965993623E-2</v>
      </c>
    </row>
    <row r="19" spans="3:8" x14ac:dyDescent="0.3">
      <c r="C19" s="17" t="s">
        <v>72</v>
      </c>
      <c r="D19" s="12">
        <v>218214</v>
      </c>
      <c r="E19" s="12">
        <v>1399</v>
      </c>
      <c r="F19" s="13">
        <v>6.4111376905239808E-3</v>
      </c>
      <c r="G19" s="12">
        <v>1055</v>
      </c>
      <c r="H19" s="18">
        <v>4.8347035478933523E-3</v>
      </c>
    </row>
    <row r="20" spans="3:8" x14ac:dyDescent="0.3">
      <c r="C20" s="17" t="s">
        <v>73</v>
      </c>
      <c r="D20" s="12">
        <v>156658</v>
      </c>
      <c r="E20" s="12">
        <v>38548</v>
      </c>
      <c r="F20" s="13">
        <v>0.2460646759182423</v>
      </c>
      <c r="G20" s="12">
        <v>13301</v>
      </c>
      <c r="H20" s="18">
        <v>8.4904696855570727E-2</v>
      </c>
    </row>
    <row r="21" spans="3:8" ht="15" thickBot="1" x14ac:dyDescent="0.35">
      <c r="C21" s="24" t="s">
        <v>7</v>
      </c>
      <c r="D21" s="19">
        <v>16339930</v>
      </c>
      <c r="E21" s="19">
        <v>3844814</v>
      </c>
      <c r="F21" s="20">
        <v>0.23530174241872517</v>
      </c>
      <c r="G21" s="19">
        <v>2522358</v>
      </c>
      <c r="H21" s="21">
        <v>0.15436773596949313</v>
      </c>
    </row>
    <row r="23" spans="3:8" x14ac:dyDescent="0.3">
      <c r="C23" s="14" t="s">
        <v>74</v>
      </c>
    </row>
    <row r="24" spans="3:8" x14ac:dyDescent="0.3">
      <c r="C24" s="14" t="s">
        <v>75</v>
      </c>
    </row>
    <row r="25" spans="3:8" ht="15" thickBot="1" x14ac:dyDescent="0.35">
      <c r="C25" s="14" t="s">
        <v>76</v>
      </c>
    </row>
    <row r="26" spans="3:8" ht="14.55" customHeight="1" x14ac:dyDescent="0.3">
      <c r="C26" s="30" t="s">
        <v>77</v>
      </c>
      <c r="D26" s="31"/>
    </row>
    <row r="27" spans="3:8" x14ac:dyDescent="0.3">
      <c r="C27" s="32"/>
      <c r="D27" s="33"/>
    </row>
    <row r="28" spans="3:8" x14ac:dyDescent="0.3">
      <c r="C28" s="32"/>
      <c r="D28" s="33"/>
    </row>
    <row r="29" spans="3:8" x14ac:dyDescent="0.3">
      <c r="C29" s="32"/>
      <c r="D29" s="33"/>
    </row>
    <row r="30" spans="3:8" x14ac:dyDescent="0.3">
      <c r="C30" s="32"/>
      <c r="D30" s="33"/>
    </row>
    <row r="31" spans="3:8" ht="15" thickBot="1" x14ac:dyDescent="0.35">
      <c r="C31" s="34"/>
      <c r="D31" s="35"/>
    </row>
  </sheetData>
  <mergeCells count="4">
    <mergeCell ref="C2:H2"/>
    <mergeCell ref="E3:F3"/>
    <mergeCell ref="G3:H3"/>
    <mergeCell ref="C26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</vt:lpstr>
      <vt:lpstr>Gender Based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Mandal</dc:creator>
  <cp:lastModifiedBy>Krishan Pal Singh</cp:lastModifiedBy>
  <dcterms:created xsi:type="dcterms:W3CDTF">2021-07-19T05:20:50Z</dcterms:created>
  <dcterms:modified xsi:type="dcterms:W3CDTF">2026-09-09T11:44:46Z</dcterms:modified>
</cp:coreProperties>
</file>