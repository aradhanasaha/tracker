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GSTN\Krishnan Sir\Monthly Report\Aug-26\GST Statistics Downloads 31st Aug 26\Downloads\GSTR 1\"/>
    </mc:Choice>
  </mc:AlternateContent>
  <xr:revisionPtr revIDLastSave="0" documentId="13_ncr:1_{50E0D4FF-6613-45B3-9B4E-90D45F7A451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STR-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10" i="2" l="1"/>
  <c r="AU11" i="2"/>
  <c r="AU12" i="2"/>
  <c r="AU13" i="2"/>
  <c r="AU14" i="2"/>
  <c r="AU15" i="2"/>
  <c r="AU16" i="2"/>
  <c r="AU17" i="2"/>
  <c r="AU18" i="2"/>
  <c r="AU19" i="2"/>
  <c r="AU20" i="2"/>
  <c r="AU21" i="2"/>
  <c r="AU22" i="2"/>
  <c r="AU23" i="2"/>
  <c r="AU24" i="2"/>
  <c r="AU25" i="2"/>
  <c r="AU26" i="2"/>
  <c r="AU27" i="2"/>
  <c r="AU28" i="2"/>
  <c r="AU29" i="2"/>
  <c r="AU30" i="2"/>
  <c r="AU31" i="2"/>
  <c r="AU32" i="2"/>
  <c r="AU33" i="2"/>
  <c r="AU34" i="2"/>
  <c r="AU35" i="2"/>
  <c r="AU36" i="2"/>
  <c r="AU37" i="2"/>
  <c r="AU38" i="2"/>
  <c r="AU39" i="2"/>
  <c r="AU40" i="2"/>
  <c r="AU41" i="2"/>
  <c r="AU42" i="2"/>
  <c r="AU43" i="2"/>
  <c r="AU44" i="2"/>
  <c r="AU45" i="2"/>
  <c r="AU47" i="2"/>
  <c r="AZ10" i="2"/>
  <c r="AZ11" i="2"/>
  <c r="AZ12" i="2"/>
  <c r="AZ13" i="2"/>
  <c r="AZ14" i="2"/>
  <c r="AZ15" i="2"/>
  <c r="AZ16" i="2"/>
  <c r="AZ17" i="2"/>
  <c r="AZ18" i="2"/>
  <c r="AZ19" i="2"/>
  <c r="AZ20" i="2"/>
  <c r="AZ21" i="2"/>
  <c r="AZ22" i="2"/>
  <c r="AZ23" i="2"/>
  <c r="AZ24" i="2"/>
  <c r="AZ25" i="2"/>
  <c r="AZ26" i="2"/>
  <c r="AZ27" i="2"/>
  <c r="AZ28" i="2"/>
  <c r="AZ29" i="2"/>
  <c r="AZ30" i="2"/>
  <c r="AZ31" i="2"/>
  <c r="AZ32" i="2"/>
  <c r="AZ33" i="2"/>
  <c r="AZ34" i="2"/>
  <c r="AZ35" i="2"/>
  <c r="AZ36" i="2"/>
  <c r="AZ37" i="2"/>
  <c r="AZ38" i="2"/>
  <c r="AZ39" i="2"/>
  <c r="AZ40" i="2"/>
  <c r="AZ41" i="2"/>
  <c r="AZ42" i="2"/>
  <c r="AZ43" i="2"/>
  <c r="AZ44" i="2"/>
  <c r="AZ45" i="2"/>
  <c r="AZ47" i="2"/>
  <c r="AS10" i="2" l="1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S38" i="2"/>
  <c r="AS39" i="2"/>
  <c r="AS40" i="2"/>
  <c r="AS41" i="2"/>
  <c r="AS42" i="2"/>
  <c r="AS43" i="2"/>
  <c r="AS44" i="2"/>
  <c r="AS45" i="2"/>
  <c r="AS47" i="2"/>
  <c r="AK10" i="2" l="1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7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7" i="2"/>
  <c r="AT48" i="2" l="1"/>
  <c r="BI48" i="2" l="1"/>
  <c r="K48" i="2" l="1"/>
  <c r="BG48" i="2" l="1"/>
  <c r="BF48" i="2"/>
  <c r="BD48" i="2"/>
  <c r="BB48" i="2"/>
  <c r="BA48" i="2"/>
  <c r="AY48" i="2"/>
  <c r="AW48" i="2"/>
  <c r="AV48" i="2"/>
  <c r="AR48" i="2"/>
  <c r="AQ48" i="2"/>
  <c r="AO48" i="2"/>
  <c r="AM48" i="2"/>
  <c r="AL48" i="2"/>
  <c r="AJ48" i="2"/>
  <c r="AH48" i="2"/>
  <c r="AG48" i="2"/>
  <c r="AE48" i="2"/>
  <c r="AC48" i="2"/>
  <c r="AB48" i="2"/>
  <c r="Z48" i="2"/>
  <c r="X48" i="2"/>
  <c r="W48" i="2"/>
  <c r="U48" i="2"/>
  <c r="S48" i="2"/>
  <c r="R48" i="2"/>
  <c r="P48" i="2"/>
  <c r="N48" i="2"/>
  <c r="M48" i="2"/>
  <c r="I48" i="2"/>
  <c r="H48" i="2"/>
  <c r="F48" i="2"/>
  <c r="D48" i="2"/>
  <c r="C48" i="2"/>
  <c r="AS48" i="2" l="1"/>
  <c r="V48" i="2"/>
  <c r="BH48" i="2"/>
  <c r="AZ48" i="2"/>
  <c r="AA48" i="2"/>
  <c r="AI48" i="2"/>
  <c r="AP48" i="2"/>
  <c r="O48" i="2"/>
  <c r="BE48" i="2"/>
  <c r="L48" i="2"/>
  <c r="G48" i="2"/>
  <c r="T48" i="2"/>
  <c r="E48" i="2"/>
  <c r="AF48" i="2"/>
  <c r="AD48" i="2"/>
  <c r="AK48" i="2"/>
  <c r="AN48" i="2"/>
  <c r="AX48" i="2"/>
  <c r="BC48" i="2"/>
  <c r="BJ48" i="2"/>
  <c r="AU48" i="2"/>
  <c r="Y48" i="2"/>
  <c r="Q48" i="2"/>
  <c r="J48" i="2"/>
  <c r="BJ11" i="2"/>
  <c r="BJ12" i="2"/>
  <c r="BJ13" i="2"/>
  <c r="BJ14" i="2"/>
  <c r="BJ15" i="2"/>
  <c r="BJ16" i="2"/>
  <c r="BJ17" i="2"/>
  <c r="BJ18" i="2"/>
  <c r="BJ19" i="2"/>
  <c r="BJ20" i="2"/>
  <c r="BJ21" i="2"/>
  <c r="BJ22" i="2"/>
  <c r="BJ23" i="2"/>
  <c r="BJ24" i="2"/>
  <c r="BJ25" i="2"/>
  <c r="BJ26" i="2"/>
  <c r="BJ27" i="2"/>
  <c r="BJ28" i="2"/>
  <c r="BJ29" i="2"/>
  <c r="BJ30" i="2"/>
  <c r="BJ31" i="2"/>
  <c r="BJ32" i="2"/>
  <c r="BJ33" i="2"/>
  <c r="BJ34" i="2"/>
  <c r="BJ35" i="2"/>
  <c r="BJ36" i="2"/>
  <c r="BJ37" i="2"/>
  <c r="BJ38" i="2"/>
  <c r="BJ39" i="2"/>
  <c r="BJ40" i="2"/>
  <c r="BJ41" i="2"/>
  <c r="BJ42" i="2"/>
  <c r="BJ43" i="2"/>
  <c r="BJ44" i="2"/>
  <c r="BJ45" i="2"/>
  <c r="BJ47" i="2"/>
  <c r="BH11" i="2"/>
  <c r="BH12" i="2"/>
  <c r="BH13" i="2"/>
  <c r="BH14" i="2"/>
  <c r="BH15" i="2"/>
  <c r="BH16" i="2"/>
  <c r="BH17" i="2"/>
  <c r="BH18" i="2"/>
  <c r="BH19" i="2"/>
  <c r="BH20" i="2"/>
  <c r="BH21" i="2"/>
  <c r="BH22" i="2"/>
  <c r="BH23" i="2"/>
  <c r="BH24" i="2"/>
  <c r="BH25" i="2"/>
  <c r="BH26" i="2"/>
  <c r="BH27" i="2"/>
  <c r="BH28" i="2"/>
  <c r="BH29" i="2"/>
  <c r="BH30" i="2"/>
  <c r="BH31" i="2"/>
  <c r="BH32" i="2"/>
  <c r="BH33" i="2"/>
  <c r="BH34" i="2"/>
  <c r="BH35" i="2"/>
  <c r="BH36" i="2"/>
  <c r="BH37" i="2"/>
  <c r="BH38" i="2"/>
  <c r="BH39" i="2"/>
  <c r="BH40" i="2"/>
  <c r="BH41" i="2"/>
  <c r="BH42" i="2"/>
  <c r="BH43" i="2"/>
  <c r="BH44" i="2"/>
  <c r="BH45" i="2"/>
  <c r="BH47" i="2"/>
  <c r="BE11" i="2"/>
  <c r="BE12" i="2"/>
  <c r="BE13" i="2"/>
  <c r="BE14" i="2"/>
  <c r="BE15" i="2"/>
  <c r="BE16" i="2"/>
  <c r="BE17" i="2"/>
  <c r="BE18" i="2"/>
  <c r="BE19" i="2"/>
  <c r="BE20" i="2"/>
  <c r="BE21" i="2"/>
  <c r="BE22" i="2"/>
  <c r="BE23" i="2"/>
  <c r="BE24" i="2"/>
  <c r="BE25" i="2"/>
  <c r="BE26" i="2"/>
  <c r="BE27" i="2"/>
  <c r="BE28" i="2"/>
  <c r="BE29" i="2"/>
  <c r="BE30" i="2"/>
  <c r="BE31" i="2"/>
  <c r="BE32" i="2"/>
  <c r="BE33" i="2"/>
  <c r="BE34" i="2"/>
  <c r="BE35" i="2"/>
  <c r="BE36" i="2"/>
  <c r="BE37" i="2"/>
  <c r="BE38" i="2"/>
  <c r="BE39" i="2"/>
  <c r="BE40" i="2"/>
  <c r="BE41" i="2"/>
  <c r="BE42" i="2"/>
  <c r="BE43" i="2"/>
  <c r="BE44" i="2"/>
  <c r="BE45" i="2"/>
  <c r="BE47" i="2"/>
  <c r="BC11" i="2"/>
  <c r="BC12" i="2"/>
  <c r="BC13" i="2"/>
  <c r="BC14" i="2"/>
  <c r="BC15" i="2"/>
  <c r="BC16" i="2"/>
  <c r="BC17" i="2"/>
  <c r="BC18" i="2"/>
  <c r="BC19" i="2"/>
  <c r="BC20" i="2"/>
  <c r="BC21" i="2"/>
  <c r="BC22" i="2"/>
  <c r="BC23" i="2"/>
  <c r="BC24" i="2"/>
  <c r="BC25" i="2"/>
  <c r="BC26" i="2"/>
  <c r="BC27" i="2"/>
  <c r="BC28" i="2"/>
  <c r="BC29" i="2"/>
  <c r="BC30" i="2"/>
  <c r="BC31" i="2"/>
  <c r="BC32" i="2"/>
  <c r="BC33" i="2"/>
  <c r="BC34" i="2"/>
  <c r="BC35" i="2"/>
  <c r="BC36" i="2"/>
  <c r="BC37" i="2"/>
  <c r="BC38" i="2"/>
  <c r="BC39" i="2"/>
  <c r="BC40" i="2"/>
  <c r="BC41" i="2"/>
  <c r="BC42" i="2"/>
  <c r="BC43" i="2"/>
  <c r="BC44" i="2"/>
  <c r="BC45" i="2"/>
  <c r="BC47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X40" i="2"/>
  <c r="AX41" i="2"/>
  <c r="AX42" i="2"/>
  <c r="AX43" i="2"/>
  <c r="AX44" i="2"/>
  <c r="AX45" i="2"/>
  <c r="AX47" i="2"/>
  <c r="AP11" i="2"/>
  <c r="AP12" i="2"/>
  <c r="AP13" i="2"/>
  <c r="AP14" i="2"/>
  <c r="AP15" i="2"/>
  <c r="AP16" i="2"/>
  <c r="AP17" i="2"/>
  <c r="AP18" i="2"/>
  <c r="AP19" i="2"/>
  <c r="AP20" i="2"/>
  <c r="AP21" i="2"/>
  <c r="AP22" i="2"/>
  <c r="AP23" i="2"/>
  <c r="AP24" i="2"/>
  <c r="AP25" i="2"/>
  <c r="AP26" i="2"/>
  <c r="AP27" i="2"/>
  <c r="AP28" i="2"/>
  <c r="AP29" i="2"/>
  <c r="AP30" i="2"/>
  <c r="AP31" i="2"/>
  <c r="AP32" i="2"/>
  <c r="AP33" i="2"/>
  <c r="AP34" i="2"/>
  <c r="AP35" i="2"/>
  <c r="AP36" i="2"/>
  <c r="AP37" i="2"/>
  <c r="AP38" i="2"/>
  <c r="AP39" i="2"/>
  <c r="AP40" i="2"/>
  <c r="AP41" i="2"/>
  <c r="AP42" i="2"/>
  <c r="AP43" i="2"/>
  <c r="AP44" i="2"/>
  <c r="AP45" i="2"/>
  <c r="AP47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38" i="2"/>
  <c r="AN39" i="2"/>
  <c r="AN40" i="2"/>
  <c r="AN41" i="2"/>
  <c r="AN42" i="2"/>
  <c r="AN43" i="2"/>
  <c r="AN44" i="2"/>
  <c r="AN45" i="2"/>
  <c r="AN47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7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7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7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7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7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7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7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7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7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7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7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7" i="2"/>
  <c r="G10" i="2"/>
  <c r="L10" i="2"/>
  <c r="Q10" i="2"/>
  <c r="V10" i="2"/>
  <c r="AA10" i="2"/>
  <c r="AP10" i="2"/>
  <c r="BE10" i="2"/>
  <c r="BJ10" i="2"/>
  <c r="BH10" i="2"/>
  <c r="BC10" i="2"/>
  <c r="AX10" i="2"/>
  <c r="AN10" i="2"/>
  <c r="AI10" i="2"/>
  <c r="AD10" i="2"/>
  <c r="Y10" i="2"/>
  <c r="T10" i="2"/>
  <c r="O10" i="2"/>
  <c r="J10" i="2"/>
  <c r="E10" i="2"/>
</calcChain>
</file>

<file path=xl/sharedStrings.xml><?xml version="1.0" encoding="utf-8"?>
<sst xmlns="http://schemas.openxmlformats.org/spreadsheetml/2006/main" count="153" uniqueCount="51">
  <si>
    <t>STATE WISE RETURN PERIOD WISE GSTR-1 FILING SUMMARY</t>
  </si>
  <si>
    <t>FINANCIAL YEAR 2018-2019</t>
  </si>
  <si>
    <t>STATE CD</t>
  </si>
  <si>
    <t>STATE</t>
  </si>
  <si>
    <t>No. of Tax Payers eligible to File</t>
  </si>
  <si>
    <t>No. Tax Payers filed by Due Date</t>
  </si>
  <si>
    <t>No. of Tax Payers filed after due date</t>
  </si>
  <si>
    <t>Total Returns Filed</t>
  </si>
  <si>
    <t>Jammu and Kashmir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</si>
  <si>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</si>
  <si>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</si>
  <si>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</si>
  <si>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</si>
  <si>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</si>
  <si>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</si>
  <si>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</si>
  <si>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</si>
  <si>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</si>
  <si>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</si>
  <si>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</si>
  <si>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</si>
  <si>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</si>
  <si>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</si>
  <si>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</si>
  <si>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</si>
  <si>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</si>
  <si>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</si>
  <si>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</si>
  <si>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</si>
  <si>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Chattisgarh</t>
  </si>
  <si>
    <t>Madhya Pradesh</t>
  </si>
  <si>
    <t>Gujrat</t>
  </si>
  <si>
    <t>Daman and Diu</t>
  </si>
  <si>
    <t>Dadra and Nagar Haveli</t>
  </si>
  <si>
    <t>Maharastra</t>
  </si>
  <si>
    <t>Karnataka</t>
  </si>
  <si>
    <t>Goa</t>
  </si>
  <si>
    <t>Lakshadweep</t>
  </si>
  <si>
    <t>Kerala</t>
  </si>
  <si>
    <t>Tamil Nadu</t>
  </si>
  <si>
    <t>Puducherry</t>
  </si>
  <si>
    <t>Andaman and Nicobar Island</t>
  </si>
  <si>
    <t>Telangana</t>
  </si>
  <si>
    <t>Andhra Pradesh</t>
  </si>
  <si>
    <t>Ladakh</t>
  </si>
  <si>
    <t>Other Territory</t>
  </si>
  <si>
    <t>Grand Total</t>
  </si>
  <si>
    <t>*  State Code 97 represents  territories other than States/UTs</t>
  </si>
  <si>
    <t>-</t>
  </si>
  <si>
    <t>Data Considered upto 31st Aug 2026</t>
  </si>
  <si>
    <t>Filing %age as on 31st Aug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</si>
</sst>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[&gt;=10000000]##\,##\,##\,##0;[&gt;=100000]\ ##\,##\,##0;##,##0"/>
    <numFmt numFmtId="166" formatCode="[&gt;=10000000]##\,##\,##\,##0;[&gt;=100000]\ ##\,##\,##0;##,##0\ "/>
    <numFmt numFmtId="167" formatCode="_ * #,##0_ ;_ * \-#,##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3" fillId="0" borderId="0" xfId="0" applyFont="1" applyAlignment="1">
      <alignment horizontal="center"/>
    </xf>
    <xf numFmtId="0" fontId="0" fillId="0" borderId="2" xfId="0" applyBorder="1"/>
    <xf numFmtId="0" fontId="0" fillId="0" borderId="0" xfId="0" applyAlignment="1">
      <alignment wrapText="1"/>
    </xf>
    <xf numFmtId="167" fontId="0" fillId="0" borderId="2" xfId="3" applyNumberFormat="1" applyFont="1" applyBorder="1"/>
    <xf numFmtId="167" fontId="0" fillId="0" borderId="2" xfId="3" applyNumberFormat="1" applyFont="1" applyBorder="1" applyAlignment="1">
      <alignment horizontal="right" vertical="center" wrapText="1"/>
    </xf>
    <xf numFmtId="166" fontId="0" fillId="0" borderId="2" xfId="0" applyNumberFormat="1" applyBorder="1" applyAlignment="1">
      <alignment horizontal="right" vertical="top"/>
    </xf>
    <xf numFmtId="10" fontId="3" fillId="0" borderId="0" xfId="0" applyNumberFormat="1" applyFont="1" applyAlignment="1">
      <alignment horizontal="center"/>
    </xf>
    <xf numFmtId="10" fontId="0" fillId="0" borderId="0" xfId="0" applyNumberFormat="1"/>
    <xf numFmtId="10" fontId="0" fillId="0" borderId="0" xfId="0" applyNumberFormat="1" applyAlignment="1">
      <alignment wrapText="1"/>
    </xf>
    <xf numFmtId="167" fontId="0" fillId="0" borderId="2" xfId="3" applyNumberFormat="1" applyFont="1" applyBorder="1" applyAlignment="1">
      <alignment horizontal="right"/>
    </xf>
    <xf numFmtId="165" fontId="0" fillId="0" borderId="2" xfId="0" applyNumberFormat="1" applyBorder="1"/>
    <xf numFmtId="10" fontId="0" fillId="0" borderId="2" xfId="1" applyNumberFormat="1" applyFont="1" applyFill="1" applyBorder="1" applyAlignment="1">
      <alignment horizontal="right" vertical="center" wrapText="1"/>
    </xf>
    <xf numFmtId="165" fontId="2" fillId="2" borderId="2" xfId="0" applyNumberFormat="1" applyFont="1" applyFill="1" applyBorder="1"/>
    <xf numFmtId="10" fontId="2" fillId="2" borderId="2" xfId="1" applyNumberFormat="1" applyFont="1" applyFill="1" applyBorder="1" applyAlignment="1">
      <alignment horizontal="right" vertical="center" wrapText="1"/>
    </xf>
    <xf numFmtId="165" fontId="2" fillId="2" borderId="2" xfId="0" applyNumberFormat="1" applyFont="1" applyFill="1" applyBorder="1" applyAlignment="1">
      <alignment horizontal="right" vertical="center" wrapText="1"/>
    </xf>
    <xf numFmtId="165" fontId="3" fillId="2" borderId="2" xfId="0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2" fillId="2" borderId="0" xfId="0" applyFont="1" applyFill="1" applyAlignment="1">
      <alignment horizontal="left"/>
    </xf>
    <xf numFmtId="17" fontId="3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3" fillId="2" borderId="2" xfId="0" applyFont="1" applyFill="1" applyBorder="1" applyAlignment="1">
      <alignment horizontal="center"/>
    </xf>
  </cellXfs>
  <cellStyles count="4">
    <cellStyle name="Comma" xfId="3" builtinId="3"/>
    <cellStyle name="Comma 2" xfId="2" xr:uid="{00000000-0005-0000-0000-000001000000}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01"/>
  <sheetViews>
    <sheetView tabSelected="1" zoomScale="52" zoomScaleNormal="52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D48" sqref="D48"/>
    </sheetView>
  </sheetViews>
  <sheetFormatPr defaultColWidth="12.44140625" defaultRowHeight="14.4" x14ac:dyDescent="0.3"/>
  <cols>
    <col min="2" max="2" width="28.44140625" bestFit="1" customWidth="1"/>
    <col min="3" max="6" width="18.77734375" customWidth="1"/>
    <col min="7" max="7" width="18.77734375" style="8" customWidth="1"/>
    <col min="8" max="11" width="18.77734375" customWidth="1"/>
    <col min="12" max="12" width="18.77734375" style="8" customWidth="1"/>
    <col min="13" max="16" width="18.77734375" customWidth="1"/>
    <col min="17" max="17" width="18.77734375" style="8" customWidth="1"/>
    <col min="18" max="21" width="18.77734375" customWidth="1"/>
    <col min="22" max="22" width="18.77734375" style="8" customWidth="1"/>
    <col min="23" max="26" width="18.77734375" customWidth="1"/>
    <col min="27" max="27" width="18.77734375" style="8" customWidth="1"/>
    <col min="28" max="31" width="18.77734375" customWidth="1"/>
    <col min="32" max="32" width="18.77734375" style="8" customWidth="1"/>
    <col min="33" max="36" width="18.77734375" customWidth="1"/>
    <col min="37" max="37" width="18.77734375" style="8" customWidth="1"/>
    <col min="38" max="41" width="18.77734375" customWidth="1"/>
    <col min="42" max="42" width="18.77734375" style="8" customWidth="1"/>
    <col min="43" max="46" width="18.77734375" customWidth="1"/>
    <col min="47" max="47" width="18.77734375" style="8" customWidth="1"/>
    <col min="48" max="51" width="18.77734375" customWidth="1"/>
    <col min="52" max="52" width="18.77734375" style="8" customWidth="1"/>
    <col min="53" max="56" width="18.77734375" customWidth="1"/>
    <col min="57" max="57" width="18.77734375" style="8" customWidth="1"/>
    <col min="58" max="61" width="18.77734375" customWidth="1"/>
    <col min="62" max="62" width="18.77734375" style="8" customWidth="1"/>
  </cols>
  <sheetData>
    <row r="1" spans="1:62" ht="15.6" x14ac:dyDescent="0.3">
      <c r="A1" s="27" t="s">
        <v>0</v>
      </c>
      <c r="B1" s="27"/>
      <c r="C1" s="27"/>
      <c r="D1" s="27"/>
      <c r="E1" s="27"/>
      <c r="G1"/>
      <c r="L1"/>
    </row>
    <row r="2" spans="1:62" ht="15.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7"/>
    </row>
    <row r="3" spans="1:62" ht="15.6" x14ac:dyDescent="0.3">
      <c r="A3" s="24" t="s">
        <v>1</v>
      </c>
      <c r="B3" s="24"/>
      <c r="C3" s="1"/>
      <c r="D3" s="1"/>
      <c r="E3" s="1"/>
      <c r="F3" s="1"/>
      <c r="G3" s="7"/>
      <c r="H3" s="1"/>
      <c r="I3" s="1"/>
      <c r="J3" s="1"/>
      <c r="K3" s="1"/>
      <c r="L3" s="7"/>
    </row>
    <row r="4" spans="1:62" ht="15.6" x14ac:dyDescent="0.3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7"/>
    </row>
    <row r="5" spans="1:62" ht="15.6" x14ac:dyDescent="0.3">
      <c r="A5" s="24" t="s">
        <v>49</v>
      </c>
      <c r="B5" s="24"/>
      <c r="C5" s="24"/>
    </row>
    <row r="8" spans="1:62" s="17" customFormat="1" ht="15.6" x14ac:dyDescent="0.3">
      <c r="A8" s="25" t="s">
        <v>2</v>
      </c>
      <c r="B8" s="23" t="s">
        <v>3</v>
      </c>
      <c r="C8" s="22">
        <v>43191</v>
      </c>
      <c r="D8" s="23"/>
      <c r="E8" s="23"/>
      <c r="F8" s="23"/>
      <c r="G8" s="23"/>
      <c r="H8" s="22">
        <v>43221</v>
      </c>
      <c r="I8" s="23"/>
      <c r="J8" s="23"/>
      <c r="K8" s="23"/>
      <c r="L8" s="23"/>
      <c r="M8" s="22">
        <v>43252</v>
      </c>
      <c r="N8" s="23"/>
      <c r="O8" s="23"/>
      <c r="P8" s="23"/>
      <c r="Q8" s="23"/>
      <c r="R8" s="22">
        <v>43282</v>
      </c>
      <c r="S8" s="23"/>
      <c r="T8" s="23"/>
      <c r="U8" s="23"/>
      <c r="V8" s="23"/>
      <c r="W8" s="22">
        <v>43313</v>
      </c>
      <c r="X8" s="23"/>
      <c r="Y8" s="23"/>
      <c r="Z8" s="23"/>
      <c r="AA8" s="23"/>
      <c r="AB8" s="22">
        <v>43344</v>
      </c>
      <c r="AC8" s="23"/>
      <c r="AD8" s="23"/>
      <c r="AE8" s="23"/>
      <c r="AF8" s="23"/>
      <c r="AG8" s="22">
        <v>43374</v>
      </c>
      <c r="AH8" s="23"/>
      <c r="AI8" s="23"/>
      <c r="AJ8" s="23"/>
      <c r="AK8" s="23"/>
      <c r="AL8" s="22">
        <v>43405</v>
      </c>
      <c r="AM8" s="23"/>
      <c r="AN8" s="23"/>
      <c r="AO8" s="23"/>
      <c r="AP8" s="23"/>
      <c r="AQ8" s="22">
        <v>43435</v>
      </c>
      <c r="AR8" s="23"/>
      <c r="AS8" s="23"/>
      <c r="AT8" s="23"/>
      <c r="AU8" s="23"/>
      <c r="AV8" s="22">
        <v>43466</v>
      </c>
      <c r="AW8" s="23"/>
      <c r="AX8" s="23"/>
      <c r="AY8" s="23"/>
      <c r="AZ8" s="23"/>
      <c r="BA8" s="22">
        <v>43497</v>
      </c>
      <c r="BB8" s="23"/>
      <c r="BC8" s="23"/>
      <c r="BD8" s="23"/>
      <c r="BE8" s="23"/>
      <c r="BF8" s="22">
        <v>43525</v>
      </c>
      <c r="BG8" s="23"/>
      <c r="BH8" s="23"/>
      <c r="BI8" s="23"/>
      <c r="BJ8" s="23"/>
    </row>
    <row r="9" spans="1:62" s="17" customFormat="1" ht="60" customHeight="1" x14ac:dyDescent="0.3">
      <c r="A9" s="26"/>
      <c r="B9" s="23"/>
      <c r="C9" s="18" t="s">
        <v>4</v>
      </c>
      <c r="D9" s="18" t="s">
        <v>5</v>
      </c>
      <c r="E9" s="18" t="s">
        <v>6</v>
      </c>
      <c r="F9" s="18" t="s">
        <v>7</v>
      </c>
      <c r="G9" s="18" t="s">
        <v>50</v>
      </c>
      <c r="H9" s="18" t="s">
        <v>4</v>
      </c>
      <c r="I9" s="18" t="s">
        <v>5</v>
      </c>
      <c r="J9" s="18" t="s">
        <v>6</v>
      </c>
      <c r="K9" s="18" t="s">
        <v>7</v>
      </c>
      <c r="L9" s="18" t="s">
        <v>50</v>
      </c>
      <c r="M9" s="18" t="s">
        <v>4</v>
      </c>
      <c r="N9" s="18" t="s">
        <v>5</v>
      </c>
      <c r="O9" s="18" t="s">
        <v>6</v>
      </c>
      <c r="P9" s="18" t="s">
        <v>7</v>
      </c>
      <c r="Q9" s="18" t="s">
        <v>50</v>
      </c>
      <c r="R9" s="18" t="s">
        <v>4</v>
      </c>
      <c r="S9" s="18" t="s">
        <v>5</v>
      </c>
      <c r="T9" s="18" t="s">
        <v>6</v>
      </c>
      <c r="U9" s="18" t="s">
        <v>7</v>
      </c>
      <c r="V9" s="18" t="s">
        <v>50</v>
      </c>
      <c r="W9" s="18" t="s">
        <v>4</v>
      </c>
      <c r="X9" s="18" t="s">
        <v>5</v>
      </c>
      <c r="Y9" s="18" t="s">
        <v>6</v>
      </c>
      <c r="Z9" s="18" t="s">
        <v>7</v>
      </c>
      <c r="AA9" s="18" t="s">
        <v>50</v>
      </c>
      <c r="AB9" s="18" t="s">
        <v>4</v>
      </c>
      <c r="AC9" s="18" t="s">
        <v>5</v>
      </c>
      <c r="AD9" s="18" t="s">
        <v>6</v>
      </c>
      <c r="AE9" s="18" t="s">
        <v>7</v>
      </c>
      <c r="AF9" s="18" t="s">
        <v>50</v>
      </c>
      <c r="AG9" s="18" t="s">
        <v>4</v>
      </c>
      <c r="AH9" s="18" t="s">
        <v>5</v>
      </c>
      <c r="AI9" s="18" t="s">
        <v>6</v>
      </c>
      <c r="AJ9" s="18" t="s">
        <v>7</v>
      </c>
      <c r="AK9" s="18" t="s">
        <v>50</v>
      </c>
      <c r="AL9" s="18" t="s">
        <v>4</v>
      </c>
      <c r="AM9" s="18" t="s">
        <v>5</v>
      </c>
      <c r="AN9" s="18" t="s">
        <v>6</v>
      </c>
      <c r="AO9" s="18" t="s">
        <v>7</v>
      </c>
      <c r="AP9" s="18" t="s">
        <v>50</v>
      </c>
      <c r="AQ9" s="18" t="s">
        <v>4</v>
      </c>
      <c r="AR9" s="18" t="s">
        <v>5</v>
      </c>
      <c r="AS9" s="18" t="s">
        <v>6</v>
      </c>
      <c r="AT9" s="18" t="s">
        <v>7</v>
      </c>
      <c r="AU9" s="18" t="s">
        <v>50</v>
      </c>
      <c r="AV9" s="18" t="s">
        <v>4</v>
      </c>
      <c r="AW9" s="18" t="s">
        <v>5</v>
      </c>
      <c r="AX9" s="18" t="s">
        <v>6</v>
      </c>
      <c r="AY9" s="18" t="s">
        <v>7</v>
      </c>
      <c r="AZ9" s="18" t="s">
        <v>50</v>
      </c>
      <c r="BA9" s="18" t="s">
        <v>4</v>
      </c>
      <c r="BB9" s="18" t="s">
        <v>5</v>
      </c>
      <c r="BC9" s="18" t="s">
        <v>6</v>
      </c>
      <c r="BD9" s="18" t="s">
        <v>7</v>
      </c>
      <c r="BE9" s="18" t="s">
        <v>50</v>
      </c>
      <c r="BF9" s="18" t="s">
        <v>4</v>
      </c>
      <c r="BG9" s="18" t="s">
        <v>5</v>
      </c>
      <c r="BH9" s="18" t="s">
        <v>6</v>
      </c>
      <c r="BI9" s="18" t="s">
        <v>7</v>
      </c>
      <c r="BJ9" s="18" t="s">
        <v>50</v>
      </c>
    </row>
    <row r="10" spans="1:62" x14ac:dyDescent="0.3">
      <c r="A10" s="19">
        <v>1</v>
      </c>
      <c r="B10" s="2" t="s">
        <v>8</v>
      </c>
      <c r="C10" s="4">
        <v>37744</v>
      </c>
      <c r="D10" s="4">
        <v>18332</v>
      </c>
      <c r="E10" s="11">
        <f>F10-D10</f>
        <v>5948</v>
      </c>
      <c r="F10" s="6">
        <v>24280</v>
      </c>
      <c r="G10" s="12">
        <f>F10/C10</f>
        <v>0.64328105129292068</v>
      </c>
      <c r="H10" s="5">
        <v>39310</v>
      </c>
      <c r="I10" s="4">
        <v>18212</v>
      </c>
      <c r="J10" s="11">
        <f>K10-I10</f>
        <v>6442</v>
      </c>
      <c r="K10" s="6">
        <v>24654</v>
      </c>
      <c r="L10" s="12">
        <f>K10/H10</f>
        <v>0.62716865937420507</v>
      </c>
      <c r="M10" s="5">
        <v>77492</v>
      </c>
      <c r="N10" s="4">
        <v>43970</v>
      </c>
      <c r="O10" s="11">
        <f>P10-N10</f>
        <v>22480</v>
      </c>
      <c r="P10" s="6">
        <v>66450</v>
      </c>
      <c r="Q10" s="12">
        <f>P10/M10</f>
        <v>0.85750787178031285</v>
      </c>
      <c r="R10" s="5">
        <v>40446</v>
      </c>
      <c r="S10" s="4">
        <v>17243</v>
      </c>
      <c r="T10" s="11">
        <f>U10-S10</f>
        <v>7980</v>
      </c>
      <c r="U10" s="6">
        <v>25223</v>
      </c>
      <c r="V10" s="12">
        <f>U10/R10</f>
        <v>0.6236216189487217</v>
      </c>
      <c r="W10" s="5">
        <v>39808</v>
      </c>
      <c r="X10" s="4">
        <v>15775</v>
      </c>
      <c r="Y10" s="11">
        <f>Z10-X10</f>
        <v>9653</v>
      </c>
      <c r="Z10" s="6">
        <v>25428</v>
      </c>
      <c r="AA10" s="12">
        <f>Z10/W10</f>
        <v>0.638766077170418</v>
      </c>
      <c r="AB10" s="5">
        <v>81069</v>
      </c>
      <c r="AC10" s="4">
        <v>31358</v>
      </c>
      <c r="AD10" s="11">
        <f>AE10-AC10</f>
        <v>37717</v>
      </c>
      <c r="AE10" s="6">
        <v>69075</v>
      </c>
      <c r="AF10" s="12">
        <f>AE10/AB10</f>
        <v>0.85205195574140546</v>
      </c>
      <c r="AG10" s="5">
        <v>39392</v>
      </c>
      <c r="AH10" s="4">
        <v>6639</v>
      </c>
      <c r="AI10" s="11">
        <f>AJ10-AH10</f>
        <v>19242</v>
      </c>
      <c r="AJ10" s="6">
        <v>25881</v>
      </c>
      <c r="AK10" s="12">
        <f>AJ10/AG10</f>
        <v>0.65701157595450854</v>
      </c>
      <c r="AL10" s="5">
        <v>39302</v>
      </c>
      <c r="AM10" s="4">
        <v>7751</v>
      </c>
      <c r="AN10" s="11">
        <f>AO10-AM10</f>
        <v>18218</v>
      </c>
      <c r="AO10" s="6">
        <v>25969</v>
      </c>
      <c r="AP10" s="12">
        <f>AO10/AL10</f>
        <v>0.66075517785354432</v>
      </c>
      <c r="AQ10" s="5">
        <v>84692</v>
      </c>
      <c r="AR10" s="4">
        <v>13643</v>
      </c>
      <c r="AS10" s="11">
        <f>AT10-AR10</f>
        <v>57145</v>
      </c>
      <c r="AT10" s="6">
        <v>70788</v>
      </c>
      <c r="AU10" s="12">
        <f>AT10/AQ10</f>
        <v>0.83582864969536674</v>
      </c>
      <c r="AV10" s="5">
        <v>38866</v>
      </c>
      <c r="AW10" s="4">
        <v>7859</v>
      </c>
      <c r="AX10" s="11">
        <f>AY10-AW10</f>
        <v>18534</v>
      </c>
      <c r="AY10" s="6">
        <v>26393</v>
      </c>
      <c r="AZ10" s="12">
        <f>AY10/AV10</f>
        <v>0.67907682807595326</v>
      </c>
      <c r="BA10" s="5">
        <v>38756</v>
      </c>
      <c r="BB10" s="4">
        <v>7700</v>
      </c>
      <c r="BC10" s="11">
        <f>BD10-BB10</f>
        <v>18729</v>
      </c>
      <c r="BD10" s="6">
        <v>26429</v>
      </c>
      <c r="BE10" s="12">
        <f>BD10/BA10</f>
        <v>0.6819331200330272</v>
      </c>
      <c r="BF10" s="5">
        <v>88878</v>
      </c>
      <c r="BG10" s="4">
        <v>11122</v>
      </c>
      <c r="BH10" s="11">
        <f>BI10-BG10</f>
        <v>60958</v>
      </c>
      <c r="BI10" s="6">
        <v>72080</v>
      </c>
      <c r="BJ10" s="12">
        <f>BI10/BF10</f>
        <v>0.81099934742005897</v>
      </c>
    </row>
    <row r="11" spans="1:62" x14ac:dyDescent="0.3">
      <c r="A11" s="19">
        <v>2</v>
      </c>
      <c r="B11" s="2" t="s">
        <v>9</v>
      </c>
      <c r="C11" s="4">
        <v>27825</v>
      </c>
      <c r="D11" s="4">
        <v>15122</v>
      </c>
      <c r="E11" s="11">
        <f t="shared" ref="E11:E48" si="0">F11-D11</f>
        <v>2744</v>
      </c>
      <c r="F11" s="6">
        <v>17866</v>
      </c>
      <c r="G11" s="12">
        <f t="shared" ref="G11:G48" si="1">F11/C11</f>
        <v>0.64208445642407908</v>
      </c>
      <c r="H11" s="5">
        <v>30075</v>
      </c>
      <c r="I11" s="4">
        <v>15257</v>
      </c>
      <c r="J11" s="11">
        <f t="shared" ref="J11:J48" si="2">K11-I11</f>
        <v>2947</v>
      </c>
      <c r="K11" s="6">
        <v>18204</v>
      </c>
      <c r="L11" s="12">
        <f t="shared" ref="L11:L48" si="3">K11/H11</f>
        <v>0.60528678304239403</v>
      </c>
      <c r="M11" s="5">
        <v>75206</v>
      </c>
      <c r="N11" s="4">
        <v>51695</v>
      </c>
      <c r="O11" s="11">
        <f t="shared" ref="O11:O48" si="4">P11-N11</f>
        <v>15484</v>
      </c>
      <c r="P11" s="6">
        <v>67179</v>
      </c>
      <c r="Q11" s="12">
        <f t="shared" ref="Q11:Q48" si="5">P11/M11</f>
        <v>0.8932664946945722</v>
      </c>
      <c r="R11" s="5">
        <v>31646</v>
      </c>
      <c r="S11" s="4">
        <v>14848</v>
      </c>
      <c r="T11" s="11">
        <f t="shared" ref="T11:T48" si="6">U11-S11</f>
        <v>3836</v>
      </c>
      <c r="U11" s="6">
        <v>18684</v>
      </c>
      <c r="V11" s="12">
        <f t="shared" ref="V11:V48" si="7">U11/R11</f>
        <v>0.59040637047336153</v>
      </c>
      <c r="W11" s="5">
        <v>30728</v>
      </c>
      <c r="X11" s="4">
        <v>13763</v>
      </c>
      <c r="Y11" s="11">
        <f t="shared" ref="Y11:Y48" si="8">Z11-X11</f>
        <v>5036</v>
      </c>
      <c r="Z11" s="6">
        <v>18799</v>
      </c>
      <c r="AA11" s="12">
        <f t="shared" ref="AA11:AA48" si="9">Z11/W11</f>
        <v>0.61178729497526685</v>
      </c>
      <c r="AB11" s="5">
        <v>79070</v>
      </c>
      <c r="AC11" s="4">
        <v>39513</v>
      </c>
      <c r="AD11" s="11">
        <f t="shared" ref="AD11:AD48" si="10">AE11-AC11</f>
        <v>30892</v>
      </c>
      <c r="AE11" s="6">
        <v>70405</v>
      </c>
      <c r="AF11" s="12">
        <f t="shared" ref="AF11:AF48" si="11">AE11/AB11</f>
        <v>0.89041355760718355</v>
      </c>
      <c r="AG11" s="5">
        <v>30015</v>
      </c>
      <c r="AH11" s="4">
        <v>6485</v>
      </c>
      <c r="AI11" s="11">
        <f t="shared" ref="AI11:AI48" si="12">AJ11-AH11</f>
        <v>12665</v>
      </c>
      <c r="AJ11" s="6">
        <v>19150</v>
      </c>
      <c r="AK11" s="12">
        <f t="shared" ref="AK11:AK48" si="13">AJ11/AG11</f>
        <v>0.63801432617024822</v>
      </c>
      <c r="AL11" s="5">
        <v>29849</v>
      </c>
      <c r="AM11" s="4">
        <v>8143</v>
      </c>
      <c r="AN11" s="11">
        <f t="shared" ref="AN11:AN48" si="14">AO11-AM11</f>
        <v>11130</v>
      </c>
      <c r="AO11" s="6">
        <v>19273</v>
      </c>
      <c r="AP11" s="12">
        <f t="shared" ref="AP11:AP48" si="15">AO11/AL11</f>
        <v>0.64568327247143953</v>
      </c>
      <c r="AQ11" s="5">
        <v>82700</v>
      </c>
      <c r="AR11" s="4">
        <v>13152</v>
      </c>
      <c r="AS11" s="11">
        <f t="shared" ref="AS11:AS48" si="16">AT11-AR11</f>
        <v>59993</v>
      </c>
      <c r="AT11" s="6">
        <v>73145</v>
      </c>
      <c r="AU11" s="12">
        <f t="shared" ref="AU11:AU48" si="17">AT11/AQ11</f>
        <v>0.8844619105199516</v>
      </c>
      <c r="AV11" s="5">
        <v>29226</v>
      </c>
      <c r="AW11" s="4">
        <v>8682</v>
      </c>
      <c r="AX11" s="11">
        <f t="shared" ref="AX11:AX48" si="18">AY11-AW11</f>
        <v>10825</v>
      </c>
      <c r="AY11" s="6">
        <v>19507</v>
      </c>
      <c r="AZ11" s="12">
        <f t="shared" ref="AZ11:AZ48" si="19">AY11/AV11</f>
        <v>0.66745363717238071</v>
      </c>
      <c r="BA11" s="5">
        <v>28879</v>
      </c>
      <c r="BB11" s="4">
        <v>8580</v>
      </c>
      <c r="BC11" s="11">
        <f t="shared" ref="BC11:BC48" si="20">BD11-BB11</f>
        <v>10978</v>
      </c>
      <c r="BD11" s="6">
        <v>19558</v>
      </c>
      <c r="BE11" s="12">
        <f t="shared" ref="BE11:BE48" si="21">BD11/BA11</f>
        <v>0.67723951660376047</v>
      </c>
      <c r="BF11" s="5">
        <v>86666</v>
      </c>
      <c r="BG11" s="4">
        <v>12158</v>
      </c>
      <c r="BH11" s="11">
        <f t="shared" ref="BH11:BH48" si="22">BI11-BG11</f>
        <v>63181</v>
      </c>
      <c r="BI11" s="6">
        <v>75339</v>
      </c>
      <c r="BJ11" s="12">
        <f t="shared" ref="BJ11:BJ48" si="23">BI11/BF11</f>
        <v>0.869302840791083</v>
      </c>
    </row>
    <row r="12" spans="1:62" x14ac:dyDescent="0.3">
      <c r="A12" s="19">
        <v>3</v>
      </c>
      <c r="B12" s="2" t="s">
        <v>10</v>
      </c>
      <c r="C12" s="4">
        <v>99334</v>
      </c>
      <c r="D12" s="4">
        <v>70237</v>
      </c>
      <c r="E12" s="11">
        <f t="shared" si="0"/>
        <v>4909</v>
      </c>
      <c r="F12" s="6">
        <v>75146</v>
      </c>
      <c r="G12" s="12">
        <f t="shared" si="1"/>
        <v>0.75649827853504337</v>
      </c>
      <c r="H12" s="5">
        <v>103832</v>
      </c>
      <c r="I12" s="4">
        <v>70414</v>
      </c>
      <c r="J12" s="11">
        <f t="shared" si="2"/>
        <v>5349</v>
      </c>
      <c r="K12" s="6">
        <v>75763</v>
      </c>
      <c r="L12" s="12">
        <f t="shared" si="3"/>
        <v>0.72966908082286774</v>
      </c>
      <c r="M12" s="5">
        <v>284602</v>
      </c>
      <c r="N12" s="4">
        <v>220639</v>
      </c>
      <c r="O12" s="11">
        <f t="shared" si="4"/>
        <v>40023</v>
      </c>
      <c r="P12" s="6">
        <v>260662</v>
      </c>
      <c r="Q12" s="12">
        <f t="shared" si="5"/>
        <v>0.91588253069198389</v>
      </c>
      <c r="R12" s="5">
        <v>104604</v>
      </c>
      <c r="S12" s="4">
        <v>68221</v>
      </c>
      <c r="T12" s="11">
        <f t="shared" si="6"/>
        <v>8159</v>
      </c>
      <c r="U12" s="6">
        <v>76380</v>
      </c>
      <c r="V12" s="12">
        <f t="shared" si="7"/>
        <v>0.73018240220259267</v>
      </c>
      <c r="W12" s="5">
        <v>102000</v>
      </c>
      <c r="X12" s="4">
        <v>64436</v>
      </c>
      <c r="Y12" s="11">
        <f t="shared" si="8"/>
        <v>12263</v>
      </c>
      <c r="Z12" s="6">
        <v>76699</v>
      </c>
      <c r="AA12" s="12">
        <f t="shared" si="9"/>
        <v>0.75195098039215691</v>
      </c>
      <c r="AB12" s="5">
        <v>289976</v>
      </c>
      <c r="AC12" s="4">
        <v>164286</v>
      </c>
      <c r="AD12" s="11">
        <f t="shared" si="10"/>
        <v>102894</v>
      </c>
      <c r="AE12" s="6">
        <v>267180</v>
      </c>
      <c r="AF12" s="12">
        <f t="shared" si="11"/>
        <v>0.92138659751151819</v>
      </c>
      <c r="AG12" s="5">
        <v>99720</v>
      </c>
      <c r="AH12" s="4">
        <v>41319</v>
      </c>
      <c r="AI12" s="11">
        <f t="shared" si="12"/>
        <v>35951</v>
      </c>
      <c r="AJ12" s="6">
        <v>77270</v>
      </c>
      <c r="AK12" s="12">
        <f t="shared" si="13"/>
        <v>0.77486963497793826</v>
      </c>
      <c r="AL12" s="5">
        <v>98397</v>
      </c>
      <c r="AM12" s="4">
        <v>49526</v>
      </c>
      <c r="AN12" s="11">
        <f t="shared" si="14"/>
        <v>27902</v>
      </c>
      <c r="AO12" s="6">
        <v>77428</v>
      </c>
      <c r="AP12" s="12">
        <f t="shared" si="15"/>
        <v>0.78689390936715553</v>
      </c>
      <c r="AQ12" s="5">
        <v>294776</v>
      </c>
      <c r="AR12" s="4">
        <v>69002</v>
      </c>
      <c r="AS12" s="11">
        <f t="shared" si="16"/>
        <v>203706</v>
      </c>
      <c r="AT12" s="6">
        <v>272708</v>
      </c>
      <c r="AU12" s="12">
        <f t="shared" si="17"/>
        <v>0.92513637473878474</v>
      </c>
      <c r="AV12" s="5">
        <v>96791</v>
      </c>
      <c r="AW12" s="4">
        <v>51294</v>
      </c>
      <c r="AX12" s="11">
        <f t="shared" si="18"/>
        <v>26703</v>
      </c>
      <c r="AY12" s="6">
        <v>77997</v>
      </c>
      <c r="AZ12" s="12">
        <f t="shared" si="19"/>
        <v>0.80582905435422714</v>
      </c>
      <c r="BA12" s="5">
        <v>95685</v>
      </c>
      <c r="BB12" s="4">
        <v>50656</v>
      </c>
      <c r="BC12" s="11">
        <f t="shared" si="20"/>
        <v>27386</v>
      </c>
      <c r="BD12" s="6">
        <v>78042</v>
      </c>
      <c r="BE12" s="12">
        <f t="shared" si="21"/>
        <v>0.81561373255996239</v>
      </c>
      <c r="BF12" s="5">
        <v>302783</v>
      </c>
      <c r="BG12" s="4">
        <v>57789</v>
      </c>
      <c r="BH12" s="11">
        <f t="shared" si="22"/>
        <v>218711</v>
      </c>
      <c r="BI12" s="6">
        <v>276500</v>
      </c>
      <c r="BJ12" s="12">
        <f t="shared" si="23"/>
        <v>0.91319525865058471</v>
      </c>
    </row>
    <row r="13" spans="1:62" x14ac:dyDescent="0.3">
      <c r="A13" s="19">
        <v>4</v>
      </c>
      <c r="B13" s="2" t="s">
        <v>11</v>
      </c>
      <c r="C13" s="4">
        <v>11692</v>
      </c>
      <c r="D13" s="4">
        <v>7816</v>
      </c>
      <c r="E13" s="11">
        <f t="shared" si="0"/>
        <v>680</v>
      </c>
      <c r="F13" s="6">
        <v>8496</v>
      </c>
      <c r="G13" s="12">
        <f t="shared" si="1"/>
        <v>0.72665070133424559</v>
      </c>
      <c r="H13" s="5">
        <v>12089</v>
      </c>
      <c r="I13" s="4">
        <v>7824</v>
      </c>
      <c r="J13" s="11">
        <f t="shared" si="2"/>
        <v>736</v>
      </c>
      <c r="K13" s="6">
        <v>8560</v>
      </c>
      <c r="L13" s="12">
        <f t="shared" si="3"/>
        <v>0.70808172719000739</v>
      </c>
      <c r="M13" s="5">
        <v>27243</v>
      </c>
      <c r="N13" s="4">
        <v>19834</v>
      </c>
      <c r="O13" s="11">
        <f t="shared" si="4"/>
        <v>4733</v>
      </c>
      <c r="P13" s="6">
        <v>24567</v>
      </c>
      <c r="Q13" s="12">
        <f t="shared" si="5"/>
        <v>0.9017729324964211</v>
      </c>
      <c r="R13" s="5">
        <v>11708</v>
      </c>
      <c r="S13" s="4">
        <v>7561</v>
      </c>
      <c r="T13" s="11">
        <f t="shared" si="6"/>
        <v>1096</v>
      </c>
      <c r="U13" s="6">
        <v>8657</v>
      </c>
      <c r="V13" s="12">
        <f t="shared" si="7"/>
        <v>0.73940895114451655</v>
      </c>
      <c r="W13" s="5">
        <v>11118</v>
      </c>
      <c r="X13" s="4">
        <v>7051</v>
      </c>
      <c r="Y13" s="11">
        <f t="shared" si="8"/>
        <v>1617</v>
      </c>
      <c r="Z13" s="6">
        <v>8668</v>
      </c>
      <c r="AA13" s="12">
        <f t="shared" si="9"/>
        <v>0.77963662529231881</v>
      </c>
      <c r="AB13" s="5">
        <v>27051</v>
      </c>
      <c r="AC13" s="4">
        <v>15260</v>
      </c>
      <c r="AD13" s="11">
        <f t="shared" si="10"/>
        <v>9755</v>
      </c>
      <c r="AE13" s="6">
        <v>25015</v>
      </c>
      <c r="AF13" s="12">
        <f t="shared" si="11"/>
        <v>0.92473476026764256</v>
      </c>
      <c r="AG13" s="5">
        <v>10825</v>
      </c>
      <c r="AH13" s="4">
        <v>4269</v>
      </c>
      <c r="AI13" s="11">
        <f t="shared" si="12"/>
        <v>4452</v>
      </c>
      <c r="AJ13" s="6">
        <v>8721</v>
      </c>
      <c r="AK13" s="12">
        <f t="shared" si="13"/>
        <v>0.80563510392609705</v>
      </c>
      <c r="AL13" s="5">
        <v>10616</v>
      </c>
      <c r="AM13" s="4">
        <v>5213</v>
      </c>
      <c r="AN13" s="11">
        <f t="shared" si="14"/>
        <v>3528</v>
      </c>
      <c r="AO13" s="6">
        <v>8741</v>
      </c>
      <c r="AP13" s="12">
        <f t="shared" si="15"/>
        <v>0.82337980406932931</v>
      </c>
      <c r="AQ13" s="5">
        <v>27347</v>
      </c>
      <c r="AR13" s="4">
        <v>6791</v>
      </c>
      <c r="AS13" s="11">
        <f t="shared" si="16"/>
        <v>18711</v>
      </c>
      <c r="AT13" s="6">
        <v>25502</v>
      </c>
      <c r="AU13" s="12">
        <f t="shared" si="17"/>
        <v>0.93253373313343324</v>
      </c>
      <c r="AV13" s="5">
        <v>10436</v>
      </c>
      <c r="AW13" s="4">
        <v>5466</v>
      </c>
      <c r="AX13" s="11">
        <f t="shared" si="18"/>
        <v>3362</v>
      </c>
      <c r="AY13" s="6">
        <v>8828</v>
      </c>
      <c r="AZ13" s="12">
        <f t="shared" si="19"/>
        <v>0.84591797623610576</v>
      </c>
      <c r="BA13" s="5">
        <v>10294</v>
      </c>
      <c r="BB13" s="4">
        <v>5320</v>
      </c>
      <c r="BC13" s="11">
        <f t="shared" si="20"/>
        <v>3519</v>
      </c>
      <c r="BD13" s="6">
        <v>8839</v>
      </c>
      <c r="BE13" s="12">
        <f t="shared" si="21"/>
        <v>0.85865552749174279</v>
      </c>
      <c r="BF13" s="5">
        <v>27600</v>
      </c>
      <c r="BG13" s="4">
        <v>6209</v>
      </c>
      <c r="BH13" s="11">
        <f t="shared" si="22"/>
        <v>19379</v>
      </c>
      <c r="BI13" s="6">
        <v>25588</v>
      </c>
      <c r="BJ13" s="12">
        <f t="shared" si="23"/>
        <v>0.92710144927536231</v>
      </c>
    </row>
    <row r="14" spans="1:62" x14ac:dyDescent="0.3">
      <c r="A14" s="19">
        <v>5</v>
      </c>
      <c r="B14" s="2" t="s">
        <v>12</v>
      </c>
      <c r="C14" s="4">
        <v>52360</v>
      </c>
      <c r="D14" s="4">
        <v>22341</v>
      </c>
      <c r="E14" s="11">
        <f t="shared" si="0"/>
        <v>5963</v>
      </c>
      <c r="F14" s="6">
        <v>28304</v>
      </c>
      <c r="G14" s="12">
        <f t="shared" si="1"/>
        <v>0.54056531703590527</v>
      </c>
      <c r="H14" s="5">
        <v>53901</v>
      </c>
      <c r="I14" s="4">
        <v>22049</v>
      </c>
      <c r="J14" s="11">
        <f t="shared" si="2"/>
        <v>6570</v>
      </c>
      <c r="K14" s="6">
        <v>28619</v>
      </c>
      <c r="L14" s="12">
        <f t="shared" si="3"/>
        <v>0.53095489879594071</v>
      </c>
      <c r="M14" s="5">
        <v>118806</v>
      </c>
      <c r="N14" s="4">
        <v>63036</v>
      </c>
      <c r="O14" s="11">
        <f t="shared" si="4"/>
        <v>35311</v>
      </c>
      <c r="P14" s="6">
        <v>98347</v>
      </c>
      <c r="Q14" s="12">
        <f t="shared" si="5"/>
        <v>0.82779489251384608</v>
      </c>
      <c r="R14" s="5">
        <v>54910</v>
      </c>
      <c r="S14" s="4">
        <v>20710</v>
      </c>
      <c r="T14" s="11">
        <f t="shared" si="6"/>
        <v>8472</v>
      </c>
      <c r="U14" s="6">
        <v>29182</v>
      </c>
      <c r="V14" s="12">
        <f t="shared" si="7"/>
        <v>0.53145146603533056</v>
      </c>
      <c r="W14" s="5">
        <v>53463</v>
      </c>
      <c r="X14" s="4">
        <v>19128</v>
      </c>
      <c r="Y14" s="11">
        <f t="shared" si="8"/>
        <v>10199</v>
      </c>
      <c r="Z14" s="6">
        <v>29327</v>
      </c>
      <c r="AA14" s="12">
        <f t="shared" si="9"/>
        <v>0.54854759366290706</v>
      </c>
      <c r="AB14" s="5">
        <v>122477</v>
      </c>
      <c r="AC14" s="4">
        <v>47200</v>
      </c>
      <c r="AD14" s="11">
        <f t="shared" si="10"/>
        <v>55170</v>
      </c>
      <c r="AE14" s="6">
        <v>102370</v>
      </c>
      <c r="AF14" s="12">
        <f t="shared" si="11"/>
        <v>0.83583040080994797</v>
      </c>
      <c r="AG14" s="5">
        <v>49944</v>
      </c>
      <c r="AH14" s="4">
        <v>7005</v>
      </c>
      <c r="AI14" s="11">
        <f t="shared" si="12"/>
        <v>22757</v>
      </c>
      <c r="AJ14" s="6">
        <v>29762</v>
      </c>
      <c r="AK14" s="12">
        <f t="shared" si="13"/>
        <v>0.59590741630626298</v>
      </c>
      <c r="AL14" s="5">
        <v>48590</v>
      </c>
      <c r="AM14" s="4">
        <v>9796</v>
      </c>
      <c r="AN14" s="11">
        <f t="shared" si="14"/>
        <v>19981</v>
      </c>
      <c r="AO14" s="6">
        <v>29777</v>
      </c>
      <c r="AP14" s="12">
        <f t="shared" si="15"/>
        <v>0.61282156822391443</v>
      </c>
      <c r="AQ14" s="5">
        <v>123658</v>
      </c>
      <c r="AR14" s="4">
        <v>17890</v>
      </c>
      <c r="AS14" s="11">
        <f t="shared" si="16"/>
        <v>87225</v>
      </c>
      <c r="AT14" s="6">
        <v>105115</v>
      </c>
      <c r="AU14" s="12">
        <f t="shared" si="17"/>
        <v>0.85004609487457339</v>
      </c>
      <c r="AV14" s="5">
        <v>44859</v>
      </c>
      <c r="AW14" s="4">
        <v>10293</v>
      </c>
      <c r="AX14" s="11">
        <f t="shared" si="18"/>
        <v>19906</v>
      </c>
      <c r="AY14" s="6">
        <v>30199</v>
      </c>
      <c r="AZ14" s="12">
        <f t="shared" si="19"/>
        <v>0.67319824338482803</v>
      </c>
      <c r="BA14" s="5">
        <v>44209</v>
      </c>
      <c r="BB14" s="4">
        <v>10257</v>
      </c>
      <c r="BC14" s="11">
        <f t="shared" si="20"/>
        <v>19913</v>
      </c>
      <c r="BD14" s="6">
        <v>30170</v>
      </c>
      <c r="BE14" s="12">
        <f t="shared" si="21"/>
        <v>0.68244022710307861</v>
      </c>
      <c r="BF14" s="5">
        <v>128280</v>
      </c>
      <c r="BG14" s="4">
        <v>15951</v>
      </c>
      <c r="BH14" s="11">
        <f t="shared" si="22"/>
        <v>92382</v>
      </c>
      <c r="BI14" s="6">
        <v>108333</v>
      </c>
      <c r="BJ14" s="12">
        <f t="shared" si="23"/>
        <v>0.84450420954162764</v>
      </c>
    </row>
    <row r="15" spans="1:62" x14ac:dyDescent="0.3">
      <c r="A15" s="19">
        <v>6</v>
      </c>
      <c r="B15" s="2" t="s">
        <v>13</v>
      </c>
      <c r="C15" s="4">
        <v>155733</v>
      </c>
      <c r="D15" s="4">
        <v>97411</v>
      </c>
      <c r="E15" s="11">
        <f t="shared" si="0"/>
        <v>10225</v>
      </c>
      <c r="F15" s="6">
        <v>107636</v>
      </c>
      <c r="G15" s="12">
        <f t="shared" si="1"/>
        <v>0.69115730127847019</v>
      </c>
      <c r="H15" s="5">
        <v>161212</v>
      </c>
      <c r="I15" s="4">
        <v>97518</v>
      </c>
      <c r="J15" s="11">
        <f t="shared" si="2"/>
        <v>11244</v>
      </c>
      <c r="K15" s="6">
        <v>108762</v>
      </c>
      <c r="L15" s="12">
        <f t="shared" si="3"/>
        <v>0.67465201101654959</v>
      </c>
      <c r="M15" s="5">
        <v>381930</v>
      </c>
      <c r="N15" s="4">
        <v>263247</v>
      </c>
      <c r="O15" s="11">
        <f t="shared" si="4"/>
        <v>75273</v>
      </c>
      <c r="P15" s="6">
        <v>338520</v>
      </c>
      <c r="Q15" s="12">
        <f t="shared" si="5"/>
        <v>0.88634042887440112</v>
      </c>
      <c r="R15" s="5">
        <v>166252</v>
      </c>
      <c r="S15" s="4">
        <v>93663</v>
      </c>
      <c r="T15" s="11">
        <f t="shared" si="6"/>
        <v>16907</v>
      </c>
      <c r="U15" s="6">
        <v>110570</v>
      </c>
      <c r="V15" s="12">
        <f t="shared" si="7"/>
        <v>0.66507470586820006</v>
      </c>
      <c r="W15" s="5">
        <v>165152</v>
      </c>
      <c r="X15" s="4">
        <v>87089</v>
      </c>
      <c r="Y15" s="11">
        <f t="shared" si="8"/>
        <v>24111</v>
      </c>
      <c r="Z15" s="6">
        <v>111200</v>
      </c>
      <c r="AA15" s="12">
        <f t="shared" si="9"/>
        <v>0.67331912420073625</v>
      </c>
      <c r="AB15" s="5">
        <v>399083</v>
      </c>
      <c r="AC15" s="4">
        <v>194769</v>
      </c>
      <c r="AD15" s="11">
        <f t="shared" si="10"/>
        <v>156790</v>
      </c>
      <c r="AE15" s="6">
        <v>351559</v>
      </c>
      <c r="AF15" s="12">
        <f t="shared" si="11"/>
        <v>0.88091700222760683</v>
      </c>
      <c r="AG15" s="5">
        <v>161513</v>
      </c>
      <c r="AH15" s="4">
        <v>42906</v>
      </c>
      <c r="AI15" s="11">
        <f t="shared" si="12"/>
        <v>69735</v>
      </c>
      <c r="AJ15" s="6">
        <v>112641</v>
      </c>
      <c r="AK15" s="12">
        <f t="shared" si="13"/>
        <v>0.69741135388482656</v>
      </c>
      <c r="AL15" s="5">
        <v>160836</v>
      </c>
      <c r="AM15" s="4">
        <v>57569</v>
      </c>
      <c r="AN15" s="11">
        <f t="shared" si="14"/>
        <v>55453</v>
      </c>
      <c r="AO15" s="6">
        <v>113022</v>
      </c>
      <c r="AP15" s="12">
        <f t="shared" si="15"/>
        <v>0.70271580989330751</v>
      </c>
      <c r="AQ15" s="5">
        <v>416803</v>
      </c>
      <c r="AR15" s="4">
        <v>83038</v>
      </c>
      <c r="AS15" s="11">
        <f t="shared" si="16"/>
        <v>279484</v>
      </c>
      <c r="AT15" s="6">
        <v>362522</v>
      </c>
      <c r="AU15" s="12">
        <f t="shared" si="17"/>
        <v>0.86976821184108555</v>
      </c>
      <c r="AV15" s="5">
        <v>155966</v>
      </c>
      <c r="AW15" s="4">
        <v>61372</v>
      </c>
      <c r="AX15" s="11">
        <f t="shared" si="18"/>
        <v>52812</v>
      </c>
      <c r="AY15" s="6">
        <v>114184</v>
      </c>
      <c r="AZ15" s="12">
        <f t="shared" si="19"/>
        <v>0.7321082800097457</v>
      </c>
      <c r="BA15" s="5">
        <v>151260</v>
      </c>
      <c r="BB15" s="4">
        <v>60664</v>
      </c>
      <c r="BC15" s="11">
        <f t="shared" si="20"/>
        <v>53618</v>
      </c>
      <c r="BD15" s="6">
        <v>114282</v>
      </c>
      <c r="BE15" s="12">
        <f t="shared" si="21"/>
        <v>0.75553351844506145</v>
      </c>
      <c r="BF15" s="5">
        <v>421476</v>
      </c>
      <c r="BG15" s="4">
        <v>73250</v>
      </c>
      <c r="BH15" s="11">
        <f t="shared" si="22"/>
        <v>294444</v>
      </c>
      <c r="BI15" s="6">
        <v>367694</v>
      </c>
      <c r="BJ15" s="12">
        <f t="shared" si="23"/>
        <v>0.87239605576592738</v>
      </c>
    </row>
    <row r="16" spans="1:62" x14ac:dyDescent="0.3">
      <c r="A16" s="19">
        <v>7</v>
      </c>
      <c r="B16" s="2" t="s">
        <v>14</v>
      </c>
      <c r="C16" s="4">
        <v>255883</v>
      </c>
      <c r="D16" s="4">
        <v>132080</v>
      </c>
      <c r="E16" s="11">
        <f t="shared" si="0"/>
        <v>20430</v>
      </c>
      <c r="F16" s="6">
        <v>152510</v>
      </c>
      <c r="G16" s="12">
        <f t="shared" si="1"/>
        <v>0.59601458479070513</v>
      </c>
      <c r="H16" s="5">
        <v>262865</v>
      </c>
      <c r="I16" s="4">
        <v>131689</v>
      </c>
      <c r="J16" s="11">
        <f t="shared" si="2"/>
        <v>22463</v>
      </c>
      <c r="K16" s="6">
        <v>154152</v>
      </c>
      <c r="L16" s="12">
        <f t="shared" si="3"/>
        <v>0.58643029692047244</v>
      </c>
      <c r="M16" s="5">
        <v>653936</v>
      </c>
      <c r="N16" s="4">
        <v>443138</v>
      </c>
      <c r="O16" s="11">
        <f t="shared" si="4"/>
        <v>125841</v>
      </c>
      <c r="P16" s="6">
        <v>568979</v>
      </c>
      <c r="Q16" s="12">
        <f t="shared" si="5"/>
        <v>0.8700836167453696</v>
      </c>
      <c r="R16" s="5">
        <v>269332</v>
      </c>
      <c r="S16" s="4">
        <v>124954</v>
      </c>
      <c r="T16" s="11">
        <f t="shared" si="6"/>
        <v>32002</v>
      </c>
      <c r="U16" s="6">
        <v>156956</v>
      </c>
      <c r="V16" s="12">
        <f t="shared" si="7"/>
        <v>0.58276031069460743</v>
      </c>
      <c r="W16" s="5">
        <v>268583</v>
      </c>
      <c r="X16" s="4">
        <v>113527</v>
      </c>
      <c r="Y16" s="11">
        <f t="shared" si="8"/>
        <v>44539</v>
      </c>
      <c r="Z16" s="6">
        <v>158066</v>
      </c>
      <c r="AA16" s="12">
        <f t="shared" si="9"/>
        <v>0.58851826064940815</v>
      </c>
      <c r="AB16" s="5">
        <v>674957</v>
      </c>
      <c r="AC16" s="4">
        <v>310702</v>
      </c>
      <c r="AD16" s="11">
        <f t="shared" si="10"/>
        <v>274651</v>
      </c>
      <c r="AE16" s="6">
        <v>585353</v>
      </c>
      <c r="AF16" s="12">
        <f t="shared" si="11"/>
        <v>0.86724487634027059</v>
      </c>
      <c r="AG16" s="5">
        <v>255869</v>
      </c>
      <c r="AH16" s="4">
        <v>51615</v>
      </c>
      <c r="AI16" s="11">
        <f t="shared" si="12"/>
        <v>108748</v>
      </c>
      <c r="AJ16" s="6">
        <v>160363</v>
      </c>
      <c r="AK16" s="12">
        <f t="shared" si="13"/>
        <v>0.62673868268528032</v>
      </c>
      <c r="AL16" s="5">
        <v>254489</v>
      </c>
      <c r="AM16" s="4">
        <v>74681</v>
      </c>
      <c r="AN16" s="11">
        <f t="shared" si="14"/>
        <v>86203</v>
      </c>
      <c r="AO16" s="6">
        <v>160884</v>
      </c>
      <c r="AP16" s="12">
        <f t="shared" si="15"/>
        <v>0.6321844952041149</v>
      </c>
      <c r="AQ16" s="5">
        <v>700345</v>
      </c>
      <c r="AR16" s="4">
        <v>115231</v>
      </c>
      <c r="AS16" s="11">
        <f t="shared" si="16"/>
        <v>481537</v>
      </c>
      <c r="AT16" s="6">
        <v>596768</v>
      </c>
      <c r="AU16" s="12">
        <f t="shared" si="17"/>
        <v>0.85210574788140125</v>
      </c>
      <c r="AV16" s="5">
        <v>252487</v>
      </c>
      <c r="AW16" s="4">
        <v>79416</v>
      </c>
      <c r="AX16" s="11">
        <f t="shared" si="18"/>
        <v>83272</v>
      </c>
      <c r="AY16" s="6">
        <v>162688</v>
      </c>
      <c r="AZ16" s="12">
        <f t="shared" si="19"/>
        <v>0.64434208493902656</v>
      </c>
      <c r="BA16" s="5">
        <v>250214</v>
      </c>
      <c r="BB16" s="4">
        <v>78141</v>
      </c>
      <c r="BC16" s="11">
        <f t="shared" si="20"/>
        <v>85040</v>
      </c>
      <c r="BD16" s="6">
        <v>163181</v>
      </c>
      <c r="BE16" s="12">
        <f t="shared" si="21"/>
        <v>0.65216574612132017</v>
      </c>
      <c r="BF16" s="5">
        <v>730364</v>
      </c>
      <c r="BG16" s="4">
        <v>104042</v>
      </c>
      <c r="BH16" s="11">
        <f t="shared" si="22"/>
        <v>501857</v>
      </c>
      <c r="BI16" s="6">
        <v>605899</v>
      </c>
      <c r="BJ16" s="12">
        <f t="shared" si="23"/>
        <v>0.82958497406772513</v>
      </c>
    </row>
    <row r="17" spans="1:62" x14ac:dyDescent="0.3">
      <c r="A17" s="19">
        <v>8</v>
      </c>
      <c r="B17" s="2" t="s">
        <v>15</v>
      </c>
      <c r="C17" s="4">
        <v>181698</v>
      </c>
      <c r="D17" s="4">
        <v>98521</v>
      </c>
      <c r="E17" s="11">
        <f t="shared" si="0"/>
        <v>14039</v>
      </c>
      <c r="F17" s="6">
        <v>112560</v>
      </c>
      <c r="G17" s="12">
        <f t="shared" si="1"/>
        <v>0.61948948254796421</v>
      </c>
      <c r="H17" s="5">
        <v>194250</v>
      </c>
      <c r="I17" s="4">
        <v>98361</v>
      </c>
      <c r="J17" s="11">
        <f t="shared" si="2"/>
        <v>14913</v>
      </c>
      <c r="K17" s="6">
        <v>113274</v>
      </c>
      <c r="L17" s="12">
        <f t="shared" si="3"/>
        <v>0.58313513513513515</v>
      </c>
      <c r="M17" s="5">
        <v>500417</v>
      </c>
      <c r="N17" s="4">
        <v>337189</v>
      </c>
      <c r="O17" s="11">
        <f t="shared" si="4"/>
        <v>111635</v>
      </c>
      <c r="P17" s="6">
        <v>448824</v>
      </c>
      <c r="Q17" s="12">
        <f t="shared" si="5"/>
        <v>0.8968999854121662</v>
      </c>
      <c r="R17" s="5">
        <v>195360</v>
      </c>
      <c r="S17" s="4">
        <v>93660</v>
      </c>
      <c r="T17" s="11">
        <f t="shared" si="6"/>
        <v>20976</v>
      </c>
      <c r="U17" s="6">
        <v>114636</v>
      </c>
      <c r="V17" s="12">
        <f t="shared" si="7"/>
        <v>0.58679361179361178</v>
      </c>
      <c r="W17" s="5">
        <v>193037</v>
      </c>
      <c r="X17" s="4">
        <v>86077</v>
      </c>
      <c r="Y17" s="11">
        <f t="shared" si="8"/>
        <v>28948</v>
      </c>
      <c r="Z17" s="6">
        <v>115025</v>
      </c>
      <c r="AA17" s="12">
        <f t="shared" si="9"/>
        <v>0.59587022177095583</v>
      </c>
      <c r="AB17" s="5">
        <v>511436</v>
      </c>
      <c r="AC17" s="4">
        <v>246708</v>
      </c>
      <c r="AD17" s="11">
        <f t="shared" si="10"/>
        <v>217809</v>
      </c>
      <c r="AE17" s="6">
        <v>464517</v>
      </c>
      <c r="AF17" s="12">
        <f t="shared" si="11"/>
        <v>0.9082602710798614</v>
      </c>
      <c r="AG17" s="5">
        <v>180725</v>
      </c>
      <c r="AH17" s="4">
        <v>37374</v>
      </c>
      <c r="AI17" s="11">
        <f t="shared" si="12"/>
        <v>79003</v>
      </c>
      <c r="AJ17" s="6">
        <v>116377</v>
      </c>
      <c r="AK17" s="12">
        <f t="shared" si="13"/>
        <v>0.64394522063909254</v>
      </c>
      <c r="AL17" s="5">
        <v>176831</v>
      </c>
      <c r="AM17" s="4">
        <v>56359</v>
      </c>
      <c r="AN17" s="11">
        <f t="shared" si="14"/>
        <v>59932</v>
      </c>
      <c r="AO17" s="6">
        <v>116291</v>
      </c>
      <c r="AP17" s="12">
        <f t="shared" si="15"/>
        <v>0.65763921484355115</v>
      </c>
      <c r="AQ17" s="5">
        <v>530594</v>
      </c>
      <c r="AR17" s="4">
        <v>100526</v>
      </c>
      <c r="AS17" s="11">
        <f t="shared" si="16"/>
        <v>374718</v>
      </c>
      <c r="AT17" s="6">
        <v>475244</v>
      </c>
      <c r="AU17" s="12">
        <f t="shared" si="17"/>
        <v>0.89568295155994981</v>
      </c>
      <c r="AV17" s="5">
        <v>171569</v>
      </c>
      <c r="AW17" s="4">
        <v>62254</v>
      </c>
      <c r="AX17" s="11">
        <f t="shared" si="18"/>
        <v>54949</v>
      </c>
      <c r="AY17" s="6">
        <v>117203</v>
      </c>
      <c r="AZ17" s="12">
        <f t="shared" si="19"/>
        <v>0.68312457378663982</v>
      </c>
      <c r="BA17" s="5">
        <v>168653</v>
      </c>
      <c r="BB17" s="4">
        <v>60072</v>
      </c>
      <c r="BC17" s="11">
        <f t="shared" si="20"/>
        <v>57286</v>
      </c>
      <c r="BD17" s="6">
        <v>117358</v>
      </c>
      <c r="BE17" s="12">
        <f t="shared" si="21"/>
        <v>0.69585480246423126</v>
      </c>
      <c r="BF17" s="5">
        <v>551432</v>
      </c>
      <c r="BG17" s="4">
        <v>79540</v>
      </c>
      <c r="BH17" s="11">
        <f t="shared" si="22"/>
        <v>407043</v>
      </c>
      <c r="BI17" s="6">
        <v>486583</v>
      </c>
      <c r="BJ17" s="12">
        <f t="shared" si="23"/>
        <v>0.88239891772693646</v>
      </c>
    </row>
    <row r="18" spans="1:62" x14ac:dyDescent="0.3">
      <c r="A18" s="19">
        <v>9</v>
      </c>
      <c r="B18" s="2" t="s">
        <v>16</v>
      </c>
      <c r="C18" s="4">
        <v>383357</v>
      </c>
      <c r="D18" s="4">
        <v>213362</v>
      </c>
      <c r="E18" s="11">
        <f t="shared" si="0"/>
        <v>44578</v>
      </c>
      <c r="F18" s="6">
        <v>257940</v>
      </c>
      <c r="G18" s="12">
        <f t="shared" si="1"/>
        <v>0.67284541563086109</v>
      </c>
      <c r="H18" s="5">
        <v>402114</v>
      </c>
      <c r="I18" s="4">
        <v>213473</v>
      </c>
      <c r="J18" s="11">
        <f t="shared" si="2"/>
        <v>48212</v>
      </c>
      <c r="K18" s="6">
        <v>261685</v>
      </c>
      <c r="L18" s="12">
        <f t="shared" si="3"/>
        <v>0.65077316382916284</v>
      </c>
      <c r="M18" s="5">
        <v>1006440</v>
      </c>
      <c r="N18" s="4">
        <v>614622</v>
      </c>
      <c r="O18" s="11">
        <f t="shared" si="4"/>
        <v>254413</v>
      </c>
      <c r="P18" s="6">
        <v>869035</v>
      </c>
      <c r="Q18" s="12">
        <f t="shared" si="5"/>
        <v>0.86347422598465884</v>
      </c>
      <c r="R18" s="5">
        <v>418258</v>
      </c>
      <c r="S18" s="4">
        <v>202405</v>
      </c>
      <c r="T18" s="11">
        <f t="shared" si="6"/>
        <v>64618</v>
      </c>
      <c r="U18" s="6">
        <v>267023</v>
      </c>
      <c r="V18" s="12">
        <f t="shared" si="7"/>
        <v>0.63841695795418141</v>
      </c>
      <c r="W18" s="5">
        <v>414163</v>
      </c>
      <c r="X18" s="4">
        <v>188053</v>
      </c>
      <c r="Y18" s="11">
        <f t="shared" si="8"/>
        <v>80972</v>
      </c>
      <c r="Z18" s="6">
        <v>269025</v>
      </c>
      <c r="AA18" s="12">
        <f t="shared" si="9"/>
        <v>0.64956309472357499</v>
      </c>
      <c r="AB18" s="5">
        <v>1050898</v>
      </c>
      <c r="AC18" s="4">
        <v>468795</v>
      </c>
      <c r="AD18" s="11">
        <f t="shared" si="10"/>
        <v>436544</v>
      </c>
      <c r="AE18" s="6">
        <v>905339</v>
      </c>
      <c r="AF18" s="12">
        <f t="shared" si="11"/>
        <v>0.86149083926318248</v>
      </c>
      <c r="AG18" s="5">
        <v>403018</v>
      </c>
      <c r="AH18" s="4">
        <v>61008</v>
      </c>
      <c r="AI18" s="11">
        <f t="shared" si="12"/>
        <v>213041</v>
      </c>
      <c r="AJ18" s="6">
        <v>274049</v>
      </c>
      <c r="AK18" s="12">
        <f t="shared" si="13"/>
        <v>0.67999196065684409</v>
      </c>
      <c r="AL18" s="5">
        <v>397911</v>
      </c>
      <c r="AM18" s="4">
        <v>90244</v>
      </c>
      <c r="AN18" s="11">
        <f t="shared" si="14"/>
        <v>184323</v>
      </c>
      <c r="AO18" s="6">
        <v>274567</v>
      </c>
      <c r="AP18" s="12">
        <f t="shared" si="15"/>
        <v>0.69002113537951959</v>
      </c>
      <c r="AQ18" s="5">
        <v>1080975</v>
      </c>
      <c r="AR18" s="4">
        <v>149746</v>
      </c>
      <c r="AS18" s="11">
        <f t="shared" si="16"/>
        <v>781423</v>
      </c>
      <c r="AT18" s="6">
        <v>931169</v>
      </c>
      <c r="AU18" s="12">
        <f t="shared" si="17"/>
        <v>0.86141585143042165</v>
      </c>
      <c r="AV18" s="5">
        <v>383854</v>
      </c>
      <c r="AW18" s="4">
        <v>94203</v>
      </c>
      <c r="AX18" s="11">
        <f t="shared" si="18"/>
        <v>183990</v>
      </c>
      <c r="AY18" s="6">
        <v>278193</v>
      </c>
      <c r="AZ18" s="12">
        <f t="shared" si="19"/>
        <v>0.72473648835234228</v>
      </c>
      <c r="BA18" s="5">
        <v>375418</v>
      </c>
      <c r="BB18" s="4">
        <v>90656</v>
      </c>
      <c r="BC18" s="11">
        <f t="shared" si="20"/>
        <v>188048</v>
      </c>
      <c r="BD18" s="6">
        <v>278704</v>
      </c>
      <c r="BE18" s="12">
        <f t="shared" si="21"/>
        <v>0.74238315690776679</v>
      </c>
      <c r="BF18" s="5">
        <v>1108438</v>
      </c>
      <c r="BG18" s="4">
        <v>136513</v>
      </c>
      <c r="BH18" s="11">
        <f t="shared" si="22"/>
        <v>810038</v>
      </c>
      <c r="BI18" s="6">
        <v>946551</v>
      </c>
      <c r="BJ18" s="12">
        <f t="shared" si="23"/>
        <v>0.85395033371284634</v>
      </c>
    </row>
    <row r="19" spans="1:62" x14ac:dyDescent="0.3">
      <c r="A19" s="20">
        <v>10</v>
      </c>
      <c r="B19" s="2" t="s">
        <v>17</v>
      </c>
      <c r="C19" s="4">
        <v>118734</v>
      </c>
      <c r="D19" s="4">
        <v>45439</v>
      </c>
      <c r="E19" s="11">
        <f t="shared" si="0"/>
        <v>21829</v>
      </c>
      <c r="F19" s="6">
        <v>67268</v>
      </c>
      <c r="G19" s="12">
        <f t="shared" si="1"/>
        <v>0.56654370273047316</v>
      </c>
      <c r="H19" s="5">
        <v>126369</v>
      </c>
      <c r="I19" s="4">
        <v>45270</v>
      </c>
      <c r="J19" s="11">
        <f t="shared" si="2"/>
        <v>23328</v>
      </c>
      <c r="K19" s="6">
        <v>68598</v>
      </c>
      <c r="L19" s="12">
        <f t="shared" si="3"/>
        <v>0.54283882914322346</v>
      </c>
      <c r="M19" s="5">
        <v>260084</v>
      </c>
      <c r="N19" s="4">
        <v>131434</v>
      </c>
      <c r="O19" s="11">
        <f t="shared" si="4"/>
        <v>84443</v>
      </c>
      <c r="P19" s="6">
        <v>215877</v>
      </c>
      <c r="Q19" s="12">
        <f t="shared" si="5"/>
        <v>0.83002799095676782</v>
      </c>
      <c r="R19" s="5">
        <v>130716</v>
      </c>
      <c r="S19" s="4">
        <v>42723</v>
      </c>
      <c r="T19" s="11">
        <f t="shared" si="6"/>
        <v>28016</v>
      </c>
      <c r="U19" s="6">
        <v>70739</v>
      </c>
      <c r="V19" s="12">
        <f t="shared" si="7"/>
        <v>0.5411655803421157</v>
      </c>
      <c r="W19" s="5">
        <v>128175</v>
      </c>
      <c r="X19" s="4">
        <v>39292</v>
      </c>
      <c r="Y19" s="11">
        <f t="shared" si="8"/>
        <v>32151</v>
      </c>
      <c r="Z19" s="6">
        <v>71443</v>
      </c>
      <c r="AA19" s="12">
        <f t="shared" si="9"/>
        <v>0.55738638580066313</v>
      </c>
      <c r="AB19" s="5">
        <v>274935</v>
      </c>
      <c r="AC19" s="4">
        <v>106846</v>
      </c>
      <c r="AD19" s="11">
        <f t="shared" si="10"/>
        <v>121054</v>
      </c>
      <c r="AE19" s="6">
        <v>227900</v>
      </c>
      <c r="AF19" s="12">
        <f t="shared" si="11"/>
        <v>0.82892320002909781</v>
      </c>
      <c r="AG19" s="5">
        <v>126876</v>
      </c>
      <c r="AH19" s="4">
        <v>12496</v>
      </c>
      <c r="AI19" s="11">
        <f t="shared" si="12"/>
        <v>60652</v>
      </c>
      <c r="AJ19" s="6">
        <v>73148</v>
      </c>
      <c r="AK19" s="12">
        <f t="shared" si="13"/>
        <v>0.5765314165011507</v>
      </c>
      <c r="AL19" s="5">
        <v>124574</v>
      </c>
      <c r="AM19" s="4">
        <v>14773</v>
      </c>
      <c r="AN19" s="11">
        <f t="shared" si="14"/>
        <v>58742</v>
      </c>
      <c r="AO19" s="6">
        <v>73515</v>
      </c>
      <c r="AP19" s="12">
        <f t="shared" si="15"/>
        <v>0.59013116701719459</v>
      </c>
      <c r="AQ19" s="5">
        <v>287360</v>
      </c>
      <c r="AR19" s="4">
        <v>30721</v>
      </c>
      <c r="AS19" s="11">
        <f t="shared" si="16"/>
        <v>205894</v>
      </c>
      <c r="AT19" s="6">
        <v>236615</v>
      </c>
      <c r="AU19" s="12">
        <f t="shared" si="17"/>
        <v>0.82340966035634744</v>
      </c>
      <c r="AV19" s="5">
        <v>121125</v>
      </c>
      <c r="AW19" s="4">
        <v>15278</v>
      </c>
      <c r="AX19" s="11">
        <f t="shared" si="18"/>
        <v>59782</v>
      </c>
      <c r="AY19" s="6">
        <v>75060</v>
      </c>
      <c r="AZ19" s="12">
        <f t="shared" si="19"/>
        <v>0.6196904024767802</v>
      </c>
      <c r="BA19" s="5">
        <v>118861</v>
      </c>
      <c r="BB19" s="4">
        <v>14459</v>
      </c>
      <c r="BC19" s="11">
        <f t="shared" si="20"/>
        <v>61193</v>
      </c>
      <c r="BD19" s="6">
        <v>75652</v>
      </c>
      <c r="BE19" s="12">
        <f t="shared" si="21"/>
        <v>0.63647453748496141</v>
      </c>
      <c r="BF19" s="5">
        <v>304255</v>
      </c>
      <c r="BG19" s="4">
        <v>25481</v>
      </c>
      <c r="BH19" s="11">
        <f t="shared" si="22"/>
        <v>219835</v>
      </c>
      <c r="BI19" s="6">
        <v>245316</v>
      </c>
      <c r="BJ19" s="12">
        <f t="shared" si="23"/>
        <v>0.8062842023960165</v>
      </c>
    </row>
    <row r="20" spans="1:62" x14ac:dyDescent="0.3">
      <c r="A20" s="20">
        <v>11</v>
      </c>
      <c r="B20" s="2" t="s">
        <v>18</v>
      </c>
      <c r="C20" s="4">
        <v>2909</v>
      </c>
      <c r="D20" s="4">
        <v>1520</v>
      </c>
      <c r="E20" s="11">
        <f t="shared" si="0"/>
        <v>566</v>
      </c>
      <c r="F20" s="6">
        <v>2086</v>
      </c>
      <c r="G20" s="12">
        <f t="shared" si="1"/>
        <v>0.71708490890340326</v>
      </c>
      <c r="H20" s="5">
        <v>3013</v>
      </c>
      <c r="I20" s="4">
        <v>1534</v>
      </c>
      <c r="J20" s="11">
        <f t="shared" si="2"/>
        <v>598</v>
      </c>
      <c r="K20" s="6">
        <v>2132</v>
      </c>
      <c r="L20" s="12">
        <f t="shared" si="3"/>
        <v>0.70760039827414534</v>
      </c>
      <c r="M20" s="5">
        <v>5002</v>
      </c>
      <c r="N20" s="4">
        <v>2775</v>
      </c>
      <c r="O20" s="11">
        <f t="shared" si="4"/>
        <v>1599</v>
      </c>
      <c r="P20" s="6">
        <v>4374</v>
      </c>
      <c r="Q20" s="12">
        <f t="shared" si="5"/>
        <v>0.8744502199120352</v>
      </c>
      <c r="R20" s="5">
        <v>3181</v>
      </c>
      <c r="S20" s="4">
        <v>1469</v>
      </c>
      <c r="T20" s="11">
        <f t="shared" si="6"/>
        <v>752</v>
      </c>
      <c r="U20" s="6">
        <v>2221</v>
      </c>
      <c r="V20" s="12">
        <f t="shared" si="7"/>
        <v>0.69820811065702604</v>
      </c>
      <c r="W20" s="5">
        <v>3269</v>
      </c>
      <c r="X20" s="4">
        <v>1354</v>
      </c>
      <c r="Y20" s="11">
        <f t="shared" si="8"/>
        <v>929</v>
      </c>
      <c r="Z20" s="6">
        <v>2283</v>
      </c>
      <c r="AA20" s="12">
        <f t="shared" si="9"/>
        <v>0.69837870908534716</v>
      </c>
      <c r="AB20" s="5">
        <v>5567</v>
      </c>
      <c r="AC20" s="4">
        <v>2152</v>
      </c>
      <c r="AD20" s="11">
        <f t="shared" si="10"/>
        <v>2648</v>
      </c>
      <c r="AE20" s="6">
        <v>4800</v>
      </c>
      <c r="AF20" s="12">
        <f t="shared" si="11"/>
        <v>0.86222381893299804</v>
      </c>
      <c r="AG20" s="5">
        <v>3411</v>
      </c>
      <c r="AH20" s="4">
        <v>629</v>
      </c>
      <c r="AI20" s="11">
        <f t="shared" si="12"/>
        <v>1795</v>
      </c>
      <c r="AJ20" s="6">
        <v>2424</v>
      </c>
      <c r="AK20" s="12">
        <f t="shared" si="13"/>
        <v>0.71064204045734392</v>
      </c>
      <c r="AL20" s="5">
        <v>3485</v>
      </c>
      <c r="AM20" s="4">
        <v>815</v>
      </c>
      <c r="AN20" s="11">
        <f t="shared" si="14"/>
        <v>1630</v>
      </c>
      <c r="AO20" s="6">
        <v>2445</v>
      </c>
      <c r="AP20" s="12">
        <f t="shared" si="15"/>
        <v>0.70157819225251072</v>
      </c>
      <c r="AQ20" s="5">
        <v>6197</v>
      </c>
      <c r="AR20" s="4">
        <v>1085</v>
      </c>
      <c r="AS20" s="11">
        <f t="shared" si="16"/>
        <v>4136</v>
      </c>
      <c r="AT20" s="6">
        <v>5221</v>
      </c>
      <c r="AU20" s="12">
        <f t="shared" si="17"/>
        <v>0.84250443763111182</v>
      </c>
      <c r="AV20" s="5">
        <v>3623</v>
      </c>
      <c r="AW20" s="4">
        <v>765</v>
      </c>
      <c r="AX20" s="11">
        <f t="shared" si="18"/>
        <v>1798</v>
      </c>
      <c r="AY20" s="6">
        <v>2563</v>
      </c>
      <c r="AZ20" s="12">
        <f t="shared" si="19"/>
        <v>0.7074247860888766</v>
      </c>
      <c r="BA20" s="5">
        <v>3685</v>
      </c>
      <c r="BB20" s="4">
        <v>822</v>
      </c>
      <c r="BC20" s="11">
        <f t="shared" si="20"/>
        <v>1794</v>
      </c>
      <c r="BD20" s="6">
        <v>2616</v>
      </c>
      <c r="BE20" s="12">
        <f t="shared" si="21"/>
        <v>0.70990502035278158</v>
      </c>
      <c r="BF20" s="5">
        <v>6793</v>
      </c>
      <c r="BG20" s="4">
        <v>1053</v>
      </c>
      <c r="BH20" s="11">
        <f t="shared" si="22"/>
        <v>4560</v>
      </c>
      <c r="BI20" s="6">
        <v>5613</v>
      </c>
      <c r="BJ20" s="12">
        <f t="shared" si="23"/>
        <v>0.82629177094067419</v>
      </c>
    </row>
    <row r="21" spans="1:62" x14ac:dyDescent="0.3">
      <c r="A21" s="20">
        <v>12</v>
      </c>
      <c r="B21" s="2" t="s">
        <v>19</v>
      </c>
      <c r="C21" s="4">
        <v>6115</v>
      </c>
      <c r="D21" s="4">
        <v>1680</v>
      </c>
      <c r="E21" s="11">
        <f t="shared" si="0"/>
        <v>1143</v>
      </c>
      <c r="F21" s="6">
        <v>2823</v>
      </c>
      <c r="G21" s="12">
        <f t="shared" si="1"/>
        <v>0.46165167620605069</v>
      </c>
      <c r="H21" s="5">
        <v>6221</v>
      </c>
      <c r="I21" s="4">
        <v>1660</v>
      </c>
      <c r="J21" s="11">
        <f t="shared" si="2"/>
        <v>1230</v>
      </c>
      <c r="K21" s="6">
        <v>2890</v>
      </c>
      <c r="L21" s="12">
        <f t="shared" si="3"/>
        <v>0.46455553769490437</v>
      </c>
      <c r="M21" s="5">
        <v>9000</v>
      </c>
      <c r="N21" s="4">
        <v>3350</v>
      </c>
      <c r="O21" s="11">
        <f t="shared" si="4"/>
        <v>3361</v>
      </c>
      <c r="P21" s="6">
        <v>6711</v>
      </c>
      <c r="Q21" s="12">
        <f t="shared" si="5"/>
        <v>0.7456666666666667</v>
      </c>
      <c r="R21" s="5">
        <v>6296</v>
      </c>
      <c r="S21" s="4">
        <v>1506</v>
      </c>
      <c r="T21" s="11">
        <f t="shared" si="6"/>
        <v>1454</v>
      </c>
      <c r="U21" s="6">
        <v>2960</v>
      </c>
      <c r="V21" s="12">
        <f t="shared" si="7"/>
        <v>0.47013977128335449</v>
      </c>
      <c r="W21" s="5">
        <v>6159</v>
      </c>
      <c r="X21" s="4">
        <v>1312</v>
      </c>
      <c r="Y21" s="11">
        <f t="shared" si="8"/>
        <v>1683</v>
      </c>
      <c r="Z21" s="6">
        <v>2995</v>
      </c>
      <c r="AA21" s="12">
        <f t="shared" si="9"/>
        <v>0.48628024029874978</v>
      </c>
      <c r="AB21" s="5">
        <v>9574</v>
      </c>
      <c r="AC21" s="4">
        <v>2109</v>
      </c>
      <c r="AD21" s="11">
        <f t="shared" si="10"/>
        <v>4948</v>
      </c>
      <c r="AE21" s="6">
        <v>7057</v>
      </c>
      <c r="AF21" s="12">
        <f t="shared" si="11"/>
        <v>0.73710048046793397</v>
      </c>
      <c r="AG21" s="5">
        <v>6075</v>
      </c>
      <c r="AH21" s="4">
        <v>446</v>
      </c>
      <c r="AI21" s="11">
        <f t="shared" si="12"/>
        <v>2638</v>
      </c>
      <c r="AJ21" s="6">
        <v>3084</v>
      </c>
      <c r="AK21" s="12">
        <f t="shared" si="13"/>
        <v>0.50765432098765428</v>
      </c>
      <c r="AL21" s="5">
        <v>6088</v>
      </c>
      <c r="AM21" s="4">
        <v>513</v>
      </c>
      <c r="AN21" s="11">
        <f t="shared" si="14"/>
        <v>2594</v>
      </c>
      <c r="AO21" s="6">
        <v>3107</v>
      </c>
      <c r="AP21" s="12">
        <f t="shared" si="15"/>
        <v>0.5103482260183968</v>
      </c>
      <c r="AQ21" s="5">
        <v>10144</v>
      </c>
      <c r="AR21" s="4">
        <v>794</v>
      </c>
      <c r="AS21" s="11">
        <f t="shared" si="16"/>
        <v>6455</v>
      </c>
      <c r="AT21" s="6">
        <v>7249</v>
      </c>
      <c r="AU21" s="12">
        <f t="shared" si="17"/>
        <v>0.71460962145110407</v>
      </c>
      <c r="AV21" s="5">
        <v>6030</v>
      </c>
      <c r="AW21" s="4">
        <v>535</v>
      </c>
      <c r="AX21" s="11">
        <f t="shared" si="18"/>
        <v>2651</v>
      </c>
      <c r="AY21" s="6">
        <v>3186</v>
      </c>
      <c r="AZ21" s="12">
        <f t="shared" si="19"/>
        <v>0.5283582089552239</v>
      </c>
      <c r="BA21" s="5">
        <v>6065</v>
      </c>
      <c r="BB21" s="4">
        <v>560</v>
      </c>
      <c r="BC21" s="11">
        <f t="shared" si="20"/>
        <v>2632</v>
      </c>
      <c r="BD21" s="6">
        <v>3192</v>
      </c>
      <c r="BE21" s="12">
        <f t="shared" si="21"/>
        <v>0.52629843363561413</v>
      </c>
      <c r="BF21" s="5">
        <v>10737</v>
      </c>
      <c r="BG21" s="4">
        <v>657</v>
      </c>
      <c r="BH21" s="11">
        <f t="shared" si="22"/>
        <v>6853</v>
      </c>
      <c r="BI21" s="6">
        <v>7510</v>
      </c>
      <c r="BJ21" s="12">
        <f t="shared" si="23"/>
        <v>0.69945049827698613</v>
      </c>
    </row>
    <row r="22" spans="1:62" x14ac:dyDescent="0.3">
      <c r="A22" s="20">
        <v>13</v>
      </c>
      <c r="B22" s="2" t="s">
        <v>20</v>
      </c>
      <c r="C22" s="4">
        <v>4189</v>
      </c>
      <c r="D22" s="4">
        <v>1429</v>
      </c>
      <c r="E22" s="11">
        <f t="shared" si="0"/>
        <v>1091</v>
      </c>
      <c r="F22" s="6">
        <v>2520</v>
      </c>
      <c r="G22" s="12">
        <f t="shared" si="1"/>
        <v>0.60157555502506566</v>
      </c>
      <c r="H22" s="5">
        <v>4295</v>
      </c>
      <c r="I22" s="4">
        <v>1448</v>
      </c>
      <c r="J22" s="11">
        <f t="shared" si="2"/>
        <v>1166</v>
      </c>
      <c r="K22" s="6">
        <v>2614</v>
      </c>
      <c r="L22" s="12">
        <f t="shared" si="3"/>
        <v>0.60861466821885912</v>
      </c>
      <c r="M22" s="5">
        <v>5450</v>
      </c>
      <c r="N22" s="4">
        <v>2196</v>
      </c>
      <c r="O22" s="11">
        <f t="shared" si="4"/>
        <v>1990</v>
      </c>
      <c r="P22" s="6">
        <v>4186</v>
      </c>
      <c r="Q22" s="12">
        <f t="shared" si="5"/>
        <v>0.7680733944954129</v>
      </c>
      <c r="R22" s="5">
        <v>4468</v>
      </c>
      <c r="S22" s="4">
        <v>1402</v>
      </c>
      <c r="T22" s="11">
        <f t="shared" si="6"/>
        <v>1331</v>
      </c>
      <c r="U22" s="6">
        <v>2733</v>
      </c>
      <c r="V22" s="12">
        <f t="shared" si="7"/>
        <v>0.61168307967770819</v>
      </c>
      <c r="W22" s="5">
        <v>4475</v>
      </c>
      <c r="X22" s="4">
        <v>1308</v>
      </c>
      <c r="Y22" s="11">
        <f t="shared" si="8"/>
        <v>1487</v>
      </c>
      <c r="Z22" s="6">
        <v>2795</v>
      </c>
      <c r="AA22" s="12">
        <f t="shared" si="9"/>
        <v>0.62458100558659213</v>
      </c>
      <c r="AB22" s="5">
        <v>5857</v>
      </c>
      <c r="AC22" s="4">
        <v>1742</v>
      </c>
      <c r="AD22" s="11">
        <f t="shared" si="10"/>
        <v>2681</v>
      </c>
      <c r="AE22" s="6">
        <v>4423</v>
      </c>
      <c r="AF22" s="12">
        <f t="shared" si="11"/>
        <v>0.75516476011610034</v>
      </c>
      <c r="AG22" s="5">
        <v>4519</v>
      </c>
      <c r="AH22" s="4">
        <v>474</v>
      </c>
      <c r="AI22" s="11">
        <f t="shared" si="12"/>
        <v>2411</v>
      </c>
      <c r="AJ22" s="6">
        <v>2885</v>
      </c>
      <c r="AK22" s="12">
        <f t="shared" si="13"/>
        <v>0.63841557866784682</v>
      </c>
      <c r="AL22" s="5">
        <v>4509</v>
      </c>
      <c r="AM22" s="4">
        <v>572</v>
      </c>
      <c r="AN22" s="11">
        <f t="shared" si="14"/>
        <v>2346</v>
      </c>
      <c r="AO22" s="6">
        <v>2918</v>
      </c>
      <c r="AP22" s="12">
        <f t="shared" si="15"/>
        <v>0.64715014415613215</v>
      </c>
      <c r="AQ22" s="5">
        <v>6085</v>
      </c>
      <c r="AR22" s="4">
        <v>659</v>
      </c>
      <c r="AS22" s="11">
        <f t="shared" si="16"/>
        <v>3894</v>
      </c>
      <c r="AT22" s="6">
        <v>4553</v>
      </c>
      <c r="AU22" s="12">
        <f t="shared" si="17"/>
        <v>0.74823336072308955</v>
      </c>
      <c r="AV22" s="5">
        <v>4478</v>
      </c>
      <c r="AW22" s="4">
        <v>584</v>
      </c>
      <c r="AX22" s="11">
        <f t="shared" si="18"/>
        <v>2361</v>
      </c>
      <c r="AY22" s="6">
        <v>2945</v>
      </c>
      <c r="AZ22" s="12">
        <f t="shared" si="19"/>
        <v>0.65765966949531041</v>
      </c>
      <c r="BA22" s="5">
        <v>4516</v>
      </c>
      <c r="BB22" s="4">
        <v>637</v>
      </c>
      <c r="BC22" s="11">
        <f t="shared" si="20"/>
        <v>2359</v>
      </c>
      <c r="BD22" s="6">
        <v>2996</v>
      </c>
      <c r="BE22" s="12">
        <f t="shared" si="21"/>
        <v>0.66341895482728075</v>
      </c>
      <c r="BF22" s="5">
        <v>6354</v>
      </c>
      <c r="BG22" s="4">
        <v>705</v>
      </c>
      <c r="BH22" s="11">
        <f t="shared" si="22"/>
        <v>3992</v>
      </c>
      <c r="BI22" s="6">
        <v>4697</v>
      </c>
      <c r="BJ22" s="12">
        <f t="shared" si="23"/>
        <v>0.73921938936103238</v>
      </c>
    </row>
    <row r="23" spans="1:62" x14ac:dyDescent="0.3">
      <c r="A23" s="20">
        <v>14</v>
      </c>
      <c r="B23" s="2" t="s">
        <v>21</v>
      </c>
      <c r="C23" s="4">
        <v>6901</v>
      </c>
      <c r="D23" s="4">
        <v>2210</v>
      </c>
      <c r="E23" s="11">
        <f t="shared" si="0"/>
        <v>1170</v>
      </c>
      <c r="F23" s="6">
        <v>3380</v>
      </c>
      <c r="G23" s="12">
        <f t="shared" si="1"/>
        <v>0.48978408926242573</v>
      </c>
      <c r="H23" s="5">
        <v>7002</v>
      </c>
      <c r="I23" s="4">
        <v>2218</v>
      </c>
      <c r="J23" s="11">
        <f t="shared" si="2"/>
        <v>1246</v>
      </c>
      <c r="K23" s="6">
        <v>3464</v>
      </c>
      <c r="L23" s="12">
        <f t="shared" si="3"/>
        <v>0.49471579548700373</v>
      </c>
      <c r="M23" s="5">
        <v>9439</v>
      </c>
      <c r="N23" s="4">
        <v>3462</v>
      </c>
      <c r="O23" s="11">
        <f t="shared" si="4"/>
        <v>2817</v>
      </c>
      <c r="P23" s="6">
        <v>6279</v>
      </c>
      <c r="Q23" s="12">
        <f t="shared" si="5"/>
        <v>0.66521877317512446</v>
      </c>
      <c r="R23" s="5">
        <v>7179</v>
      </c>
      <c r="S23" s="4">
        <v>2052</v>
      </c>
      <c r="T23" s="11">
        <f t="shared" si="6"/>
        <v>1500</v>
      </c>
      <c r="U23" s="6">
        <v>3552</v>
      </c>
      <c r="V23" s="12">
        <f t="shared" si="7"/>
        <v>0.49477643125783538</v>
      </c>
      <c r="W23" s="5">
        <v>7115</v>
      </c>
      <c r="X23" s="4">
        <v>1809</v>
      </c>
      <c r="Y23" s="11">
        <f t="shared" si="8"/>
        <v>1763</v>
      </c>
      <c r="Z23" s="6">
        <v>3572</v>
      </c>
      <c r="AA23" s="12">
        <f t="shared" si="9"/>
        <v>0.50203794799718904</v>
      </c>
      <c r="AB23" s="5">
        <v>9988</v>
      </c>
      <c r="AC23" s="4">
        <v>2234</v>
      </c>
      <c r="AD23" s="11">
        <f t="shared" si="10"/>
        <v>4213</v>
      </c>
      <c r="AE23" s="6">
        <v>6447</v>
      </c>
      <c r="AF23" s="12">
        <f t="shared" si="11"/>
        <v>0.64547456948338</v>
      </c>
      <c r="AG23" s="5">
        <v>7098</v>
      </c>
      <c r="AH23" s="4">
        <v>466</v>
      </c>
      <c r="AI23" s="11">
        <f t="shared" si="12"/>
        <v>3188</v>
      </c>
      <c r="AJ23" s="6">
        <v>3654</v>
      </c>
      <c r="AK23" s="12">
        <f t="shared" si="13"/>
        <v>0.51479289940828399</v>
      </c>
      <c r="AL23" s="5">
        <v>7150</v>
      </c>
      <c r="AM23" s="4">
        <v>575</v>
      </c>
      <c r="AN23" s="11">
        <f t="shared" si="14"/>
        <v>3111</v>
      </c>
      <c r="AO23" s="6">
        <v>3686</v>
      </c>
      <c r="AP23" s="12">
        <f t="shared" si="15"/>
        <v>0.51552447552447556</v>
      </c>
      <c r="AQ23" s="5">
        <v>10385</v>
      </c>
      <c r="AR23" s="4">
        <v>759</v>
      </c>
      <c r="AS23" s="11">
        <f t="shared" si="16"/>
        <v>5866</v>
      </c>
      <c r="AT23" s="6">
        <v>6625</v>
      </c>
      <c r="AU23" s="12">
        <f t="shared" si="17"/>
        <v>0.63793933558016369</v>
      </c>
      <c r="AV23" s="5">
        <v>7292</v>
      </c>
      <c r="AW23" s="4">
        <v>591</v>
      </c>
      <c r="AX23" s="11">
        <f t="shared" si="18"/>
        <v>3163</v>
      </c>
      <c r="AY23" s="6">
        <v>3754</v>
      </c>
      <c r="AZ23" s="12">
        <f t="shared" si="19"/>
        <v>0.51481075150850242</v>
      </c>
      <c r="BA23" s="5">
        <v>7329</v>
      </c>
      <c r="BB23" s="4">
        <v>580</v>
      </c>
      <c r="BC23" s="11">
        <f t="shared" si="20"/>
        <v>3170</v>
      </c>
      <c r="BD23" s="6">
        <v>3750</v>
      </c>
      <c r="BE23" s="12">
        <f t="shared" si="21"/>
        <v>0.51166598444535405</v>
      </c>
      <c r="BF23" s="5">
        <v>10929</v>
      </c>
      <c r="BG23" s="4">
        <v>787</v>
      </c>
      <c r="BH23" s="11">
        <f t="shared" si="22"/>
        <v>5929</v>
      </c>
      <c r="BI23" s="6">
        <v>6716</v>
      </c>
      <c r="BJ23" s="12">
        <f t="shared" si="23"/>
        <v>0.61451184920852775</v>
      </c>
    </row>
    <row r="24" spans="1:62" x14ac:dyDescent="0.3">
      <c r="A24" s="20">
        <v>15</v>
      </c>
      <c r="B24" s="2" t="s">
        <v>22</v>
      </c>
      <c r="C24" s="4">
        <v>3433</v>
      </c>
      <c r="D24" s="4">
        <v>1566</v>
      </c>
      <c r="E24" s="11">
        <f t="shared" si="0"/>
        <v>535</v>
      </c>
      <c r="F24" s="6">
        <v>2101</v>
      </c>
      <c r="G24" s="12">
        <f t="shared" si="1"/>
        <v>0.61200116516166614</v>
      </c>
      <c r="H24" s="5">
        <v>3586</v>
      </c>
      <c r="I24" s="4">
        <v>1562</v>
      </c>
      <c r="J24" s="11">
        <f t="shared" si="2"/>
        <v>593</v>
      </c>
      <c r="K24" s="6">
        <v>2155</v>
      </c>
      <c r="L24" s="12">
        <f t="shared" si="3"/>
        <v>0.60094813162297822</v>
      </c>
      <c r="M24" s="5">
        <v>4577</v>
      </c>
      <c r="N24" s="4">
        <v>2295</v>
      </c>
      <c r="O24" s="11">
        <f t="shared" si="4"/>
        <v>992</v>
      </c>
      <c r="P24" s="6">
        <v>3287</v>
      </c>
      <c r="Q24" s="12">
        <f t="shared" si="5"/>
        <v>0.71815599737819535</v>
      </c>
      <c r="R24" s="5">
        <v>3714</v>
      </c>
      <c r="S24" s="4">
        <v>1492</v>
      </c>
      <c r="T24" s="11">
        <f t="shared" si="6"/>
        <v>744</v>
      </c>
      <c r="U24" s="6">
        <v>2236</v>
      </c>
      <c r="V24" s="12">
        <f t="shared" si="7"/>
        <v>0.60204631125471186</v>
      </c>
      <c r="W24" s="5">
        <v>3697</v>
      </c>
      <c r="X24" s="4">
        <v>1368</v>
      </c>
      <c r="Y24" s="11">
        <f t="shared" si="8"/>
        <v>870</v>
      </c>
      <c r="Z24" s="6">
        <v>2238</v>
      </c>
      <c r="AA24" s="12">
        <f t="shared" si="9"/>
        <v>0.60535569380578846</v>
      </c>
      <c r="AB24" s="5">
        <v>4810</v>
      </c>
      <c r="AC24" s="4">
        <v>1799</v>
      </c>
      <c r="AD24" s="11">
        <f t="shared" si="10"/>
        <v>1643</v>
      </c>
      <c r="AE24" s="6">
        <v>3442</v>
      </c>
      <c r="AF24" s="12">
        <f t="shared" si="11"/>
        <v>0.71559251559251558</v>
      </c>
      <c r="AG24" s="5">
        <v>3785</v>
      </c>
      <c r="AH24" s="4">
        <v>401</v>
      </c>
      <c r="AI24" s="11">
        <f t="shared" si="12"/>
        <v>1898</v>
      </c>
      <c r="AJ24" s="6">
        <v>2299</v>
      </c>
      <c r="AK24" s="12">
        <f t="shared" si="13"/>
        <v>0.60739762219286653</v>
      </c>
      <c r="AL24" s="5">
        <v>3841</v>
      </c>
      <c r="AM24" s="4">
        <v>513</v>
      </c>
      <c r="AN24" s="11">
        <f t="shared" si="14"/>
        <v>1837</v>
      </c>
      <c r="AO24" s="6">
        <v>2350</v>
      </c>
      <c r="AP24" s="12">
        <f t="shared" si="15"/>
        <v>0.61181983858370215</v>
      </c>
      <c r="AQ24" s="5">
        <v>5062</v>
      </c>
      <c r="AR24" s="4">
        <v>480</v>
      </c>
      <c r="AS24" s="11">
        <f t="shared" si="16"/>
        <v>3161</v>
      </c>
      <c r="AT24" s="6">
        <v>3641</v>
      </c>
      <c r="AU24" s="12">
        <f t="shared" si="17"/>
        <v>0.71928091663374161</v>
      </c>
      <c r="AV24" s="5">
        <v>3750</v>
      </c>
      <c r="AW24" s="4">
        <v>524</v>
      </c>
      <c r="AX24" s="11">
        <f t="shared" si="18"/>
        <v>1874</v>
      </c>
      <c r="AY24" s="6">
        <v>2398</v>
      </c>
      <c r="AZ24" s="12">
        <f t="shared" si="19"/>
        <v>0.63946666666666663</v>
      </c>
      <c r="BA24" s="5">
        <v>3712</v>
      </c>
      <c r="BB24" s="4">
        <v>503</v>
      </c>
      <c r="BC24" s="11">
        <f t="shared" si="20"/>
        <v>1930</v>
      </c>
      <c r="BD24" s="6">
        <v>2433</v>
      </c>
      <c r="BE24" s="12">
        <f t="shared" si="21"/>
        <v>0.65544181034482762</v>
      </c>
      <c r="BF24" s="5">
        <v>5225</v>
      </c>
      <c r="BG24" s="4">
        <v>710</v>
      </c>
      <c r="BH24" s="11">
        <f t="shared" si="22"/>
        <v>3114</v>
      </c>
      <c r="BI24" s="6">
        <v>3824</v>
      </c>
      <c r="BJ24" s="12">
        <f t="shared" si="23"/>
        <v>0.731866028708134</v>
      </c>
    </row>
    <row r="25" spans="1:62" x14ac:dyDescent="0.3">
      <c r="A25" s="20">
        <v>16</v>
      </c>
      <c r="B25" s="2" t="s">
        <v>23</v>
      </c>
      <c r="C25" s="4">
        <v>10147</v>
      </c>
      <c r="D25" s="4">
        <v>4532</v>
      </c>
      <c r="E25" s="11">
        <f t="shared" si="0"/>
        <v>1406</v>
      </c>
      <c r="F25" s="6">
        <v>5938</v>
      </c>
      <c r="G25" s="12">
        <f t="shared" si="1"/>
        <v>0.58519759534837879</v>
      </c>
      <c r="H25" s="5">
        <v>10648</v>
      </c>
      <c r="I25" s="4">
        <v>4584</v>
      </c>
      <c r="J25" s="11">
        <f t="shared" si="2"/>
        <v>1509</v>
      </c>
      <c r="K25" s="6">
        <v>6093</v>
      </c>
      <c r="L25" s="12">
        <f t="shared" si="3"/>
        <v>0.57222013523666415</v>
      </c>
      <c r="M25" s="5">
        <v>19474</v>
      </c>
      <c r="N25" s="4">
        <v>11238</v>
      </c>
      <c r="O25" s="11">
        <f t="shared" si="4"/>
        <v>5326</v>
      </c>
      <c r="P25" s="6">
        <v>16564</v>
      </c>
      <c r="Q25" s="12">
        <f t="shared" si="5"/>
        <v>0.85056999075690665</v>
      </c>
      <c r="R25" s="5">
        <v>11101</v>
      </c>
      <c r="S25" s="4">
        <v>4513</v>
      </c>
      <c r="T25" s="11">
        <f t="shared" si="6"/>
        <v>1865</v>
      </c>
      <c r="U25" s="6">
        <v>6378</v>
      </c>
      <c r="V25" s="12">
        <f t="shared" si="7"/>
        <v>0.57454283397892081</v>
      </c>
      <c r="W25" s="5">
        <v>10896</v>
      </c>
      <c r="X25" s="4">
        <v>4069</v>
      </c>
      <c r="Y25" s="11">
        <f t="shared" si="8"/>
        <v>2446</v>
      </c>
      <c r="Z25" s="6">
        <v>6515</v>
      </c>
      <c r="AA25" s="12">
        <f t="shared" si="9"/>
        <v>0.59792584434654916</v>
      </c>
      <c r="AB25" s="5">
        <v>21050</v>
      </c>
      <c r="AC25" s="4">
        <v>8846</v>
      </c>
      <c r="AD25" s="11">
        <f t="shared" si="10"/>
        <v>8862</v>
      </c>
      <c r="AE25" s="6">
        <v>17708</v>
      </c>
      <c r="AF25" s="12">
        <f t="shared" si="11"/>
        <v>0.8412351543942993</v>
      </c>
      <c r="AG25" s="5">
        <v>10767</v>
      </c>
      <c r="AH25" s="4">
        <v>1751</v>
      </c>
      <c r="AI25" s="11">
        <f t="shared" si="12"/>
        <v>4944</v>
      </c>
      <c r="AJ25" s="6">
        <v>6695</v>
      </c>
      <c r="AK25" s="12">
        <f t="shared" si="13"/>
        <v>0.62180737438469402</v>
      </c>
      <c r="AL25" s="5">
        <v>10807</v>
      </c>
      <c r="AM25" s="4">
        <v>2046</v>
      </c>
      <c r="AN25" s="11">
        <f t="shared" si="14"/>
        <v>4705</v>
      </c>
      <c r="AO25" s="6">
        <v>6751</v>
      </c>
      <c r="AP25" s="12">
        <f t="shared" si="15"/>
        <v>0.6246877024151013</v>
      </c>
      <c r="AQ25" s="5">
        <v>22208</v>
      </c>
      <c r="AR25" s="4">
        <v>2258</v>
      </c>
      <c r="AS25" s="11">
        <f t="shared" si="16"/>
        <v>16127</v>
      </c>
      <c r="AT25" s="6">
        <v>18385</v>
      </c>
      <c r="AU25" s="12">
        <f t="shared" si="17"/>
        <v>0.82785482708933722</v>
      </c>
      <c r="AV25" s="5">
        <v>10537</v>
      </c>
      <c r="AW25" s="4">
        <v>1994</v>
      </c>
      <c r="AX25" s="11">
        <f t="shared" si="18"/>
        <v>4904</v>
      </c>
      <c r="AY25" s="6">
        <v>6898</v>
      </c>
      <c r="AZ25" s="12">
        <f t="shared" si="19"/>
        <v>0.65464553478219611</v>
      </c>
      <c r="BA25" s="5">
        <v>10484</v>
      </c>
      <c r="BB25" s="4">
        <v>1847</v>
      </c>
      <c r="BC25" s="11">
        <f t="shared" si="20"/>
        <v>5068</v>
      </c>
      <c r="BD25" s="6">
        <v>6915</v>
      </c>
      <c r="BE25" s="12">
        <f t="shared" si="21"/>
        <v>0.65957649752003056</v>
      </c>
      <c r="BF25" s="5">
        <v>23427</v>
      </c>
      <c r="BG25" s="4">
        <v>2546</v>
      </c>
      <c r="BH25" s="11">
        <f t="shared" si="22"/>
        <v>16365</v>
      </c>
      <c r="BI25" s="6">
        <v>18911</v>
      </c>
      <c r="BJ25" s="12">
        <f t="shared" si="23"/>
        <v>0.80723097280915179</v>
      </c>
    </row>
    <row r="26" spans="1:62" x14ac:dyDescent="0.3">
      <c r="A26" s="20">
        <v>17</v>
      </c>
      <c r="B26" s="2" t="s">
        <v>24</v>
      </c>
      <c r="C26" s="4">
        <v>11348</v>
      </c>
      <c r="D26" s="4">
        <v>3870</v>
      </c>
      <c r="E26" s="11">
        <f t="shared" si="0"/>
        <v>2266</v>
      </c>
      <c r="F26" s="6">
        <v>6136</v>
      </c>
      <c r="G26" s="12">
        <f t="shared" si="1"/>
        <v>0.54071201973916105</v>
      </c>
      <c r="H26" s="5">
        <v>12288</v>
      </c>
      <c r="I26" s="4">
        <v>4033</v>
      </c>
      <c r="J26" s="11">
        <f t="shared" si="2"/>
        <v>2553</v>
      </c>
      <c r="K26" s="6">
        <v>6586</v>
      </c>
      <c r="L26" s="12">
        <f t="shared" si="3"/>
        <v>0.53597005208333337</v>
      </c>
      <c r="M26" s="5">
        <v>20216</v>
      </c>
      <c r="N26" s="4">
        <v>9204</v>
      </c>
      <c r="O26" s="11">
        <f t="shared" si="4"/>
        <v>6004</v>
      </c>
      <c r="P26" s="6">
        <v>15208</v>
      </c>
      <c r="Q26" s="12">
        <f t="shared" si="5"/>
        <v>0.75227542540561931</v>
      </c>
      <c r="R26" s="5">
        <v>13942</v>
      </c>
      <c r="S26" s="4">
        <v>4159</v>
      </c>
      <c r="T26" s="11">
        <f t="shared" si="6"/>
        <v>3187</v>
      </c>
      <c r="U26" s="6">
        <v>7346</v>
      </c>
      <c r="V26" s="12">
        <f t="shared" si="7"/>
        <v>0.52689714531631038</v>
      </c>
      <c r="W26" s="5">
        <v>13671</v>
      </c>
      <c r="X26" s="4">
        <v>3801</v>
      </c>
      <c r="Y26" s="11">
        <f t="shared" si="8"/>
        <v>3683</v>
      </c>
      <c r="Z26" s="6">
        <v>7484</v>
      </c>
      <c r="AA26" s="12">
        <f t="shared" si="9"/>
        <v>0.54743617877258433</v>
      </c>
      <c r="AB26" s="5">
        <v>22408</v>
      </c>
      <c r="AC26" s="4">
        <v>7745</v>
      </c>
      <c r="AD26" s="11">
        <f t="shared" si="10"/>
        <v>8968</v>
      </c>
      <c r="AE26" s="6">
        <v>16713</v>
      </c>
      <c r="AF26" s="12">
        <f t="shared" si="11"/>
        <v>0.7458496965369511</v>
      </c>
      <c r="AG26" s="5">
        <v>13544</v>
      </c>
      <c r="AH26" s="4">
        <v>1254</v>
      </c>
      <c r="AI26" s="11">
        <f t="shared" si="12"/>
        <v>6360</v>
      </c>
      <c r="AJ26" s="6">
        <v>7614</v>
      </c>
      <c r="AK26" s="12">
        <f t="shared" si="13"/>
        <v>0.56216774955699944</v>
      </c>
      <c r="AL26" s="5">
        <v>13664</v>
      </c>
      <c r="AM26" s="4">
        <v>1434</v>
      </c>
      <c r="AN26" s="11">
        <f t="shared" si="14"/>
        <v>6174</v>
      </c>
      <c r="AO26" s="6">
        <v>7608</v>
      </c>
      <c r="AP26" s="12">
        <f t="shared" si="15"/>
        <v>0.55679156908665106</v>
      </c>
      <c r="AQ26" s="5">
        <v>23182</v>
      </c>
      <c r="AR26" s="4">
        <v>2495</v>
      </c>
      <c r="AS26" s="11">
        <f t="shared" si="16"/>
        <v>14321</v>
      </c>
      <c r="AT26" s="6">
        <v>16816</v>
      </c>
      <c r="AU26" s="12">
        <f t="shared" si="17"/>
        <v>0.72539038909498754</v>
      </c>
      <c r="AV26" s="5">
        <v>13582</v>
      </c>
      <c r="AW26" s="4">
        <v>1295</v>
      </c>
      <c r="AX26" s="11">
        <f t="shared" si="18"/>
        <v>6378</v>
      </c>
      <c r="AY26" s="6">
        <v>7673</v>
      </c>
      <c r="AZ26" s="12">
        <f t="shared" si="19"/>
        <v>0.56493888970696515</v>
      </c>
      <c r="BA26" s="5">
        <v>13478</v>
      </c>
      <c r="BB26" s="4">
        <v>1509</v>
      </c>
      <c r="BC26" s="11">
        <f t="shared" si="20"/>
        <v>6139</v>
      </c>
      <c r="BD26" s="6">
        <v>7648</v>
      </c>
      <c r="BE26" s="12">
        <f t="shared" si="21"/>
        <v>0.56744324083691944</v>
      </c>
      <c r="BF26" s="5">
        <v>23703</v>
      </c>
      <c r="BG26" s="4">
        <v>2644</v>
      </c>
      <c r="BH26" s="11">
        <f t="shared" si="22"/>
        <v>14219</v>
      </c>
      <c r="BI26" s="6">
        <v>16863</v>
      </c>
      <c r="BJ26" s="12">
        <f t="shared" si="23"/>
        <v>0.71142893304644983</v>
      </c>
    </row>
    <row r="27" spans="1:62" x14ac:dyDescent="0.3">
      <c r="A27" s="20">
        <v>18</v>
      </c>
      <c r="B27" s="2" t="s">
        <v>25</v>
      </c>
      <c r="C27" s="4">
        <v>82961</v>
      </c>
      <c r="D27" s="4">
        <v>27172</v>
      </c>
      <c r="E27" s="11">
        <f t="shared" si="0"/>
        <v>14852</v>
      </c>
      <c r="F27" s="6">
        <v>42024</v>
      </c>
      <c r="G27" s="12">
        <f t="shared" si="1"/>
        <v>0.50655127107918174</v>
      </c>
      <c r="H27" s="5">
        <v>85929</v>
      </c>
      <c r="I27" s="4">
        <v>26951</v>
      </c>
      <c r="J27" s="11">
        <f t="shared" si="2"/>
        <v>15876</v>
      </c>
      <c r="K27" s="6">
        <v>42827</v>
      </c>
      <c r="L27" s="12">
        <f t="shared" si="3"/>
        <v>0.49839984172980017</v>
      </c>
      <c r="M27" s="5">
        <v>136177</v>
      </c>
      <c r="N27" s="4">
        <v>55065</v>
      </c>
      <c r="O27" s="11">
        <f t="shared" si="4"/>
        <v>47562</v>
      </c>
      <c r="P27" s="6">
        <v>102627</v>
      </c>
      <c r="Q27" s="12">
        <f t="shared" si="5"/>
        <v>0.75362946753122773</v>
      </c>
      <c r="R27" s="5">
        <v>89310</v>
      </c>
      <c r="S27" s="4">
        <v>25224</v>
      </c>
      <c r="T27" s="11">
        <f t="shared" si="6"/>
        <v>19205</v>
      </c>
      <c r="U27" s="6">
        <v>44429</v>
      </c>
      <c r="V27" s="12">
        <f t="shared" si="7"/>
        <v>0.49746948829918264</v>
      </c>
      <c r="W27" s="5">
        <v>88186</v>
      </c>
      <c r="X27" s="4">
        <v>22581</v>
      </c>
      <c r="Y27" s="11">
        <f t="shared" si="8"/>
        <v>22436</v>
      </c>
      <c r="Z27" s="6">
        <v>45017</v>
      </c>
      <c r="AA27" s="12">
        <f t="shared" si="9"/>
        <v>0.51047785362755993</v>
      </c>
      <c r="AB27" s="5">
        <v>144015</v>
      </c>
      <c r="AC27" s="4">
        <v>39416</v>
      </c>
      <c r="AD27" s="11">
        <f t="shared" si="10"/>
        <v>68772</v>
      </c>
      <c r="AE27" s="6">
        <v>108188</v>
      </c>
      <c r="AF27" s="12">
        <f t="shared" si="11"/>
        <v>0.75122730271152316</v>
      </c>
      <c r="AG27" s="5">
        <v>86986</v>
      </c>
      <c r="AH27" s="4">
        <v>8758</v>
      </c>
      <c r="AI27" s="11">
        <f t="shared" si="12"/>
        <v>37133</v>
      </c>
      <c r="AJ27" s="6">
        <v>45891</v>
      </c>
      <c r="AK27" s="12">
        <f t="shared" si="13"/>
        <v>0.52756765456510246</v>
      </c>
      <c r="AL27" s="5">
        <v>86985</v>
      </c>
      <c r="AM27" s="4">
        <v>10606</v>
      </c>
      <c r="AN27" s="11">
        <f t="shared" si="14"/>
        <v>35487</v>
      </c>
      <c r="AO27" s="6">
        <v>46093</v>
      </c>
      <c r="AP27" s="12">
        <f t="shared" si="15"/>
        <v>0.52989595907340348</v>
      </c>
      <c r="AQ27" s="5">
        <v>150627</v>
      </c>
      <c r="AR27" s="4">
        <v>16042</v>
      </c>
      <c r="AS27" s="11">
        <f t="shared" si="16"/>
        <v>94459</v>
      </c>
      <c r="AT27" s="6">
        <v>110501</v>
      </c>
      <c r="AU27" s="12">
        <f t="shared" si="17"/>
        <v>0.73360685667244252</v>
      </c>
      <c r="AV27" s="5">
        <v>85745</v>
      </c>
      <c r="AW27" s="4">
        <v>10697</v>
      </c>
      <c r="AX27" s="11">
        <f t="shared" si="18"/>
        <v>35999</v>
      </c>
      <c r="AY27" s="6">
        <v>46696</v>
      </c>
      <c r="AZ27" s="12">
        <f t="shared" si="19"/>
        <v>0.54459152137150857</v>
      </c>
      <c r="BA27" s="5">
        <v>85438</v>
      </c>
      <c r="BB27" s="4">
        <v>10403</v>
      </c>
      <c r="BC27" s="11">
        <f t="shared" si="20"/>
        <v>36467</v>
      </c>
      <c r="BD27" s="6">
        <v>46870</v>
      </c>
      <c r="BE27" s="12">
        <f t="shared" si="21"/>
        <v>0.54858493878602033</v>
      </c>
      <c r="BF27" s="5">
        <v>157244</v>
      </c>
      <c r="BG27" s="4">
        <v>13368</v>
      </c>
      <c r="BH27" s="11">
        <f t="shared" si="22"/>
        <v>99080</v>
      </c>
      <c r="BI27" s="6">
        <v>112448</v>
      </c>
      <c r="BJ27" s="12">
        <f t="shared" si="23"/>
        <v>0.71511790592963798</v>
      </c>
    </row>
    <row r="28" spans="1:62" x14ac:dyDescent="0.3">
      <c r="A28" s="20">
        <v>19</v>
      </c>
      <c r="B28" s="2" t="s">
        <v>26</v>
      </c>
      <c r="C28" s="4">
        <v>219583</v>
      </c>
      <c r="D28" s="4">
        <v>119835</v>
      </c>
      <c r="E28" s="11">
        <f t="shared" si="0"/>
        <v>29618</v>
      </c>
      <c r="F28" s="6">
        <v>149453</v>
      </c>
      <c r="G28" s="12">
        <f t="shared" si="1"/>
        <v>0.68062190606740958</v>
      </c>
      <c r="H28" s="5">
        <v>233184</v>
      </c>
      <c r="I28" s="4">
        <v>119084</v>
      </c>
      <c r="J28" s="11">
        <f t="shared" si="2"/>
        <v>32199</v>
      </c>
      <c r="K28" s="6">
        <v>151283</v>
      </c>
      <c r="L28" s="12">
        <f t="shared" si="3"/>
        <v>0.64877092767942912</v>
      </c>
      <c r="M28" s="5">
        <v>511502</v>
      </c>
      <c r="N28" s="4">
        <v>329629</v>
      </c>
      <c r="O28" s="11">
        <f t="shared" si="4"/>
        <v>123078</v>
      </c>
      <c r="P28" s="6">
        <v>452707</v>
      </c>
      <c r="Q28" s="12">
        <f t="shared" si="5"/>
        <v>0.88505421288675312</v>
      </c>
      <c r="R28" s="5">
        <v>239310</v>
      </c>
      <c r="S28" s="4">
        <v>112841</v>
      </c>
      <c r="T28" s="11">
        <f t="shared" si="6"/>
        <v>41975</v>
      </c>
      <c r="U28" s="6">
        <v>154816</v>
      </c>
      <c r="V28" s="12">
        <f t="shared" si="7"/>
        <v>0.64692658058585095</v>
      </c>
      <c r="W28" s="5">
        <v>235824</v>
      </c>
      <c r="X28" s="4">
        <v>104078</v>
      </c>
      <c r="Y28" s="11">
        <f t="shared" si="8"/>
        <v>52206</v>
      </c>
      <c r="Z28" s="6">
        <v>156284</v>
      </c>
      <c r="AA28" s="12">
        <f t="shared" si="9"/>
        <v>0.66271456679557639</v>
      </c>
      <c r="AB28" s="5">
        <v>536002</v>
      </c>
      <c r="AC28" s="4">
        <v>255773</v>
      </c>
      <c r="AD28" s="11">
        <f t="shared" si="10"/>
        <v>216575</v>
      </c>
      <c r="AE28" s="6">
        <v>472348</v>
      </c>
      <c r="AF28" s="12">
        <f t="shared" si="11"/>
        <v>0.88124298043664018</v>
      </c>
      <c r="AG28" s="5">
        <v>231591</v>
      </c>
      <c r="AH28" s="4">
        <v>44868</v>
      </c>
      <c r="AI28" s="11">
        <f t="shared" si="12"/>
        <v>114028</v>
      </c>
      <c r="AJ28" s="6">
        <v>158896</v>
      </c>
      <c r="AK28" s="12">
        <f t="shared" si="13"/>
        <v>0.68610610947748396</v>
      </c>
      <c r="AL28" s="5">
        <v>231682</v>
      </c>
      <c r="AM28" s="4">
        <v>56001</v>
      </c>
      <c r="AN28" s="11">
        <f t="shared" si="14"/>
        <v>103644</v>
      </c>
      <c r="AO28" s="6">
        <v>159645</v>
      </c>
      <c r="AP28" s="12">
        <f t="shared" si="15"/>
        <v>0.68906950043594239</v>
      </c>
      <c r="AQ28" s="5">
        <v>558638</v>
      </c>
      <c r="AR28" s="4">
        <v>89410</v>
      </c>
      <c r="AS28" s="11">
        <f t="shared" si="16"/>
        <v>396311</v>
      </c>
      <c r="AT28" s="6">
        <v>485721</v>
      </c>
      <c r="AU28" s="12">
        <f t="shared" si="17"/>
        <v>0.86947361260780687</v>
      </c>
      <c r="AV28" s="5">
        <v>229686</v>
      </c>
      <c r="AW28" s="4">
        <v>57567</v>
      </c>
      <c r="AX28" s="11">
        <f t="shared" si="18"/>
        <v>104962</v>
      </c>
      <c r="AY28" s="6">
        <v>162529</v>
      </c>
      <c r="AZ28" s="12">
        <f t="shared" si="19"/>
        <v>0.70761387285250299</v>
      </c>
      <c r="BA28" s="5">
        <v>227810</v>
      </c>
      <c r="BB28" s="4">
        <v>56664</v>
      </c>
      <c r="BC28" s="11">
        <f t="shared" si="20"/>
        <v>106639</v>
      </c>
      <c r="BD28" s="6">
        <v>163303</v>
      </c>
      <c r="BE28" s="12">
        <f t="shared" si="21"/>
        <v>0.71683859356481283</v>
      </c>
      <c r="BF28" s="5">
        <v>582519</v>
      </c>
      <c r="BG28" s="4">
        <v>80982</v>
      </c>
      <c r="BH28" s="11">
        <f t="shared" si="22"/>
        <v>415952</v>
      </c>
      <c r="BI28" s="6">
        <v>496934</v>
      </c>
      <c r="BJ28" s="12">
        <f t="shared" si="23"/>
        <v>0.85307775368700423</v>
      </c>
    </row>
    <row r="29" spans="1:62" x14ac:dyDescent="0.3">
      <c r="A29" s="20">
        <v>20</v>
      </c>
      <c r="B29" s="2" t="s">
        <v>27</v>
      </c>
      <c r="C29" s="4">
        <v>63614</v>
      </c>
      <c r="D29" s="4">
        <v>32938</v>
      </c>
      <c r="E29" s="11">
        <f t="shared" si="0"/>
        <v>10535</v>
      </c>
      <c r="F29" s="6">
        <v>43473</v>
      </c>
      <c r="G29" s="12">
        <f t="shared" si="1"/>
        <v>0.68338730468135944</v>
      </c>
      <c r="H29" s="5">
        <v>66074</v>
      </c>
      <c r="I29" s="4">
        <v>32737</v>
      </c>
      <c r="J29" s="11">
        <f t="shared" si="2"/>
        <v>11473</v>
      </c>
      <c r="K29" s="6">
        <v>44210</v>
      </c>
      <c r="L29" s="12">
        <f t="shared" si="3"/>
        <v>0.6690982837424706</v>
      </c>
      <c r="M29" s="5">
        <v>127212</v>
      </c>
      <c r="N29" s="4">
        <v>72615</v>
      </c>
      <c r="O29" s="11">
        <f t="shared" si="4"/>
        <v>37094</v>
      </c>
      <c r="P29" s="6">
        <v>109709</v>
      </c>
      <c r="Q29" s="12">
        <f t="shared" si="5"/>
        <v>0.86241077885734052</v>
      </c>
      <c r="R29" s="5">
        <v>67228</v>
      </c>
      <c r="S29" s="4">
        <v>30793</v>
      </c>
      <c r="T29" s="11">
        <f t="shared" si="6"/>
        <v>14458</v>
      </c>
      <c r="U29" s="6">
        <v>45251</v>
      </c>
      <c r="V29" s="12">
        <f t="shared" si="7"/>
        <v>0.67309751889093827</v>
      </c>
      <c r="W29" s="5">
        <v>66395</v>
      </c>
      <c r="X29" s="4">
        <v>28032</v>
      </c>
      <c r="Y29" s="11">
        <f t="shared" si="8"/>
        <v>17584</v>
      </c>
      <c r="Z29" s="6">
        <v>45616</v>
      </c>
      <c r="AA29" s="12">
        <f t="shared" si="9"/>
        <v>0.68703968672339788</v>
      </c>
      <c r="AB29" s="5">
        <v>133208</v>
      </c>
      <c r="AC29" s="4">
        <v>53025</v>
      </c>
      <c r="AD29" s="11">
        <f t="shared" si="10"/>
        <v>61315</v>
      </c>
      <c r="AE29" s="6">
        <v>114340</v>
      </c>
      <c r="AF29" s="12">
        <f t="shared" si="11"/>
        <v>0.85835685544411744</v>
      </c>
      <c r="AG29" s="5">
        <v>65284</v>
      </c>
      <c r="AH29" s="4">
        <v>10409</v>
      </c>
      <c r="AI29" s="11">
        <f t="shared" si="12"/>
        <v>36098</v>
      </c>
      <c r="AJ29" s="6">
        <v>46507</v>
      </c>
      <c r="AK29" s="12">
        <f t="shared" si="13"/>
        <v>0.71237975614239324</v>
      </c>
      <c r="AL29" s="5">
        <v>65226</v>
      </c>
      <c r="AM29" s="4">
        <v>13652</v>
      </c>
      <c r="AN29" s="11">
        <f t="shared" si="14"/>
        <v>33101</v>
      </c>
      <c r="AO29" s="6">
        <v>46753</v>
      </c>
      <c r="AP29" s="12">
        <f t="shared" si="15"/>
        <v>0.71678471775059027</v>
      </c>
      <c r="AQ29" s="5">
        <v>139370</v>
      </c>
      <c r="AR29" s="4">
        <v>22352</v>
      </c>
      <c r="AS29" s="11">
        <f t="shared" si="16"/>
        <v>95976</v>
      </c>
      <c r="AT29" s="6">
        <v>118328</v>
      </c>
      <c r="AU29" s="12">
        <f t="shared" si="17"/>
        <v>0.84902059266700147</v>
      </c>
      <c r="AV29" s="5">
        <v>64786</v>
      </c>
      <c r="AW29" s="4">
        <v>13888</v>
      </c>
      <c r="AX29" s="11">
        <f t="shared" si="18"/>
        <v>33679</v>
      </c>
      <c r="AY29" s="6">
        <v>47567</v>
      </c>
      <c r="AZ29" s="12">
        <f t="shared" si="19"/>
        <v>0.73421726916309082</v>
      </c>
      <c r="BA29" s="5">
        <v>64329</v>
      </c>
      <c r="BB29" s="4">
        <v>13043</v>
      </c>
      <c r="BC29" s="11">
        <f t="shared" si="20"/>
        <v>34666</v>
      </c>
      <c r="BD29" s="6">
        <v>47709</v>
      </c>
      <c r="BE29" s="12">
        <f t="shared" si="21"/>
        <v>0.7416406286433801</v>
      </c>
      <c r="BF29" s="5">
        <v>146064</v>
      </c>
      <c r="BG29" s="4">
        <v>16747</v>
      </c>
      <c r="BH29" s="11">
        <f t="shared" si="22"/>
        <v>104780</v>
      </c>
      <c r="BI29" s="6">
        <v>121527</v>
      </c>
      <c r="BJ29" s="12">
        <f t="shared" si="23"/>
        <v>0.83201199474203091</v>
      </c>
    </row>
    <row r="30" spans="1:62" x14ac:dyDescent="0.3">
      <c r="A30" s="20">
        <v>21</v>
      </c>
      <c r="B30" s="2" t="s">
        <v>28</v>
      </c>
      <c r="C30" s="4">
        <v>94847</v>
      </c>
      <c r="D30" s="4">
        <v>38787</v>
      </c>
      <c r="E30" s="11">
        <f t="shared" si="0"/>
        <v>14592</v>
      </c>
      <c r="F30" s="6">
        <v>53379</v>
      </c>
      <c r="G30" s="12">
        <f t="shared" si="1"/>
        <v>0.56279059959724609</v>
      </c>
      <c r="H30" s="5">
        <v>100711</v>
      </c>
      <c r="I30" s="4">
        <v>38554</v>
      </c>
      <c r="J30" s="11">
        <f t="shared" si="2"/>
        <v>15762</v>
      </c>
      <c r="K30" s="6">
        <v>54316</v>
      </c>
      <c r="L30" s="12">
        <f t="shared" si="3"/>
        <v>0.53932539643137289</v>
      </c>
      <c r="M30" s="5">
        <v>200801</v>
      </c>
      <c r="N30" s="4">
        <v>99516</v>
      </c>
      <c r="O30" s="11">
        <f t="shared" si="4"/>
        <v>62194</v>
      </c>
      <c r="P30" s="6">
        <v>161710</v>
      </c>
      <c r="Q30" s="12">
        <f t="shared" si="5"/>
        <v>0.80532467467791491</v>
      </c>
      <c r="R30" s="5">
        <v>104405</v>
      </c>
      <c r="S30" s="4">
        <v>36441</v>
      </c>
      <c r="T30" s="11">
        <f t="shared" si="6"/>
        <v>19554</v>
      </c>
      <c r="U30" s="6">
        <v>55995</v>
      </c>
      <c r="V30" s="12">
        <f t="shared" si="7"/>
        <v>0.53632488865475791</v>
      </c>
      <c r="W30" s="5">
        <v>103393</v>
      </c>
      <c r="X30" s="4">
        <v>33453</v>
      </c>
      <c r="Y30" s="11">
        <f t="shared" si="8"/>
        <v>23198</v>
      </c>
      <c r="Z30" s="6">
        <v>56651</v>
      </c>
      <c r="AA30" s="12">
        <f t="shared" si="9"/>
        <v>0.54791910477498473</v>
      </c>
      <c r="AB30" s="5">
        <v>214949</v>
      </c>
      <c r="AC30" s="4">
        <v>77291</v>
      </c>
      <c r="AD30" s="11">
        <f t="shared" si="10"/>
        <v>93519</v>
      </c>
      <c r="AE30" s="6">
        <v>170810</v>
      </c>
      <c r="AF30" s="12">
        <f t="shared" si="11"/>
        <v>0.7946536155087951</v>
      </c>
      <c r="AG30" s="5">
        <v>102459</v>
      </c>
      <c r="AH30" s="4">
        <v>13633</v>
      </c>
      <c r="AI30" s="11">
        <f t="shared" si="12"/>
        <v>44357</v>
      </c>
      <c r="AJ30" s="6">
        <v>57990</v>
      </c>
      <c r="AK30" s="12">
        <f t="shared" si="13"/>
        <v>0.56598249055719851</v>
      </c>
      <c r="AL30" s="5">
        <v>101956</v>
      </c>
      <c r="AM30" s="4">
        <v>15669</v>
      </c>
      <c r="AN30" s="11">
        <f t="shared" si="14"/>
        <v>42727</v>
      </c>
      <c r="AO30" s="6">
        <v>58396</v>
      </c>
      <c r="AP30" s="12">
        <f t="shared" si="15"/>
        <v>0.57275687551492804</v>
      </c>
      <c r="AQ30" s="5">
        <v>223141</v>
      </c>
      <c r="AR30" s="4">
        <v>26453</v>
      </c>
      <c r="AS30" s="11">
        <f t="shared" si="16"/>
        <v>150094</v>
      </c>
      <c r="AT30" s="6">
        <v>176547</v>
      </c>
      <c r="AU30" s="12">
        <f t="shared" si="17"/>
        <v>0.79119032360704666</v>
      </c>
      <c r="AV30" s="5">
        <v>91341</v>
      </c>
      <c r="AW30" s="4">
        <v>15847</v>
      </c>
      <c r="AX30" s="11">
        <f t="shared" si="18"/>
        <v>44049</v>
      </c>
      <c r="AY30" s="6">
        <v>59896</v>
      </c>
      <c r="AZ30" s="12">
        <f t="shared" si="19"/>
        <v>0.65574057652094897</v>
      </c>
      <c r="BA30" s="5">
        <v>85107</v>
      </c>
      <c r="BB30" s="4">
        <v>15277</v>
      </c>
      <c r="BC30" s="11">
        <f t="shared" si="20"/>
        <v>44793</v>
      </c>
      <c r="BD30" s="6">
        <v>60070</v>
      </c>
      <c r="BE30" s="12">
        <f t="shared" si="21"/>
        <v>0.70581738282397455</v>
      </c>
      <c r="BF30" s="5">
        <v>218115</v>
      </c>
      <c r="BG30" s="4">
        <v>24850</v>
      </c>
      <c r="BH30" s="11">
        <f t="shared" si="22"/>
        <v>155295</v>
      </c>
      <c r="BI30" s="6">
        <v>180145</v>
      </c>
      <c r="BJ30" s="12">
        <f t="shared" si="23"/>
        <v>0.82591752057400913</v>
      </c>
    </row>
    <row r="31" spans="1:62" x14ac:dyDescent="0.3">
      <c r="A31" s="20">
        <v>22</v>
      </c>
      <c r="B31" s="2" t="s">
        <v>29</v>
      </c>
      <c r="C31" s="4">
        <v>50487</v>
      </c>
      <c r="D31" s="4">
        <v>23163</v>
      </c>
      <c r="E31" s="11">
        <f t="shared" si="0"/>
        <v>9393</v>
      </c>
      <c r="F31" s="6">
        <v>32556</v>
      </c>
      <c r="G31" s="12">
        <f t="shared" si="1"/>
        <v>0.64483926555350879</v>
      </c>
      <c r="H31" s="5">
        <v>53177</v>
      </c>
      <c r="I31" s="4">
        <v>22959</v>
      </c>
      <c r="J31" s="11">
        <f t="shared" si="2"/>
        <v>9915</v>
      </c>
      <c r="K31" s="6">
        <v>32874</v>
      </c>
      <c r="L31" s="12">
        <f t="shared" si="3"/>
        <v>0.61819959757037812</v>
      </c>
      <c r="M31" s="5">
        <v>98284</v>
      </c>
      <c r="N31" s="4">
        <v>50398</v>
      </c>
      <c r="O31" s="11">
        <f t="shared" si="4"/>
        <v>34891</v>
      </c>
      <c r="P31" s="6">
        <v>85289</v>
      </c>
      <c r="Q31" s="12">
        <f t="shared" si="5"/>
        <v>0.86778112408937369</v>
      </c>
      <c r="R31" s="5">
        <v>50949</v>
      </c>
      <c r="S31" s="4">
        <v>21181</v>
      </c>
      <c r="T31" s="11">
        <f t="shared" si="6"/>
        <v>12249</v>
      </c>
      <c r="U31" s="6">
        <v>33430</v>
      </c>
      <c r="V31" s="12">
        <f t="shared" si="7"/>
        <v>0.65614634242085224</v>
      </c>
      <c r="W31" s="5">
        <v>49380</v>
      </c>
      <c r="X31" s="4">
        <v>19103</v>
      </c>
      <c r="Y31" s="11">
        <f t="shared" si="8"/>
        <v>14457</v>
      </c>
      <c r="Z31" s="6">
        <v>33560</v>
      </c>
      <c r="AA31" s="12">
        <f t="shared" si="9"/>
        <v>0.67962737950587282</v>
      </c>
      <c r="AB31" s="5">
        <v>101382</v>
      </c>
      <c r="AC31" s="4">
        <v>35766</v>
      </c>
      <c r="AD31" s="11">
        <f t="shared" si="10"/>
        <v>52669</v>
      </c>
      <c r="AE31" s="6">
        <v>88435</v>
      </c>
      <c r="AF31" s="12">
        <f t="shared" si="11"/>
        <v>0.87229488469353533</v>
      </c>
      <c r="AG31" s="5">
        <v>47462</v>
      </c>
      <c r="AH31" s="4">
        <v>6045</v>
      </c>
      <c r="AI31" s="11">
        <f t="shared" si="12"/>
        <v>28048</v>
      </c>
      <c r="AJ31" s="6">
        <v>34093</v>
      </c>
      <c r="AK31" s="12">
        <f t="shared" si="13"/>
        <v>0.71832202604188611</v>
      </c>
      <c r="AL31" s="5">
        <v>45806</v>
      </c>
      <c r="AM31" s="4">
        <v>9865</v>
      </c>
      <c r="AN31" s="11">
        <f t="shared" si="14"/>
        <v>24275</v>
      </c>
      <c r="AO31" s="6">
        <v>34140</v>
      </c>
      <c r="AP31" s="12">
        <f t="shared" si="15"/>
        <v>0.74531720735274853</v>
      </c>
      <c r="AQ31" s="5">
        <v>101564</v>
      </c>
      <c r="AR31" s="4">
        <v>15012</v>
      </c>
      <c r="AS31" s="11">
        <f t="shared" si="16"/>
        <v>75031</v>
      </c>
      <c r="AT31" s="6">
        <v>90043</v>
      </c>
      <c r="AU31" s="12">
        <f t="shared" si="17"/>
        <v>0.88656413689890123</v>
      </c>
      <c r="AV31" s="5">
        <v>42627</v>
      </c>
      <c r="AW31" s="4">
        <v>10109</v>
      </c>
      <c r="AX31" s="11">
        <f t="shared" si="18"/>
        <v>24340</v>
      </c>
      <c r="AY31" s="6">
        <v>34449</v>
      </c>
      <c r="AZ31" s="12">
        <f t="shared" si="19"/>
        <v>0.80814976423393625</v>
      </c>
      <c r="BA31" s="5">
        <v>42175</v>
      </c>
      <c r="BB31" s="4">
        <v>9521</v>
      </c>
      <c r="BC31" s="11">
        <f t="shared" si="20"/>
        <v>24982</v>
      </c>
      <c r="BD31" s="6">
        <v>34503</v>
      </c>
      <c r="BE31" s="12">
        <f t="shared" si="21"/>
        <v>0.81809128630705397</v>
      </c>
      <c r="BF31" s="5">
        <v>102281</v>
      </c>
      <c r="BG31" s="4">
        <v>11481</v>
      </c>
      <c r="BH31" s="11">
        <f t="shared" si="22"/>
        <v>79950</v>
      </c>
      <c r="BI31" s="6">
        <v>91431</v>
      </c>
      <c r="BJ31" s="12">
        <f t="shared" si="23"/>
        <v>0.89391969182937203</v>
      </c>
    </row>
    <row r="32" spans="1:62" x14ac:dyDescent="0.3">
      <c r="A32" s="20">
        <v>23</v>
      </c>
      <c r="B32" s="2" t="s">
        <v>30</v>
      </c>
      <c r="C32" s="4">
        <v>136612</v>
      </c>
      <c r="D32" s="4">
        <v>73253</v>
      </c>
      <c r="E32" s="11">
        <f t="shared" si="0"/>
        <v>18480</v>
      </c>
      <c r="F32" s="6">
        <v>91733</v>
      </c>
      <c r="G32" s="12">
        <f t="shared" si="1"/>
        <v>0.67148566743770677</v>
      </c>
      <c r="H32" s="5">
        <v>144590</v>
      </c>
      <c r="I32" s="4">
        <v>72854</v>
      </c>
      <c r="J32" s="11">
        <f t="shared" si="2"/>
        <v>19679</v>
      </c>
      <c r="K32" s="6">
        <v>92533</v>
      </c>
      <c r="L32" s="12">
        <f t="shared" si="3"/>
        <v>0.63996818590497273</v>
      </c>
      <c r="M32" s="5">
        <v>322204</v>
      </c>
      <c r="N32" s="4">
        <v>194831</v>
      </c>
      <c r="O32" s="11">
        <f t="shared" si="4"/>
        <v>92604</v>
      </c>
      <c r="P32" s="6">
        <v>287435</v>
      </c>
      <c r="Q32" s="12">
        <f t="shared" si="5"/>
        <v>0.89209010440590431</v>
      </c>
      <c r="R32" s="5">
        <v>141043</v>
      </c>
      <c r="S32" s="4">
        <v>67073</v>
      </c>
      <c r="T32" s="11">
        <f t="shared" si="6"/>
        <v>26772</v>
      </c>
      <c r="U32" s="6">
        <v>93845</v>
      </c>
      <c r="V32" s="12">
        <f t="shared" si="7"/>
        <v>0.66536446331969679</v>
      </c>
      <c r="W32" s="5">
        <v>135990</v>
      </c>
      <c r="X32" s="4">
        <v>60514</v>
      </c>
      <c r="Y32" s="11">
        <f t="shared" si="8"/>
        <v>33868</v>
      </c>
      <c r="Z32" s="6">
        <v>94382</v>
      </c>
      <c r="AA32" s="12">
        <f t="shared" si="9"/>
        <v>0.69403632620045597</v>
      </c>
      <c r="AB32" s="5">
        <v>328946</v>
      </c>
      <c r="AC32" s="4">
        <v>133295</v>
      </c>
      <c r="AD32" s="11">
        <f t="shared" si="10"/>
        <v>164672</v>
      </c>
      <c r="AE32" s="6">
        <v>297967</v>
      </c>
      <c r="AF32" s="12">
        <f t="shared" si="11"/>
        <v>0.90582344822554461</v>
      </c>
      <c r="AG32" s="5">
        <v>131546</v>
      </c>
      <c r="AH32" s="4">
        <v>20376</v>
      </c>
      <c r="AI32" s="11">
        <f t="shared" si="12"/>
        <v>75318</v>
      </c>
      <c r="AJ32" s="6">
        <v>95694</v>
      </c>
      <c r="AK32" s="12">
        <f t="shared" si="13"/>
        <v>0.72745655512140239</v>
      </c>
      <c r="AL32" s="5">
        <v>128868</v>
      </c>
      <c r="AM32" s="4">
        <v>31991</v>
      </c>
      <c r="AN32" s="11">
        <f t="shared" si="14"/>
        <v>63820</v>
      </c>
      <c r="AO32" s="6">
        <v>95811</v>
      </c>
      <c r="AP32" s="12">
        <f t="shared" si="15"/>
        <v>0.74348170220690935</v>
      </c>
      <c r="AQ32" s="5">
        <v>335747</v>
      </c>
      <c r="AR32" s="4">
        <v>52220</v>
      </c>
      <c r="AS32" s="11">
        <f t="shared" si="16"/>
        <v>253843</v>
      </c>
      <c r="AT32" s="6">
        <v>306063</v>
      </c>
      <c r="AU32" s="12">
        <f t="shared" si="17"/>
        <v>0.91158818991681234</v>
      </c>
      <c r="AV32" s="5">
        <v>125246</v>
      </c>
      <c r="AW32" s="4">
        <v>32976</v>
      </c>
      <c r="AX32" s="11">
        <f t="shared" si="18"/>
        <v>63834</v>
      </c>
      <c r="AY32" s="6">
        <v>96810</v>
      </c>
      <c r="AZ32" s="12">
        <f t="shared" si="19"/>
        <v>0.77295881704804947</v>
      </c>
      <c r="BA32" s="5">
        <v>123206</v>
      </c>
      <c r="BB32" s="4">
        <v>31273</v>
      </c>
      <c r="BC32" s="11">
        <f t="shared" si="20"/>
        <v>65719</v>
      </c>
      <c r="BD32" s="6">
        <v>96992</v>
      </c>
      <c r="BE32" s="12">
        <f t="shared" si="21"/>
        <v>0.78723438793565248</v>
      </c>
      <c r="BF32" s="5">
        <v>346732</v>
      </c>
      <c r="BG32" s="4">
        <v>38372</v>
      </c>
      <c r="BH32" s="11">
        <f t="shared" si="22"/>
        <v>274372</v>
      </c>
      <c r="BI32" s="6">
        <v>312744</v>
      </c>
      <c r="BJ32" s="12">
        <f t="shared" si="23"/>
        <v>0.90197616603024811</v>
      </c>
    </row>
    <row r="33" spans="1:62" x14ac:dyDescent="0.3">
      <c r="A33" s="20">
        <v>24</v>
      </c>
      <c r="B33" s="2" t="s">
        <v>31</v>
      </c>
      <c r="C33" s="4">
        <v>313968</v>
      </c>
      <c r="D33" s="4">
        <v>205173</v>
      </c>
      <c r="E33" s="11">
        <f t="shared" si="0"/>
        <v>22123</v>
      </c>
      <c r="F33" s="6">
        <v>227296</v>
      </c>
      <c r="G33" s="12">
        <f t="shared" si="1"/>
        <v>0.72394638944096212</v>
      </c>
      <c r="H33" s="5">
        <v>329706</v>
      </c>
      <c r="I33" s="4">
        <v>205298</v>
      </c>
      <c r="J33" s="11">
        <f t="shared" si="2"/>
        <v>23711</v>
      </c>
      <c r="K33" s="6">
        <v>229009</v>
      </c>
      <c r="L33" s="12">
        <f t="shared" si="3"/>
        <v>0.69458547918448554</v>
      </c>
      <c r="M33" s="5">
        <v>801034</v>
      </c>
      <c r="N33" s="4">
        <v>590811</v>
      </c>
      <c r="O33" s="11">
        <f t="shared" si="4"/>
        <v>145332</v>
      </c>
      <c r="P33" s="6">
        <v>736143</v>
      </c>
      <c r="Q33" s="12">
        <f t="shared" si="5"/>
        <v>0.91899095419170718</v>
      </c>
      <c r="R33" s="5">
        <v>331018</v>
      </c>
      <c r="S33" s="4">
        <v>197432</v>
      </c>
      <c r="T33" s="11">
        <f t="shared" si="6"/>
        <v>34438</v>
      </c>
      <c r="U33" s="6">
        <v>231870</v>
      </c>
      <c r="V33" s="12">
        <f t="shared" si="7"/>
        <v>0.70047550284274573</v>
      </c>
      <c r="W33" s="5">
        <v>322207</v>
      </c>
      <c r="X33" s="4">
        <v>186044</v>
      </c>
      <c r="Y33" s="11">
        <f t="shared" si="8"/>
        <v>46988</v>
      </c>
      <c r="Z33" s="6">
        <v>233032</v>
      </c>
      <c r="AA33" s="12">
        <f t="shared" si="9"/>
        <v>0.72323692533061046</v>
      </c>
      <c r="AB33" s="5">
        <v>823883</v>
      </c>
      <c r="AC33" s="4">
        <v>459825</v>
      </c>
      <c r="AD33" s="11">
        <f t="shared" si="10"/>
        <v>298886</v>
      </c>
      <c r="AE33" s="6">
        <v>758711</v>
      </c>
      <c r="AF33" s="12">
        <f t="shared" si="11"/>
        <v>0.92089653506626545</v>
      </c>
      <c r="AG33" s="5">
        <v>309633</v>
      </c>
      <c r="AH33" s="4">
        <v>69513</v>
      </c>
      <c r="AI33" s="11">
        <f t="shared" si="12"/>
        <v>165958</v>
      </c>
      <c r="AJ33" s="6">
        <v>235471</v>
      </c>
      <c r="AK33" s="12">
        <f t="shared" si="13"/>
        <v>0.76048418611711288</v>
      </c>
      <c r="AL33" s="5">
        <v>305879</v>
      </c>
      <c r="AM33" s="4">
        <v>118867</v>
      </c>
      <c r="AN33" s="11">
        <f t="shared" si="14"/>
        <v>116959</v>
      </c>
      <c r="AO33" s="6">
        <v>235826</v>
      </c>
      <c r="AP33" s="12">
        <f t="shared" si="15"/>
        <v>0.77097806649034417</v>
      </c>
      <c r="AQ33" s="5">
        <v>838229</v>
      </c>
      <c r="AR33" s="4">
        <v>199945</v>
      </c>
      <c r="AS33" s="11">
        <f t="shared" si="16"/>
        <v>575970</v>
      </c>
      <c r="AT33" s="6">
        <v>775915</v>
      </c>
      <c r="AU33" s="12">
        <f t="shared" si="17"/>
        <v>0.92565993302546201</v>
      </c>
      <c r="AV33" s="5">
        <v>298136</v>
      </c>
      <c r="AW33" s="4">
        <v>129332</v>
      </c>
      <c r="AX33" s="11">
        <f t="shared" si="18"/>
        <v>108177</v>
      </c>
      <c r="AY33" s="6">
        <v>237509</v>
      </c>
      <c r="AZ33" s="12">
        <f t="shared" si="19"/>
        <v>0.7966464969007433</v>
      </c>
      <c r="BA33" s="5">
        <v>294597</v>
      </c>
      <c r="BB33" s="4">
        <v>125528</v>
      </c>
      <c r="BC33" s="11">
        <f t="shared" si="20"/>
        <v>112372</v>
      </c>
      <c r="BD33" s="6">
        <v>237900</v>
      </c>
      <c r="BE33" s="12">
        <f t="shared" si="21"/>
        <v>0.80754386500880859</v>
      </c>
      <c r="BF33" s="5">
        <v>864165</v>
      </c>
      <c r="BG33" s="4">
        <v>154965</v>
      </c>
      <c r="BH33" s="11">
        <f t="shared" si="22"/>
        <v>636710</v>
      </c>
      <c r="BI33" s="6">
        <v>791675</v>
      </c>
      <c r="BJ33" s="12">
        <f t="shared" si="23"/>
        <v>0.91611555663559618</v>
      </c>
    </row>
    <row r="34" spans="1:62" x14ac:dyDescent="0.3">
      <c r="A34" s="20">
        <v>25</v>
      </c>
      <c r="B34" s="2" t="s">
        <v>32</v>
      </c>
      <c r="C34" s="4">
        <v>3464</v>
      </c>
      <c r="D34" s="4">
        <v>2391</v>
      </c>
      <c r="E34" s="11">
        <f t="shared" si="0"/>
        <v>221</v>
      </c>
      <c r="F34" s="6">
        <v>2612</v>
      </c>
      <c r="G34" s="12">
        <f t="shared" si="1"/>
        <v>0.75404157043879905</v>
      </c>
      <c r="H34" s="5">
        <v>3499</v>
      </c>
      <c r="I34" s="4">
        <v>2388</v>
      </c>
      <c r="J34" s="11">
        <f t="shared" si="2"/>
        <v>245</v>
      </c>
      <c r="K34" s="6">
        <v>2633</v>
      </c>
      <c r="L34" s="12">
        <f t="shared" si="3"/>
        <v>0.75250071448985423</v>
      </c>
      <c r="M34" s="5">
        <v>5679</v>
      </c>
      <c r="N34" s="4">
        <v>4130</v>
      </c>
      <c r="O34" s="11">
        <f t="shared" si="4"/>
        <v>1111</v>
      </c>
      <c r="P34" s="6">
        <v>5241</v>
      </c>
      <c r="Q34" s="12">
        <f t="shared" si="5"/>
        <v>0.92287374537770739</v>
      </c>
      <c r="R34" s="5">
        <v>3478</v>
      </c>
      <c r="S34" s="4">
        <v>2324</v>
      </c>
      <c r="T34" s="11">
        <f t="shared" si="6"/>
        <v>328</v>
      </c>
      <c r="U34" s="6">
        <v>2652</v>
      </c>
      <c r="V34" s="12">
        <f t="shared" si="7"/>
        <v>0.76250718803910289</v>
      </c>
      <c r="W34" s="5">
        <v>3417</v>
      </c>
      <c r="X34" s="4">
        <v>2208</v>
      </c>
      <c r="Y34" s="11">
        <f t="shared" si="8"/>
        <v>456</v>
      </c>
      <c r="Z34" s="6">
        <v>2664</v>
      </c>
      <c r="AA34" s="12">
        <f t="shared" si="9"/>
        <v>0.77963125548726953</v>
      </c>
      <c r="AB34" s="5">
        <v>5864</v>
      </c>
      <c r="AC34" s="4">
        <v>3173</v>
      </c>
      <c r="AD34" s="11">
        <f t="shared" si="10"/>
        <v>2201</v>
      </c>
      <c r="AE34" s="6">
        <v>5374</v>
      </c>
      <c r="AF34" s="12">
        <f t="shared" si="11"/>
        <v>0.91643929058663032</v>
      </c>
      <c r="AG34" s="5">
        <v>3349</v>
      </c>
      <c r="AH34" s="4">
        <v>1094</v>
      </c>
      <c r="AI34" s="11">
        <f t="shared" si="12"/>
        <v>1595</v>
      </c>
      <c r="AJ34" s="6">
        <v>2689</v>
      </c>
      <c r="AK34" s="12">
        <f t="shared" si="13"/>
        <v>0.80292624664078827</v>
      </c>
      <c r="AL34" s="5">
        <v>3316</v>
      </c>
      <c r="AM34" s="4">
        <v>1437</v>
      </c>
      <c r="AN34" s="11">
        <f t="shared" si="14"/>
        <v>1249</v>
      </c>
      <c r="AO34" s="6">
        <v>2686</v>
      </c>
      <c r="AP34" s="12">
        <f t="shared" si="15"/>
        <v>0.8100120627261761</v>
      </c>
      <c r="AQ34" s="5">
        <v>5942</v>
      </c>
      <c r="AR34" s="4">
        <v>1951</v>
      </c>
      <c r="AS34" s="11">
        <f t="shared" si="16"/>
        <v>3491</v>
      </c>
      <c r="AT34" s="6">
        <v>5442</v>
      </c>
      <c r="AU34" s="12">
        <f t="shared" si="17"/>
        <v>0.91585324806462476</v>
      </c>
      <c r="AV34" s="5">
        <v>3223</v>
      </c>
      <c r="AW34" s="4">
        <v>1592</v>
      </c>
      <c r="AX34" s="11">
        <f t="shared" si="18"/>
        <v>1113</v>
      </c>
      <c r="AY34" s="6">
        <v>2705</v>
      </c>
      <c r="AZ34" s="12">
        <f t="shared" si="19"/>
        <v>0.83928017375116348</v>
      </c>
      <c r="BA34" s="5">
        <v>3160</v>
      </c>
      <c r="BB34" s="4">
        <v>1579</v>
      </c>
      <c r="BC34" s="11">
        <f t="shared" si="20"/>
        <v>1122</v>
      </c>
      <c r="BD34" s="6">
        <v>2701</v>
      </c>
      <c r="BE34" s="12">
        <f t="shared" si="21"/>
        <v>0.85474683544303798</v>
      </c>
      <c r="BF34" s="5">
        <v>6007</v>
      </c>
      <c r="BG34" s="4">
        <v>1789</v>
      </c>
      <c r="BH34" s="11">
        <f t="shared" si="22"/>
        <v>3673</v>
      </c>
      <c r="BI34" s="6">
        <v>5462</v>
      </c>
      <c r="BJ34" s="12">
        <f t="shared" si="23"/>
        <v>0.90927251539870146</v>
      </c>
    </row>
    <row r="35" spans="1:62" x14ac:dyDescent="0.3">
      <c r="A35" s="20">
        <v>26</v>
      </c>
      <c r="B35" s="2" t="s">
        <v>33</v>
      </c>
      <c r="C35" s="4">
        <v>4230</v>
      </c>
      <c r="D35" s="4">
        <v>2848</v>
      </c>
      <c r="E35" s="11">
        <f t="shared" si="0"/>
        <v>261</v>
      </c>
      <c r="F35" s="6">
        <v>3109</v>
      </c>
      <c r="G35" s="12">
        <f t="shared" si="1"/>
        <v>0.73498817966903074</v>
      </c>
      <c r="H35" s="5">
        <v>4313</v>
      </c>
      <c r="I35" s="4">
        <v>2847</v>
      </c>
      <c r="J35" s="11">
        <f t="shared" si="2"/>
        <v>291</v>
      </c>
      <c r="K35" s="6">
        <v>3138</v>
      </c>
      <c r="L35" s="12">
        <f t="shared" si="3"/>
        <v>0.72756781822397398</v>
      </c>
      <c r="M35" s="5">
        <v>7494</v>
      </c>
      <c r="N35" s="4">
        <v>5470</v>
      </c>
      <c r="O35" s="11">
        <f t="shared" si="4"/>
        <v>1396</v>
      </c>
      <c r="P35" s="6">
        <v>6866</v>
      </c>
      <c r="Q35" s="12">
        <f t="shared" si="5"/>
        <v>0.91619962636776087</v>
      </c>
      <c r="R35" s="5">
        <v>4311</v>
      </c>
      <c r="S35" s="4">
        <v>2770</v>
      </c>
      <c r="T35" s="11">
        <f t="shared" si="6"/>
        <v>401</v>
      </c>
      <c r="U35" s="6">
        <v>3171</v>
      </c>
      <c r="V35" s="12">
        <f t="shared" si="7"/>
        <v>0.73556019485038271</v>
      </c>
      <c r="W35" s="5">
        <v>4259</v>
      </c>
      <c r="X35" s="4">
        <v>2616</v>
      </c>
      <c r="Y35" s="11">
        <f t="shared" si="8"/>
        <v>581</v>
      </c>
      <c r="Z35" s="6">
        <v>3197</v>
      </c>
      <c r="AA35" s="12">
        <f t="shared" si="9"/>
        <v>0.75064569147687255</v>
      </c>
      <c r="AB35" s="5">
        <v>7783</v>
      </c>
      <c r="AC35" s="4">
        <v>4209</v>
      </c>
      <c r="AD35" s="11">
        <f t="shared" si="10"/>
        <v>2860</v>
      </c>
      <c r="AE35" s="6">
        <v>7069</v>
      </c>
      <c r="AF35" s="12">
        <f t="shared" si="11"/>
        <v>0.90826159578568677</v>
      </c>
      <c r="AG35" s="5">
        <v>4228</v>
      </c>
      <c r="AH35" s="4">
        <v>1282</v>
      </c>
      <c r="AI35" s="11">
        <f t="shared" si="12"/>
        <v>1964</v>
      </c>
      <c r="AJ35" s="6">
        <v>3246</v>
      </c>
      <c r="AK35" s="12">
        <f t="shared" si="13"/>
        <v>0.76773888363292342</v>
      </c>
      <c r="AL35" s="5">
        <v>4178</v>
      </c>
      <c r="AM35" s="4">
        <v>1724</v>
      </c>
      <c r="AN35" s="11">
        <f t="shared" si="14"/>
        <v>1544</v>
      </c>
      <c r="AO35" s="6">
        <v>3268</v>
      </c>
      <c r="AP35" s="12">
        <f t="shared" si="15"/>
        <v>0.78219243657252269</v>
      </c>
      <c r="AQ35" s="5">
        <v>7963</v>
      </c>
      <c r="AR35" s="4">
        <v>2295</v>
      </c>
      <c r="AS35" s="11">
        <f t="shared" si="16"/>
        <v>4955</v>
      </c>
      <c r="AT35" s="6">
        <v>7250</v>
      </c>
      <c r="AU35" s="12">
        <f t="shared" si="17"/>
        <v>0.91046088157729499</v>
      </c>
      <c r="AV35" s="5">
        <v>4015</v>
      </c>
      <c r="AW35" s="4">
        <v>1842</v>
      </c>
      <c r="AX35" s="11">
        <f t="shared" si="18"/>
        <v>1442</v>
      </c>
      <c r="AY35" s="6">
        <v>3284</v>
      </c>
      <c r="AZ35" s="12">
        <f t="shared" si="19"/>
        <v>0.81793275217932748</v>
      </c>
      <c r="BA35" s="5">
        <v>3897</v>
      </c>
      <c r="BB35" s="4">
        <v>1843</v>
      </c>
      <c r="BC35" s="11">
        <f t="shared" si="20"/>
        <v>1442</v>
      </c>
      <c r="BD35" s="6">
        <v>3285</v>
      </c>
      <c r="BE35" s="12">
        <f t="shared" si="21"/>
        <v>0.84295612009237875</v>
      </c>
      <c r="BF35" s="5">
        <v>8172</v>
      </c>
      <c r="BG35" s="4">
        <v>2141</v>
      </c>
      <c r="BH35" s="11">
        <f t="shared" si="22"/>
        <v>5191</v>
      </c>
      <c r="BI35" s="6">
        <v>7332</v>
      </c>
      <c r="BJ35" s="12">
        <f t="shared" si="23"/>
        <v>0.89720998531571217</v>
      </c>
    </row>
    <row r="36" spans="1:62" x14ac:dyDescent="0.3">
      <c r="A36" s="20">
        <v>27</v>
      </c>
      <c r="B36" s="2" t="s">
        <v>34</v>
      </c>
      <c r="C36" s="4">
        <v>555732</v>
      </c>
      <c r="D36" s="4">
        <v>266147</v>
      </c>
      <c r="E36" s="11">
        <f t="shared" si="0"/>
        <v>57021</v>
      </c>
      <c r="F36" s="6">
        <v>323168</v>
      </c>
      <c r="G36" s="12">
        <f t="shared" si="1"/>
        <v>0.58151770997531183</v>
      </c>
      <c r="H36" s="5">
        <v>576385</v>
      </c>
      <c r="I36" s="4">
        <v>264439</v>
      </c>
      <c r="J36" s="11">
        <f t="shared" si="2"/>
        <v>61337</v>
      </c>
      <c r="K36" s="6">
        <v>325776</v>
      </c>
      <c r="L36" s="12">
        <f t="shared" si="3"/>
        <v>0.56520554837478421</v>
      </c>
      <c r="M36" s="5">
        <v>1291465</v>
      </c>
      <c r="N36" s="4">
        <v>799592</v>
      </c>
      <c r="O36" s="11">
        <f t="shared" si="4"/>
        <v>325479</v>
      </c>
      <c r="P36" s="6">
        <v>1125071</v>
      </c>
      <c r="Q36" s="12">
        <f t="shared" si="5"/>
        <v>0.87115872284576046</v>
      </c>
      <c r="R36" s="5">
        <v>567427</v>
      </c>
      <c r="S36" s="4">
        <v>249445</v>
      </c>
      <c r="T36" s="11">
        <f t="shared" si="6"/>
        <v>80878</v>
      </c>
      <c r="U36" s="6">
        <v>330323</v>
      </c>
      <c r="V36" s="12">
        <f t="shared" si="7"/>
        <v>0.58214184379664702</v>
      </c>
      <c r="W36" s="5">
        <v>554725</v>
      </c>
      <c r="X36" s="4">
        <v>229068</v>
      </c>
      <c r="Y36" s="11">
        <f t="shared" si="8"/>
        <v>102847</v>
      </c>
      <c r="Z36" s="6">
        <v>331915</v>
      </c>
      <c r="AA36" s="12">
        <f t="shared" si="9"/>
        <v>0.59834152057325707</v>
      </c>
      <c r="AB36" s="5">
        <v>1322160</v>
      </c>
      <c r="AC36" s="4">
        <v>570816</v>
      </c>
      <c r="AD36" s="11">
        <f t="shared" si="10"/>
        <v>585414</v>
      </c>
      <c r="AE36" s="6">
        <v>1156230</v>
      </c>
      <c r="AF36" s="12">
        <f t="shared" si="11"/>
        <v>0.87450081684516245</v>
      </c>
      <c r="AG36" s="5">
        <v>528657</v>
      </c>
      <c r="AH36" s="4">
        <v>97280</v>
      </c>
      <c r="AI36" s="11">
        <f t="shared" si="12"/>
        <v>239162</v>
      </c>
      <c r="AJ36" s="6">
        <v>336442</v>
      </c>
      <c r="AK36" s="12">
        <f t="shared" si="13"/>
        <v>0.63640886245713191</v>
      </c>
      <c r="AL36" s="5">
        <v>520551</v>
      </c>
      <c r="AM36" s="4">
        <v>148576</v>
      </c>
      <c r="AN36" s="11">
        <f t="shared" si="14"/>
        <v>188258</v>
      </c>
      <c r="AO36" s="6">
        <v>336834</v>
      </c>
      <c r="AP36" s="12">
        <f t="shared" si="15"/>
        <v>0.64707204481405278</v>
      </c>
      <c r="AQ36" s="5">
        <v>1349417</v>
      </c>
      <c r="AR36" s="4">
        <v>218297</v>
      </c>
      <c r="AS36" s="11">
        <f t="shared" si="16"/>
        <v>963182</v>
      </c>
      <c r="AT36" s="6">
        <v>1181479</v>
      </c>
      <c r="AU36" s="12">
        <f t="shared" si="17"/>
        <v>0.87554773654103957</v>
      </c>
      <c r="AV36" s="5">
        <v>479560</v>
      </c>
      <c r="AW36" s="4">
        <v>157879</v>
      </c>
      <c r="AX36" s="11">
        <f t="shared" si="18"/>
        <v>182780</v>
      </c>
      <c r="AY36" s="6">
        <v>340659</v>
      </c>
      <c r="AZ36" s="12">
        <f t="shared" si="19"/>
        <v>0.71035741096004668</v>
      </c>
      <c r="BA36" s="5">
        <v>474262</v>
      </c>
      <c r="BB36" s="4">
        <v>155444</v>
      </c>
      <c r="BC36" s="11">
        <f t="shared" si="20"/>
        <v>186140</v>
      </c>
      <c r="BD36" s="6">
        <v>341584</v>
      </c>
      <c r="BE36" s="12">
        <f t="shared" si="21"/>
        <v>0.72024324107771653</v>
      </c>
      <c r="BF36" s="5">
        <v>1384075</v>
      </c>
      <c r="BG36" s="4">
        <v>195579</v>
      </c>
      <c r="BH36" s="11">
        <f t="shared" si="22"/>
        <v>1004976</v>
      </c>
      <c r="BI36" s="6">
        <v>1200555</v>
      </c>
      <c r="BJ36" s="12">
        <f t="shared" si="23"/>
        <v>0.86740602929754529</v>
      </c>
    </row>
    <row r="37" spans="1:62" x14ac:dyDescent="0.3">
      <c r="A37" s="20">
        <v>29</v>
      </c>
      <c r="B37" s="2" t="s">
        <v>35</v>
      </c>
      <c r="C37" s="4">
        <v>424107</v>
      </c>
      <c r="D37" s="4">
        <v>251824</v>
      </c>
      <c r="E37" s="11">
        <f t="shared" si="0"/>
        <v>66187</v>
      </c>
      <c r="F37" s="6">
        <v>318011</v>
      </c>
      <c r="G37" s="12">
        <f t="shared" si="1"/>
        <v>0.74983671573447264</v>
      </c>
      <c r="H37" s="5">
        <v>438161</v>
      </c>
      <c r="I37" s="4">
        <v>250719</v>
      </c>
      <c r="J37" s="11">
        <f t="shared" si="2"/>
        <v>71267</v>
      </c>
      <c r="K37" s="6">
        <v>321986</v>
      </c>
      <c r="L37" s="12">
        <f t="shared" si="3"/>
        <v>0.73485773494217876</v>
      </c>
      <c r="M37" s="5">
        <v>650458</v>
      </c>
      <c r="N37" s="4">
        <v>386315</v>
      </c>
      <c r="O37" s="11">
        <f t="shared" si="4"/>
        <v>156086</v>
      </c>
      <c r="P37" s="6">
        <v>542401</v>
      </c>
      <c r="Q37" s="12">
        <f t="shared" si="5"/>
        <v>0.83387551540606775</v>
      </c>
      <c r="R37" s="5">
        <v>451955</v>
      </c>
      <c r="S37" s="4">
        <v>240793</v>
      </c>
      <c r="T37" s="11">
        <f t="shared" si="6"/>
        <v>89277</v>
      </c>
      <c r="U37" s="6">
        <v>330070</v>
      </c>
      <c r="V37" s="12">
        <f t="shared" si="7"/>
        <v>0.73031607129028331</v>
      </c>
      <c r="W37" s="5">
        <v>454656</v>
      </c>
      <c r="X37" s="4">
        <v>223565</v>
      </c>
      <c r="Y37" s="11">
        <f t="shared" si="8"/>
        <v>110100</v>
      </c>
      <c r="Z37" s="6">
        <v>333665</v>
      </c>
      <c r="AA37" s="12">
        <f t="shared" si="9"/>
        <v>0.73388451928490994</v>
      </c>
      <c r="AB37" s="5">
        <v>682420</v>
      </c>
      <c r="AC37" s="4">
        <v>302906</v>
      </c>
      <c r="AD37" s="11">
        <f t="shared" si="10"/>
        <v>263216</v>
      </c>
      <c r="AE37" s="6">
        <v>566122</v>
      </c>
      <c r="AF37" s="12">
        <f t="shared" si="11"/>
        <v>0.82958002403212094</v>
      </c>
      <c r="AG37" s="5">
        <v>455096</v>
      </c>
      <c r="AH37" s="4">
        <v>87752</v>
      </c>
      <c r="AI37" s="11">
        <f t="shared" si="12"/>
        <v>253300</v>
      </c>
      <c r="AJ37" s="6">
        <v>341052</v>
      </c>
      <c r="AK37" s="12">
        <f t="shared" si="13"/>
        <v>0.74940671858245289</v>
      </c>
      <c r="AL37" s="5">
        <v>455153</v>
      </c>
      <c r="AM37" s="4">
        <v>111740</v>
      </c>
      <c r="AN37" s="11">
        <f t="shared" si="14"/>
        <v>230824</v>
      </c>
      <c r="AO37" s="6">
        <v>342564</v>
      </c>
      <c r="AP37" s="12">
        <f t="shared" si="15"/>
        <v>0.75263482828850958</v>
      </c>
      <c r="AQ37" s="5">
        <v>700400</v>
      </c>
      <c r="AR37" s="4">
        <v>151245</v>
      </c>
      <c r="AS37" s="11">
        <f t="shared" si="16"/>
        <v>433759</v>
      </c>
      <c r="AT37" s="6">
        <v>585004</v>
      </c>
      <c r="AU37" s="12">
        <f t="shared" si="17"/>
        <v>0.83524271844660192</v>
      </c>
      <c r="AV37" s="5">
        <v>439004</v>
      </c>
      <c r="AW37" s="4">
        <v>121830</v>
      </c>
      <c r="AX37" s="11">
        <f t="shared" si="18"/>
        <v>227691</v>
      </c>
      <c r="AY37" s="6">
        <v>349521</v>
      </c>
      <c r="AZ37" s="12">
        <f t="shared" si="19"/>
        <v>0.79616814425381088</v>
      </c>
      <c r="BA37" s="5">
        <v>433985</v>
      </c>
      <c r="BB37" s="4">
        <v>116454</v>
      </c>
      <c r="BC37" s="11">
        <f t="shared" si="20"/>
        <v>235071</v>
      </c>
      <c r="BD37" s="6">
        <v>351525</v>
      </c>
      <c r="BE37" s="12">
        <f t="shared" si="21"/>
        <v>0.80999343295275184</v>
      </c>
      <c r="BF37" s="5">
        <v>706472</v>
      </c>
      <c r="BG37" s="4">
        <v>138732</v>
      </c>
      <c r="BH37" s="11">
        <f t="shared" si="22"/>
        <v>460613</v>
      </c>
      <c r="BI37" s="6">
        <v>599345</v>
      </c>
      <c r="BJ37" s="12">
        <f t="shared" si="23"/>
        <v>0.8483634170922556</v>
      </c>
    </row>
    <row r="38" spans="1:62" x14ac:dyDescent="0.3">
      <c r="A38" s="20">
        <v>30</v>
      </c>
      <c r="B38" s="2" t="s">
        <v>36</v>
      </c>
      <c r="C38" s="4">
        <v>16168</v>
      </c>
      <c r="D38" s="4">
        <v>8365</v>
      </c>
      <c r="E38" s="11">
        <f t="shared" si="0"/>
        <v>2121</v>
      </c>
      <c r="F38" s="6">
        <v>10486</v>
      </c>
      <c r="G38" s="12">
        <f t="shared" si="1"/>
        <v>0.64856506679861459</v>
      </c>
      <c r="H38" s="5">
        <v>16758</v>
      </c>
      <c r="I38" s="4">
        <v>8307</v>
      </c>
      <c r="J38" s="11">
        <f t="shared" si="2"/>
        <v>2260</v>
      </c>
      <c r="K38" s="6">
        <v>10567</v>
      </c>
      <c r="L38" s="12">
        <f t="shared" si="3"/>
        <v>0.63056450650435614</v>
      </c>
      <c r="M38" s="5">
        <v>29346</v>
      </c>
      <c r="N38" s="4">
        <v>18231</v>
      </c>
      <c r="O38" s="11">
        <f t="shared" si="4"/>
        <v>7701</v>
      </c>
      <c r="P38" s="6">
        <v>25932</v>
      </c>
      <c r="Q38" s="12">
        <f t="shared" si="5"/>
        <v>0.88366387241872824</v>
      </c>
      <c r="R38" s="5">
        <v>16933</v>
      </c>
      <c r="S38" s="4">
        <v>7953</v>
      </c>
      <c r="T38" s="11">
        <f t="shared" si="6"/>
        <v>2880</v>
      </c>
      <c r="U38" s="6">
        <v>10833</v>
      </c>
      <c r="V38" s="12">
        <f t="shared" si="7"/>
        <v>0.63975668812378195</v>
      </c>
      <c r="W38" s="5">
        <v>16723</v>
      </c>
      <c r="X38" s="4">
        <v>7494</v>
      </c>
      <c r="Y38" s="11">
        <f t="shared" si="8"/>
        <v>3449</v>
      </c>
      <c r="Z38" s="6">
        <v>10943</v>
      </c>
      <c r="AA38" s="12">
        <f t="shared" si="9"/>
        <v>0.65436823536446809</v>
      </c>
      <c r="AB38" s="5">
        <v>30576</v>
      </c>
      <c r="AC38" s="4">
        <v>14192</v>
      </c>
      <c r="AD38" s="11">
        <f t="shared" si="10"/>
        <v>12649</v>
      </c>
      <c r="AE38" s="6">
        <v>26841</v>
      </c>
      <c r="AF38" s="12">
        <f t="shared" si="11"/>
        <v>0.87784536891679754</v>
      </c>
      <c r="AG38" s="5">
        <v>16399</v>
      </c>
      <c r="AH38" s="4">
        <v>3936</v>
      </c>
      <c r="AI38" s="11">
        <f t="shared" si="12"/>
        <v>7175</v>
      </c>
      <c r="AJ38" s="6">
        <v>11111</v>
      </c>
      <c r="AK38" s="12">
        <f t="shared" si="13"/>
        <v>0.67754131349472524</v>
      </c>
      <c r="AL38" s="5">
        <v>16366</v>
      </c>
      <c r="AM38" s="4">
        <v>4535</v>
      </c>
      <c r="AN38" s="11">
        <f t="shared" si="14"/>
        <v>6677</v>
      </c>
      <c r="AO38" s="6">
        <v>11212</v>
      </c>
      <c r="AP38" s="12">
        <f t="shared" si="15"/>
        <v>0.6850788219479409</v>
      </c>
      <c r="AQ38" s="5">
        <v>31956</v>
      </c>
      <c r="AR38" s="4">
        <v>6255</v>
      </c>
      <c r="AS38" s="11">
        <f t="shared" si="16"/>
        <v>21449</v>
      </c>
      <c r="AT38" s="6">
        <v>27704</v>
      </c>
      <c r="AU38" s="12">
        <f t="shared" si="17"/>
        <v>0.86694204531230445</v>
      </c>
      <c r="AV38" s="5">
        <v>16274</v>
      </c>
      <c r="AW38" s="4">
        <v>4837</v>
      </c>
      <c r="AX38" s="11">
        <f t="shared" si="18"/>
        <v>6555</v>
      </c>
      <c r="AY38" s="6">
        <v>11392</v>
      </c>
      <c r="AZ38" s="12">
        <f t="shared" si="19"/>
        <v>0.70001228954160011</v>
      </c>
      <c r="BA38" s="5">
        <v>16105</v>
      </c>
      <c r="BB38" s="4">
        <v>4792</v>
      </c>
      <c r="BC38" s="11">
        <f t="shared" si="20"/>
        <v>6637</v>
      </c>
      <c r="BD38" s="6">
        <v>11429</v>
      </c>
      <c r="BE38" s="12">
        <f t="shared" si="21"/>
        <v>0.70965538652592364</v>
      </c>
      <c r="BF38" s="5">
        <v>33254</v>
      </c>
      <c r="BG38" s="4">
        <v>6210</v>
      </c>
      <c r="BH38" s="11">
        <f t="shared" si="22"/>
        <v>22026</v>
      </c>
      <c r="BI38" s="6">
        <v>28236</v>
      </c>
      <c r="BJ38" s="12">
        <f t="shared" si="23"/>
        <v>0.84910086004691165</v>
      </c>
    </row>
    <row r="39" spans="1:62" x14ac:dyDescent="0.3">
      <c r="A39" s="20">
        <v>31</v>
      </c>
      <c r="B39" s="2" t="s">
        <v>37</v>
      </c>
      <c r="C39" s="4">
        <v>230</v>
      </c>
      <c r="D39" s="4">
        <v>43</v>
      </c>
      <c r="E39" s="11">
        <f t="shared" si="0"/>
        <v>38</v>
      </c>
      <c r="F39" s="6">
        <v>81</v>
      </c>
      <c r="G39" s="12">
        <f t="shared" si="1"/>
        <v>0.35217391304347828</v>
      </c>
      <c r="H39" s="5">
        <v>232</v>
      </c>
      <c r="I39" s="4">
        <v>43</v>
      </c>
      <c r="J39" s="11">
        <f t="shared" si="2"/>
        <v>36</v>
      </c>
      <c r="K39" s="6">
        <v>79</v>
      </c>
      <c r="L39" s="12">
        <f t="shared" si="3"/>
        <v>0.34051724137931033</v>
      </c>
      <c r="M39" s="5">
        <v>277</v>
      </c>
      <c r="N39" s="4">
        <v>77</v>
      </c>
      <c r="O39" s="11">
        <f t="shared" si="4"/>
        <v>87</v>
      </c>
      <c r="P39" s="6">
        <v>164</v>
      </c>
      <c r="Q39" s="12">
        <f t="shared" si="5"/>
        <v>0.59205776173285196</v>
      </c>
      <c r="R39" s="5">
        <v>234</v>
      </c>
      <c r="S39" s="4">
        <v>40</v>
      </c>
      <c r="T39" s="11">
        <f t="shared" si="6"/>
        <v>43</v>
      </c>
      <c r="U39" s="6">
        <v>83</v>
      </c>
      <c r="V39" s="12">
        <f t="shared" si="7"/>
        <v>0.35470085470085472</v>
      </c>
      <c r="W39" s="5">
        <v>232</v>
      </c>
      <c r="X39" s="4">
        <v>35</v>
      </c>
      <c r="Y39" s="11">
        <f t="shared" si="8"/>
        <v>47</v>
      </c>
      <c r="Z39" s="6">
        <v>82</v>
      </c>
      <c r="AA39" s="12">
        <f t="shared" si="9"/>
        <v>0.35344827586206895</v>
      </c>
      <c r="AB39" s="5">
        <v>281</v>
      </c>
      <c r="AC39" s="4">
        <v>47</v>
      </c>
      <c r="AD39" s="11">
        <f t="shared" si="10"/>
        <v>119</v>
      </c>
      <c r="AE39" s="6">
        <v>166</v>
      </c>
      <c r="AF39" s="12">
        <f t="shared" si="11"/>
        <v>0.59074733096085408</v>
      </c>
      <c r="AG39" s="5">
        <v>230</v>
      </c>
      <c r="AH39" s="4">
        <v>24</v>
      </c>
      <c r="AI39" s="11">
        <f t="shared" si="12"/>
        <v>63</v>
      </c>
      <c r="AJ39" s="6">
        <v>87</v>
      </c>
      <c r="AK39" s="12">
        <f t="shared" si="13"/>
        <v>0.37826086956521737</v>
      </c>
      <c r="AL39" s="5">
        <v>228</v>
      </c>
      <c r="AM39" s="4">
        <v>27</v>
      </c>
      <c r="AN39" s="11">
        <f t="shared" si="14"/>
        <v>69</v>
      </c>
      <c r="AO39" s="6">
        <v>96</v>
      </c>
      <c r="AP39" s="12">
        <f t="shared" si="15"/>
        <v>0.42105263157894735</v>
      </c>
      <c r="AQ39" s="5">
        <v>203</v>
      </c>
      <c r="AR39" s="4">
        <v>33</v>
      </c>
      <c r="AS39" s="11">
        <f t="shared" si="16"/>
        <v>117</v>
      </c>
      <c r="AT39" s="6">
        <v>150</v>
      </c>
      <c r="AU39" s="12">
        <f t="shared" si="17"/>
        <v>0.73891625615763545</v>
      </c>
      <c r="AV39" s="5">
        <v>142</v>
      </c>
      <c r="AW39" s="4">
        <v>26</v>
      </c>
      <c r="AX39" s="11">
        <f t="shared" si="18"/>
        <v>50</v>
      </c>
      <c r="AY39" s="6">
        <v>76</v>
      </c>
      <c r="AZ39" s="12">
        <f t="shared" si="19"/>
        <v>0.53521126760563376</v>
      </c>
      <c r="BA39" s="5">
        <v>144</v>
      </c>
      <c r="BB39" s="4">
        <v>26</v>
      </c>
      <c r="BC39" s="11">
        <f t="shared" si="20"/>
        <v>52</v>
      </c>
      <c r="BD39" s="6">
        <v>78</v>
      </c>
      <c r="BE39" s="12">
        <f t="shared" si="21"/>
        <v>0.54166666666666663</v>
      </c>
      <c r="BF39" s="5">
        <v>210</v>
      </c>
      <c r="BG39" s="4">
        <v>37</v>
      </c>
      <c r="BH39" s="11">
        <f t="shared" si="22"/>
        <v>114</v>
      </c>
      <c r="BI39" s="6">
        <v>151</v>
      </c>
      <c r="BJ39" s="12">
        <f t="shared" si="23"/>
        <v>0.71904761904761905</v>
      </c>
    </row>
    <row r="40" spans="1:62" x14ac:dyDescent="0.3">
      <c r="A40" s="20">
        <v>32</v>
      </c>
      <c r="B40" s="2" t="s">
        <v>38</v>
      </c>
      <c r="C40" s="4">
        <v>164412</v>
      </c>
      <c r="D40" s="4">
        <v>108519</v>
      </c>
      <c r="E40" s="11">
        <f t="shared" si="0"/>
        <v>26506</v>
      </c>
      <c r="F40" s="6">
        <v>135025</v>
      </c>
      <c r="G40" s="12">
        <f t="shared" si="1"/>
        <v>0.8212600053524074</v>
      </c>
      <c r="H40" s="5">
        <v>169073</v>
      </c>
      <c r="I40" s="4">
        <v>107917</v>
      </c>
      <c r="J40" s="11">
        <f t="shared" si="2"/>
        <v>29029</v>
      </c>
      <c r="K40" s="6">
        <v>136946</v>
      </c>
      <c r="L40" s="12">
        <f t="shared" si="3"/>
        <v>0.80998148728655672</v>
      </c>
      <c r="M40" s="5">
        <v>263762</v>
      </c>
      <c r="N40" s="4">
        <v>173277</v>
      </c>
      <c r="O40" s="11">
        <f t="shared" si="4"/>
        <v>67957</v>
      </c>
      <c r="P40" s="6">
        <v>241234</v>
      </c>
      <c r="Q40" s="12">
        <f t="shared" si="5"/>
        <v>0.91458966795823504</v>
      </c>
      <c r="R40" s="5">
        <v>173127</v>
      </c>
      <c r="S40" s="4">
        <v>99360</v>
      </c>
      <c r="T40" s="11">
        <f t="shared" si="6"/>
        <v>40608</v>
      </c>
      <c r="U40" s="6">
        <v>139968</v>
      </c>
      <c r="V40" s="12">
        <f t="shared" si="7"/>
        <v>0.80847008265608489</v>
      </c>
      <c r="W40" s="5">
        <v>173204</v>
      </c>
      <c r="X40" s="4">
        <v>87290</v>
      </c>
      <c r="Y40" s="11">
        <f t="shared" si="8"/>
        <v>53703</v>
      </c>
      <c r="Z40" s="6">
        <v>140993</v>
      </c>
      <c r="AA40" s="12">
        <f t="shared" si="9"/>
        <v>0.81402854437541861</v>
      </c>
      <c r="AB40" s="5">
        <v>273181</v>
      </c>
      <c r="AC40" s="4">
        <v>103521</v>
      </c>
      <c r="AD40" s="11">
        <f t="shared" si="10"/>
        <v>145554</v>
      </c>
      <c r="AE40" s="6">
        <v>249075</v>
      </c>
      <c r="AF40" s="12">
        <f t="shared" si="11"/>
        <v>0.91175813837711994</v>
      </c>
      <c r="AG40" s="5">
        <v>172895</v>
      </c>
      <c r="AH40" s="4">
        <v>31176</v>
      </c>
      <c r="AI40" s="11">
        <f t="shared" si="12"/>
        <v>112324</v>
      </c>
      <c r="AJ40" s="6">
        <v>143500</v>
      </c>
      <c r="AK40" s="12">
        <f t="shared" si="13"/>
        <v>0.82998351600682496</v>
      </c>
      <c r="AL40" s="5">
        <v>173328</v>
      </c>
      <c r="AM40" s="4">
        <v>36946</v>
      </c>
      <c r="AN40" s="11">
        <f t="shared" si="14"/>
        <v>107539</v>
      </c>
      <c r="AO40" s="6">
        <v>144485</v>
      </c>
      <c r="AP40" s="12">
        <f t="shared" si="15"/>
        <v>0.83359295670636024</v>
      </c>
      <c r="AQ40" s="5">
        <v>281909</v>
      </c>
      <c r="AR40" s="4">
        <v>49387</v>
      </c>
      <c r="AS40" s="11">
        <f t="shared" si="16"/>
        <v>206384</v>
      </c>
      <c r="AT40" s="6">
        <v>255771</v>
      </c>
      <c r="AU40" s="12">
        <f t="shared" si="17"/>
        <v>0.90728213714354633</v>
      </c>
      <c r="AV40" s="5">
        <v>172382</v>
      </c>
      <c r="AW40" s="4">
        <v>43209</v>
      </c>
      <c r="AX40" s="11">
        <f t="shared" si="18"/>
        <v>103193</v>
      </c>
      <c r="AY40" s="6">
        <v>146402</v>
      </c>
      <c r="AZ40" s="12">
        <f t="shared" si="19"/>
        <v>0.84928820874569266</v>
      </c>
      <c r="BA40" s="5">
        <v>172548</v>
      </c>
      <c r="BB40" s="4">
        <v>41236</v>
      </c>
      <c r="BC40" s="11">
        <f t="shared" si="20"/>
        <v>105624</v>
      </c>
      <c r="BD40" s="6">
        <v>146860</v>
      </c>
      <c r="BE40" s="12">
        <f t="shared" si="21"/>
        <v>0.85112548392331411</v>
      </c>
      <c r="BF40" s="5">
        <v>291194</v>
      </c>
      <c r="BG40" s="4">
        <v>51962</v>
      </c>
      <c r="BH40" s="11">
        <f t="shared" si="22"/>
        <v>208603</v>
      </c>
      <c r="BI40" s="6">
        <v>260565</v>
      </c>
      <c r="BJ40" s="12">
        <f t="shared" si="23"/>
        <v>0.89481582724918785</v>
      </c>
    </row>
    <row r="41" spans="1:62" x14ac:dyDescent="0.3">
      <c r="A41" s="20">
        <v>33</v>
      </c>
      <c r="B41" s="2" t="s">
        <v>39</v>
      </c>
      <c r="C41" s="4">
        <v>613309</v>
      </c>
      <c r="D41" s="4">
        <v>374752</v>
      </c>
      <c r="E41" s="11">
        <f t="shared" si="0"/>
        <v>77347</v>
      </c>
      <c r="F41" s="6">
        <v>452099</v>
      </c>
      <c r="G41" s="12">
        <f t="shared" si="1"/>
        <v>0.73714718029574</v>
      </c>
      <c r="H41" s="5">
        <v>630477</v>
      </c>
      <c r="I41" s="4">
        <v>376069</v>
      </c>
      <c r="J41" s="11">
        <f t="shared" si="2"/>
        <v>82493</v>
      </c>
      <c r="K41" s="6">
        <v>458562</v>
      </c>
      <c r="L41" s="12">
        <f t="shared" si="3"/>
        <v>0.72732550116816319</v>
      </c>
      <c r="M41" s="5">
        <v>852643</v>
      </c>
      <c r="N41" s="4">
        <v>519518</v>
      </c>
      <c r="O41" s="11">
        <f t="shared" si="4"/>
        <v>165727</v>
      </c>
      <c r="P41" s="6">
        <v>685245</v>
      </c>
      <c r="Q41" s="12">
        <f t="shared" si="5"/>
        <v>0.80367164217615106</v>
      </c>
      <c r="R41" s="5">
        <v>651946</v>
      </c>
      <c r="S41" s="4">
        <v>364122</v>
      </c>
      <c r="T41" s="11">
        <f t="shared" si="6"/>
        <v>104744</v>
      </c>
      <c r="U41" s="6">
        <v>468866</v>
      </c>
      <c r="V41" s="12">
        <f t="shared" si="7"/>
        <v>0.71917919582296697</v>
      </c>
      <c r="W41" s="5">
        <v>654087</v>
      </c>
      <c r="X41" s="4">
        <v>343627</v>
      </c>
      <c r="Y41" s="11">
        <f t="shared" si="8"/>
        <v>129286</v>
      </c>
      <c r="Z41" s="6">
        <v>472913</v>
      </c>
      <c r="AA41" s="12">
        <f t="shared" si="9"/>
        <v>0.72301238214488284</v>
      </c>
      <c r="AB41" s="5">
        <v>882248</v>
      </c>
      <c r="AC41" s="4">
        <v>411848</v>
      </c>
      <c r="AD41" s="11">
        <f t="shared" si="10"/>
        <v>296916</v>
      </c>
      <c r="AE41" s="6">
        <v>708764</v>
      </c>
      <c r="AF41" s="12">
        <f t="shared" si="11"/>
        <v>0.80336141311740006</v>
      </c>
      <c r="AG41" s="5">
        <v>638043</v>
      </c>
      <c r="AH41" s="4">
        <v>121527</v>
      </c>
      <c r="AI41" s="11">
        <f t="shared" si="12"/>
        <v>359901</v>
      </c>
      <c r="AJ41" s="6">
        <v>481428</v>
      </c>
      <c r="AK41" s="12">
        <f t="shared" si="13"/>
        <v>0.75453848721794614</v>
      </c>
      <c r="AL41" s="5">
        <v>632207</v>
      </c>
      <c r="AM41" s="4">
        <v>163105</v>
      </c>
      <c r="AN41" s="11">
        <f t="shared" si="14"/>
        <v>319954</v>
      </c>
      <c r="AO41" s="6">
        <v>483059</v>
      </c>
      <c r="AP41" s="12">
        <f t="shared" si="15"/>
        <v>0.76408359920089464</v>
      </c>
      <c r="AQ41" s="5">
        <v>865402</v>
      </c>
      <c r="AR41" s="4">
        <v>207373</v>
      </c>
      <c r="AS41" s="11">
        <f t="shared" si="16"/>
        <v>516890</v>
      </c>
      <c r="AT41" s="6">
        <v>724263</v>
      </c>
      <c r="AU41" s="12">
        <f t="shared" si="17"/>
        <v>0.83690932075497859</v>
      </c>
      <c r="AV41" s="5">
        <v>609881</v>
      </c>
      <c r="AW41" s="4">
        <v>168195</v>
      </c>
      <c r="AX41" s="11">
        <f t="shared" si="18"/>
        <v>321806</v>
      </c>
      <c r="AY41" s="6">
        <v>490001</v>
      </c>
      <c r="AZ41" s="12">
        <f t="shared" si="19"/>
        <v>0.80343706395182013</v>
      </c>
      <c r="BA41" s="5">
        <v>594974</v>
      </c>
      <c r="BB41" s="4">
        <v>156009</v>
      </c>
      <c r="BC41" s="11">
        <f t="shared" si="20"/>
        <v>336364</v>
      </c>
      <c r="BD41" s="6">
        <v>492373</v>
      </c>
      <c r="BE41" s="12">
        <f t="shared" si="21"/>
        <v>0.82755380907400999</v>
      </c>
      <c r="BF41" s="5">
        <v>867754</v>
      </c>
      <c r="BG41" s="4">
        <v>181112</v>
      </c>
      <c r="BH41" s="11">
        <f t="shared" si="22"/>
        <v>556618</v>
      </c>
      <c r="BI41" s="6">
        <v>737730</v>
      </c>
      <c r="BJ41" s="12">
        <f t="shared" si="23"/>
        <v>0.85016029888655076</v>
      </c>
    </row>
    <row r="42" spans="1:62" x14ac:dyDescent="0.3">
      <c r="A42" s="20">
        <v>34</v>
      </c>
      <c r="B42" s="2" t="s">
        <v>40</v>
      </c>
      <c r="C42" s="4">
        <v>13982</v>
      </c>
      <c r="D42" s="4">
        <v>8169</v>
      </c>
      <c r="E42" s="11">
        <f t="shared" si="0"/>
        <v>2183</v>
      </c>
      <c r="F42" s="6">
        <v>10352</v>
      </c>
      <c r="G42" s="12">
        <f t="shared" si="1"/>
        <v>0.74038048920040056</v>
      </c>
      <c r="H42" s="5">
        <v>14404</v>
      </c>
      <c r="I42" s="4">
        <v>8154</v>
      </c>
      <c r="J42" s="11">
        <f t="shared" si="2"/>
        <v>2343</v>
      </c>
      <c r="K42" s="6">
        <v>10497</v>
      </c>
      <c r="L42" s="12">
        <f t="shared" si="3"/>
        <v>0.72875590113857258</v>
      </c>
      <c r="M42" s="5">
        <v>19723</v>
      </c>
      <c r="N42" s="4">
        <v>11471</v>
      </c>
      <c r="O42" s="11">
        <f t="shared" si="4"/>
        <v>4466</v>
      </c>
      <c r="P42" s="6">
        <v>15937</v>
      </c>
      <c r="Q42" s="12">
        <f t="shared" si="5"/>
        <v>0.80804137301627543</v>
      </c>
      <c r="R42" s="5">
        <v>14633</v>
      </c>
      <c r="S42" s="4">
        <v>7776</v>
      </c>
      <c r="T42" s="11">
        <f t="shared" si="6"/>
        <v>2930</v>
      </c>
      <c r="U42" s="6">
        <v>10706</v>
      </c>
      <c r="V42" s="12">
        <f t="shared" si="7"/>
        <v>0.7316339779949429</v>
      </c>
      <c r="W42" s="5">
        <v>14669</v>
      </c>
      <c r="X42" s="4">
        <v>7222</v>
      </c>
      <c r="Y42" s="11">
        <f t="shared" si="8"/>
        <v>3526</v>
      </c>
      <c r="Z42" s="6">
        <v>10748</v>
      </c>
      <c r="AA42" s="12">
        <f t="shared" si="9"/>
        <v>0.73270161565205538</v>
      </c>
      <c r="AB42" s="5">
        <v>20242</v>
      </c>
      <c r="AC42" s="4">
        <v>8912</v>
      </c>
      <c r="AD42" s="11">
        <f t="shared" si="10"/>
        <v>7507</v>
      </c>
      <c r="AE42" s="6">
        <v>16419</v>
      </c>
      <c r="AF42" s="12">
        <f t="shared" si="11"/>
        <v>0.81113526331390173</v>
      </c>
      <c r="AG42" s="5">
        <v>14593</v>
      </c>
      <c r="AH42" s="4">
        <v>3066</v>
      </c>
      <c r="AI42" s="11">
        <f t="shared" si="12"/>
        <v>7888</v>
      </c>
      <c r="AJ42" s="6">
        <v>10954</v>
      </c>
      <c r="AK42" s="12">
        <f t="shared" si="13"/>
        <v>0.75063386555197698</v>
      </c>
      <c r="AL42" s="5">
        <v>14469</v>
      </c>
      <c r="AM42" s="4">
        <v>3653</v>
      </c>
      <c r="AN42" s="11">
        <f t="shared" si="14"/>
        <v>7276</v>
      </c>
      <c r="AO42" s="6">
        <v>10929</v>
      </c>
      <c r="AP42" s="12">
        <f t="shared" si="15"/>
        <v>0.75533900062201953</v>
      </c>
      <c r="AQ42" s="5">
        <v>20448</v>
      </c>
      <c r="AR42" s="4">
        <v>4390</v>
      </c>
      <c r="AS42" s="11">
        <f t="shared" si="16"/>
        <v>12259</v>
      </c>
      <c r="AT42" s="6">
        <v>16649</v>
      </c>
      <c r="AU42" s="12">
        <f t="shared" si="17"/>
        <v>0.81421165884194058</v>
      </c>
      <c r="AV42" s="5">
        <v>14203</v>
      </c>
      <c r="AW42" s="4">
        <v>3593</v>
      </c>
      <c r="AX42" s="11">
        <f t="shared" si="18"/>
        <v>7377</v>
      </c>
      <c r="AY42" s="6">
        <v>10970</v>
      </c>
      <c r="AZ42" s="12">
        <f t="shared" si="19"/>
        <v>0.77237203407730759</v>
      </c>
      <c r="BA42" s="5">
        <v>14123</v>
      </c>
      <c r="BB42" s="4">
        <v>3678</v>
      </c>
      <c r="BC42" s="11">
        <f t="shared" si="20"/>
        <v>7322</v>
      </c>
      <c r="BD42" s="6">
        <v>11000</v>
      </c>
      <c r="BE42" s="12">
        <f t="shared" si="21"/>
        <v>0.77887134461516672</v>
      </c>
      <c r="BF42" s="5">
        <v>20839</v>
      </c>
      <c r="BG42" s="4">
        <v>4212</v>
      </c>
      <c r="BH42" s="11">
        <f t="shared" si="22"/>
        <v>12532</v>
      </c>
      <c r="BI42" s="6">
        <v>16744</v>
      </c>
      <c r="BJ42" s="12">
        <f t="shared" si="23"/>
        <v>0.80349344978165937</v>
      </c>
    </row>
    <row r="43" spans="1:62" x14ac:dyDescent="0.3">
      <c r="A43" s="20">
        <v>35</v>
      </c>
      <c r="B43" s="2" t="s">
        <v>41</v>
      </c>
      <c r="C43" s="4">
        <v>3696</v>
      </c>
      <c r="D43" s="4">
        <v>950</v>
      </c>
      <c r="E43" s="11">
        <f t="shared" si="0"/>
        <v>854</v>
      </c>
      <c r="F43" s="6">
        <v>1804</v>
      </c>
      <c r="G43" s="12">
        <f t="shared" si="1"/>
        <v>0.48809523809523808</v>
      </c>
      <c r="H43" s="5">
        <v>3764</v>
      </c>
      <c r="I43" s="4">
        <v>930</v>
      </c>
      <c r="J43" s="11">
        <f t="shared" si="2"/>
        <v>903</v>
      </c>
      <c r="K43" s="6">
        <v>1833</v>
      </c>
      <c r="L43" s="12">
        <f t="shared" si="3"/>
        <v>0.48698193411264612</v>
      </c>
      <c r="M43" s="5">
        <v>4559</v>
      </c>
      <c r="N43" s="4">
        <v>1366</v>
      </c>
      <c r="O43" s="11">
        <f t="shared" si="4"/>
        <v>1798</v>
      </c>
      <c r="P43" s="6">
        <v>3164</v>
      </c>
      <c r="Q43" s="12">
        <f t="shared" si="5"/>
        <v>0.69401184470278565</v>
      </c>
      <c r="R43" s="5">
        <v>3703</v>
      </c>
      <c r="S43" s="4">
        <v>815</v>
      </c>
      <c r="T43" s="11">
        <f t="shared" si="6"/>
        <v>1038</v>
      </c>
      <c r="U43" s="6">
        <v>1853</v>
      </c>
      <c r="V43" s="12">
        <f t="shared" si="7"/>
        <v>0.50040507696462333</v>
      </c>
      <c r="W43" s="5">
        <v>3598</v>
      </c>
      <c r="X43" s="4">
        <v>720</v>
      </c>
      <c r="Y43" s="11">
        <f t="shared" si="8"/>
        <v>1132</v>
      </c>
      <c r="Z43" s="6">
        <v>1852</v>
      </c>
      <c r="AA43" s="12">
        <f t="shared" si="9"/>
        <v>0.51473040578098939</v>
      </c>
      <c r="AB43" s="5">
        <v>4663</v>
      </c>
      <c r="AC43" s="4">
        <v>847</v>
      </c>
      <c r="AD43" s="11">
        <f t="shared" si="10"/>
        <v>2376</v>
      </c>
      <c r="AE43" s="6">
        <v>3223</v>
      </c>
      <c r="AF43" s="12">
        <f t="shared" si="11"/>
        <v>0.69118593180355992</v>
      </c>
      <c r="AG43" s="5">
        <v>3564</v>
      </c>
      <c r="AH43" s="4">
        <v>229</v>
      </c>
      <c r="AI43" s="11">
        <f t="shared" si="12"/>
        <v>1634</v>
      </c>
      <c r="AJ43" s="6">
        <v>1863</v>
      </c>
      <c r="AK43" s="12">
        <f t="shared" si="13"/>
        <v>0.52272727272727271</v>
      </c>
      <c r="AL43" s="5">
        <v>3500</v>
      </c>
      <c r="AM43" s="4">
        <v>284</v>
      </c>
      <c r="AN43" s="11">
        <f t="shared" si="14"/>
        <v>1592</v>
      </c>
      <c r="AO43" s="6">
        <v>1876</v>
      </c>
      <c r="AP43" s="12">
        <f t="shared" si="15"/>
        <v>0.53600000000000003</v>
      </c>
      <c r="AQ43" s="5">
        <v>4471</v>
      </c>
      <c r="AR43" s="4">
        <v>397</v>
      </c>
      <c r="AS43" s="11">
        <f t="shared" si="16"/>
        <v>2854</v>
      </c>
      <c r="AT43" s="6">
        <v>3251</v>
      </c>
      <c r="AU43" s="12">
        <f t="shared" si="17"/>
        <v>0.72713039588458961</v>
      </c>
      <c r="AV43" s="5">
        <v>3008</v>
      </c>
      <c r="AW43" s="4">
        <v>323</v>
      </c>
      <c r="AX43" s="11">
        <f t="shared" si="18"/>
        <v>1575</v>
      </c>
      <c r="AY43" s="6">
        <v>1898</v>
      </c>
      <c r="AZ43" s="12">
        <f t="shared" si="19"/>
        <v>0.63098404255319152</v>
      </c>
      <c r="BA43" s="5">
        <v>2630</v>
      </c>
      <c r="BB43" s="4">
        <v>328</v>
      </c>
      <c r="BC43" s="11">
        <f t="shared" si="20"/>
        <v>1549</v>
      </c>
      <c r="BD43" s="6">
        <v>1877</v>
      </c>
      <c r="BE43" s="12">
        <f t="shared" si="21"/>
        <v>0.71368821292775664</v>
      </c>
      <c r="BF43" s="5">
        <v>3923</v>
      </c>
      <c r="BG43" s="4">
        <v>435</v>
      </c>
      <c r="BH43" s="11">
        <f t="shared" si="22"/>
        <v>2756</v>
      </c>
      <c r="BI43" s="6">
        <v>3191</v>
      </c>
      <c r="BJ43" s="12">
        <f t="shared" si="23"/>
        <v>0.81340810604129488</v>
      </c>
    </row>
    <row r="44" spans="1:62" x14ac:dyDescent="0.3">
      <c r="A44" s="20">
        <v>36</v>
      </c>
      <c r="B44" s="2" t="s">
        <v>42</v>
      </c>
      <c r="C44" s="4">
        <v>193853</v>
      </c>
      <c r="D44" s="4">
        <v>112512</v>
      </c>
      <c r="E44" s="11">
        <f t="shared" si="0"/>
        <v>32798</v>
      </c>
      <c r="F44" s="6">
        <v>145310</v>
      </c>
      <c r="G44" s="12">
        <f t="shared" si="1"/>
        <v>0.74958860579923958</v>
      </c>
      <c r="H44" s="5">
        <v>201424</v>
      </c>
      <c r="I44" s="4">
        <v>112168</v>
      </c>
      <c r="J44" s="11">
        <f t="shared" si="2"/>
        <v>35583</v>
      </c>
      <c r="K44" s="6">
        <v>147751</v>
      </c>
      <c r="L44" s="12">
        <f t="shared" si="3"/>
        <v>0.73353225037731351</v>
      </c>
      <c r="M44" s="5">
        <v>282140</v>
      </c>
      <c r="N44" s="4">
        <v>160831</v>
      </c>
      <c r="O44" s="11">
        <f t="shared" si="4"/>
        <v>72462</v>
      </c>
      <c r="P44" s="6">
        <v>233293</v>
      </c>
      <c r="Q44" s="12">
        <f t="shared" si="5"/>
        <v>0.82686963918621958</v>
      </c>
      <c r="R44" s="5">
        <v>209233</v>
      </c>
      <c r="S44" s="4">
        <v>105982</v>
      </c>
      <c r="T44" s="11">
        <f t="shared" si="6"/>
        <v>46256</v>
      </c>
      <c r="U44" s="6">
        <v>152238</v>
      </c>
      <c r="V44" s="12">
        <f t="shared" si="7"/>
        <v>0.72760033073176789</v>
      </c>
      <c r="W44" s="5">
        <v>210486</v>
      </c>
      <c r="X44" s="4">
        <v>97470</v>
      </c>
      <c r="Y44" s="11">
        <f t="shared" si="8"/>
        <v>56667</v>
      </c>
      <c r="Z44" s="6">
        <v>154137</v>
      </c>
      <c r="AA44" s="12">
        <f t="shared" si="9"/>
        <v>0.73229098372338308</v>
      </c>
      <c r="AB44" s="5">
        <v>298180</v>
      </c>
      <c r="AC44" s="4">
        <v>117145</v>
      </c>
      <c r="AD44" s="11">
        <f t="shared" si="10"/>
        <v>127297</v>
      </c>
      <c r="AE44" s="6">
        <v>244442</v>
      </c>
      <c r="AF44" s="12">
        <f t="shared" si="11"/>
        <v>0.81977999865852835</v>
      </c>
      <c r="AG44" s="5">
        <v>213000</v>
      </c>
      <c r="AH44" s="4">
        <v>36273</v>
      </c>
      <c r="AI44" s="11">
        <f t="shared" si="12"/>
        <v>121609</v>
      </c>
      <c r="AJ44" s="6">
        <v>157882</v>
      </c>
      <c r="AK44" s="12">
        <f t="shared" si="13"/>
        <v>0.74123004694835681</v>
      </c>
      <c r="AL44" s="5">
        <v>211412</v>
      </c>
      <c r="AM44" s="4">
        <v>43352</v>
      </c>
      <c r="AN44" s="11">
        <f t="shared" si="14"/>
        <v>115548</v>
      </c>
      <c r="AO44" s="6">
        <v>158900</v>
      </c>
      <c r="AP44" s="12">
        <f t="shared" si="15"/>
        <v>0.75161296425936086</v>
      </c>
      <c r="AQ44" s="5">
        <v>305678</v>
      </c>
      <c r="AR44" s="4">
        <v>65550</v>
      </c>
      <c r="AS44" s="11">
        <f t="shared" si="16"/>
        <v>186780</v>
      </c>
      <c r="AT44" s="6">
        <v>252330</v>
      </c>
      <c r="AU44" s="12">
        <f t="shared" si="17"/>
        <v>0.82547648178802535</v>
      </c>
      <c r="AV44" s="5">
        <v>207845</v>
      </c>
      <c r="AW44" s="4">
        <v>50463</v>
      </c>
      <c r="AX44" s="11">
        <f t="shared" si="18"/>
        <v>111103</v>
      </c>
      <c r="AY44" s="6">
        <v>161566</v>
      </c>
      <c r="AZ44" s="12">
        <f t="shared" si="19"/>
        <v>0.77733888234020543</v>
      </c>
      <c r="BA44" s="5">
        <v>209739</v>
      </c>
      <c r="BB44" s="4">
        <v>47462</v>
      </c>
      <c r="BC44" s="11">
        <f t="shared" si="20"/>
        <v>115060</v>
      </c>
      <c r="BD44" s="6">
        <v>162522</v>
      </c>
      <c r="BE44" s="12">
        <f t="shared" si="21"/>
        <v>0.7748773475605395</v>
      </c>
      <c r="BF44" s="5">
        <v>319463</v>
      </c>
      <c r="BG44" s="4">
        <v>50023</v>
      </c>
      <c r="BH44" s="11">
        <f t="shared" si="22"/>
        <v>207908</v>
      </c>
      <c r="BI44" s="6">
        <v>257931</v>
      </c>
      <c r="BJ44" s="12">
        <f t="shared" si="23"/>
        <v>0.80738927512732306</v>
      </c>
    </row>
    <row r="45" spans="1:62" x14ac:dyDescent="0.3">
      <c r="A45" s="20">
        <v>37</v>
      </c>
      <c r="B45" s="2" t="s">
        <v>43</v>
      </c>
      <c r="C45" s="4">
        <v>171611</v>
      </c>
      <c r="D45" s="4">
        <v>110358</v>
      </c>
      <c r="E45" s="11">
        <f t="shared" si="0"/>
        <v>22311</v>
      </c>
      <c r="F45" s="6">
        <v>132669</v>
      </c>
      <c r="G45" s="12">
        <f t="shared" si="1"/>
        <v>0.77307981423102246</v>
      </c>
      <c r="H45" s="5">
        <v>177364</v>
      </c>
      <c r="I45" s="4">
        <v>110756</v>
      </c>
      <c r="J45" s="11">
        <f t="shared" si="2"/>
        <v>23860</v>
      </c>
      <c r="K45" s="6">
        <v>134616</v>
      </c>
      <c r="L45" s="12">
        <f t="shared" si="3"/>
        <v>0.75898152950993436</v>
      </c>
      <c r="M45" s="5">
        <v>252576</v>
      </c>
      <c r="N45" s="4">
        <v>156139</v>
      </c>
      <c r="O45" s="11">
        <f t="shared" si="4"/>
        <v>53667</v>
      </c>
      <c r="P45" s="6">
        <v>209806</v>
      </c>
      <c r="Q45" s="12">
        <f t="shared" si="5"/>
        <v>0.83066482959584442</v>
      </c>
      <c r="R45" s="5">
        <v>182214</v>
      </c>
      <c r="S45" s="4">
        <v>105651</v>
      </c>
      <c r="T45" s="11">
        <f t="shared" si="6"/>
        <v>32049</v>
      </c>
      <c r="U45" s="6">
        <v>137700</v>
      </c>
      <c r="V45" s="12">
        <f t="shared" si="7"/>
        <v>0.75570483058381899</v>
      </c>
      <c r="W45" s="5">
        <v>179895</v>
      </c>
      <c r="X45" s="4">
        <v>95579</v>
      </c>
      <c r="Y45" s="11">
        <f t="shared" si="8"/>
        <v>43453</v>
      </c>
      <c r="Z45" s="6">
        <v>139032</v>
      </c>
      <c r="AA45" s="12">
        <f t="shared" si="9"/>
        <v>0.77285082965062957</v>
      </c>
      <c r="AB45" s="5">
        <v>256988</v>
      </c>
      <c r="AC45" s="4">
        <v>110066</v>
      </c>
      <c r="AD45" s="11">
        <f t="shared" si="10"/>
        <v>108359</v>
      </c>
      <c r="AE45" s="6">
        <v>218425</v>
      </c>
      <c r="AF45" s="12">
        <f t="shared" si="11"/>
        <v>0.84994240976232349</v>
      </c>
      <c r="AG45" s="5">
        <v>177277</v>
      </c>
      <c r="AH45" s="4">
        <v>37530</v>
      </c>
      <c r="AI45" s="11">
        <f t="shared" si="12"/>
        <v>104878</v>
      </c>
      <c r="AJ45" s="6">
        <v>142408</v>
      </c>
      <c r="AK45" s="12">
        <f t="shared" si="13"/>
        <v>0.80330781770900905</v>
      </c>
      <c r="AL45" s="5">
        <v>180013</v>
      </c>
      <c r="AM45" s="4">
        <v>45720</v>
      </c>
      <c r="AN45" s="11">
        <f t="shared" si="14"/>
        <v>98531</v>
      </c>
      <c r="AO45" s="6">
        <v>144251</v>
      </c>
      <c r="AP45" s="12">
        <f t="shared" si="15"/>
        <v>0.8013365701366012</v>
      </c>
      <c r="AQ45" s="5">
        <v>268317</v>
      </c>
      <c r="AR45" s="4">
        <v>66023</v>
      </c>
      <c r="AS45" s="11">
        <f t="shared" si="16"/>
        <v>162524</v>
      </c>
      <c r="AT45" s="6">
        <v>228547</v>
      </c>
      <c r="AU45" s="12">
        <f t="shared" si="17"/>
        <v>0.85177979777651058</v>
      </c>
      <c r="AV45" s="5">
        <v>180726</v>
      </c>
      <c r="AW45" s="4">
        <v>50888</v>
      </c>
      <c r="AX45" s="11">
        <f t="shared" si="18"/>
        <v>96308</v>
      </c>
      <c r="AY45" s="6">
        <v>147196</v>
      </c>
      <c r="AZ45" s="12">
        <f t="shared" si="19"/>
        <v>0.81447052444031298</v>
      </c>
      <c r="BA45" s="5">
        <v>181857</v>
      </c>
      <c r="BB45" s="4">
        <v>46429</v>
      </c>
      <c r="BC45" s="11">
        <f t="shared" si="20"/>
        <v>101507</v>
      </c>
      <c r="BD45" s="6">
        <v>147936</v>
      </c>
      <c r="BE45" s="12">
        <f t="shared" si="21"/>
        <v>0.81347432323198998</v>
      </c>
      <c r="BF45" s="5">
        <v>279089</v>
      </c>
      <c r="BG45" s="4">
        <v>43278</v>
      </c>
      <c r="BH45" s="11">
        <f t="shared" si="22"/>
        <v>189805</v>
      </c>
      <c r="BI45" s="6">
        <v>233083</v>
      </c>
      <c r="BJ45" s="12">
        <f t="shared" si="23"/>
        <v>0.83515652712933863</v>
      </c>
    </row>
    <row r="46" spans="1:62" x14ac:dyDescent="0.3">
      <c r="A46" s="20">
        <v>38</v>
      </c>
      <c r="B46" s="2" t="s">
        <v>44</v>
      </c>
      <c r="C46" s="10" t="s">
        <v>48</v>
      </c>
      <c r="D46" s="10" t="s">
        <v>48</v>
      </c>
      <c r="E46" s="10" t="s">
        <v>48</v>
      </c>
      <c r="F46" s="10">
        <v>0</v>
      </c>
      <c r="G46" s="10" t="s">
        <v>48</v>
      </c>
      <c r="H46" s="10" t="s">
        <v>48</v>
      </c>
      <c r="I46" s="10" t="s">
        <v>48</v>
      </c>
      <c r="J46" s="10" t="s">
        <v>48</v>
      </c>
      <c r="K46" s="10">
        <v>0</v>
      </c>
      <c r="L46" s="10" t="s">
        <v>48</v>
      </c>
      <c r="M46" s="10" t="s">
        <v>48</v>
      </c>
      <c r="N46" s="10" t="s">
        <v>48</v>
      </c>
      <c r="O46" s="10" t="s">
        <v>48</v>
      </c>
      <c r="P46" s="10">
        <v>0</v>
      </c>
      <c r="Q46" s="10" t="s">
        <v>48</v>
      </c>
      <c r="R46" s="10" t="s">
        <v>48</v>
      </c>
      <c r="S46" s="10" t="s">
        <v>48</v>
      </c>
      <c r="T46" s="10" t="s">
        <v>48</v>
      </c>
      <c r="U46" s="10">
        <v>0</v>
      </c>
      <c r="V46" s="10" t="s">
        <v>48</v>
      </c>
      <c r="W46" s="10" t="s">
        <v>48</v>
      </c>
      <c r="X46" s="10" t="s">
        <v>48</v>
      </c>
      <c r="Y46" s="10" t="s">
        <v>48</v>
      </c>
      <c r="Z46" s="6">
        <v>0</v>
      </c>
      <c r="AA46" s="10" t="s">
        <v>48</v>
      </c>
      <c r="AB46" s="10" t="s">
        <v>48</v>
      </c>
      <c r="AC46" s="10" t="s">
        <v>48</v>
      </c>
      <c r="AD46" s="10" t="s">
        <v>48</v>
      </c>
      <c r="AE46" s="6">
        <v>0</v>
      </c>
      <c r="AF46" s="10" t="s">
        <v>48</v>
      </c>
      <c r="AG46" s="10" t="s">
        <v>48</v>
      </c>
      <c r="AH46" s="10" t="s">
        <v>48</v>
      </c>
      <c r="AI46" s="10" t="s">
        <v>48</v>
      </c>
      <c r="AJ46" s="6">
        <v>0</v>
      </c>
      <c r="AK46" s="10" t="s">
        <v>48</v>
      </c>
      <c r="AL46" s="10" t="s">
        <v>48</v>
      </c>
      <c r="AM46" s="10" t="s">
        <v>48</v>
      </c>
      <c r="AN46" s="10" t="s">
        <v>48</v>
      </c>
      <c r="AO46" s="6">
        <v>0</v>
      </c>
      <c r="AP46" s="10" t="s">
        <v>48</v>
      </c>
      <c r="AQ46" s="10" t="s">
        <v>48</v>
      </c>
      <c r="AR46" s="10" t="s">
        <v>48</v>
      </c>
      <c r="AS46" s="10" t="s">
        <v>48</v>
      </c>
      <c r="AT46" s="6">
        <v>0</v>
      </c>
      <c r="AU46" s="10" t="s">
        <v>48</v>
      </c>
      <c r="AV46" s="10" t="s">
        <v>48</v>
      </c>
      <c r="AW46" s="10" t="s">
        <v>48</v>
      </c>
      <c r="AX46" s="10" t="s">
        <v>48</v>
      </c>
      <c r="AY46" s="6">
        <v>0</v>
      </c>
      <c r="AZ46" s="10" t="s">
        <v>48</v>
      </c>
      <c r="BA46" s="10" t="s">
        <v>48</v>
      </c>
      <c r="BB46" s="10" t="s">
        <v>48</v>
      </c>
      <c r="BC46" s="10" t="s">
        <v>48</v>
      </c>
      <c r="BD46" s="6">
        <v>0</v>
      </c>
      <c r="BE46" s="10" t="s">
        <v>48</v>
      </c>
      <c r="BF46" s="10" t="s">
        <v>48</v>
      </c>
      <c r="BG46" s="10" t="s">
        <v>48</v>
      </c>
      <c r="BH46" s="10" t="s">
        <v>48</v>
      </c>
      <c r="BI46" s="6">
        <v>0</v>
      </c>
      <c r="BJ46" s="10" t="s">
        <v>48</v>
      </c>
    </row>
    <row r="47" spans="1:62" x14ac:dyDescent="0.3">
      <c r="A47" s="20">
        <v>97</v>
      </c>
      <c r="B47" s="2" t="s">
        <v>45</v>
      </c>
      <c r="C47" s="4">
        <v>48</v>
      </c>
      <c r="D47" s="4">
        <v>36</v>
      </c>
      <c r="E47" s="11">
        <f t="shared" si="0"/>
        <v>2</v>
      </c>
      <c r="F47" s="6">
        <v>38</v>
      </c>
      <c r="G47" s="12">
        <f t="shared" si="1"/>
        <v>0.79166666666666663</v>
      </c>
      <c r="H47" s="5">
        <v>50</v>
      </c>
      <c r="I47" s="4">
        <v>37</v>
      </c>
      <c r="J47" s="11">
        <f t="shared" si="2"/>
        <v>2</v>
      </c>
      <c r="K47" s="6">
        <v>39</v>
      </c>
      <c r="L47" s="12">
        <f t="shared" si="3"/>
        <v>0.78</v>
      </c>
      <c r="M47" s="5">
        <v>60</v>
      </c>
      <c r="N47" s="4">
        <v>45</v>
      </c>
      <c r="O47" s="11">
        <f t="shared" si="4"/>
        <v>3</v>
      </c>
      <c r="P47" s="6">
        <v>48</v>
      </c>
      <c r="Q47" s="12">
        <f t="shared" si="5"/>
        <v>0.8</v>
      </c>
      <c r="R47" s="5">
        <v>56</v>
      </c>
      <c r="S47" s="4">
        <v>43</v>
      </c>
      <c r="T47" s="11">
        <f t="shared" si="6"/>
        <v>2</v>
      </c>
      <c r="U47" s="6">
        <v>45</v>
      </c>
      <c r="V47" s="12">
        <f t="shared" si="7"/>
        <v>0.8035714285714286</v>
      </c>
      <c r="W47" s="5">
        <v>56</v>
      </c>
      <c r="X47" s="4">
        <v>42</v>
      </c>
      <c r="Y47" s="11">
        <f t="shared" si="8"/>
        <v>3</v>
      </c>
      <c r="Z47" s="6">
        <v>45</v>
      </c>
      <c r="AA47" s="12">
        <f t="shared" si="9"/>
        <v>0.8035714285714286</v>
      </c>
      <c r="AB47" s="5">
        <v>62</v>
      </c>
      <c r="AC47" s="4">
        <v>43</v>
      </c>
      <c r="AD47" s="11">
        <f t="shared" si="10"/>
        <v>5</v>
      </c>
      <c r="AE47" s="6">
        <v>48</v>
      </c>
      <c r="AF47" s="12">
        <f t="shared" si="11"/>
        <v>0.77419354838709675</v>
      </c>
      <c r="AG47" s="5">
        <v>56</v>
      </c>
      <c r="AH47" s="4">
        <v>34</v>
      </c>
      <c r="AI47" s="11">
        <f t="shared" si="12"/>
        <v>10</v>
      </c>
      <c r="AJ47" s="6">
        <v>44</v>
      </c>
      <c r="AK47" s="12">
        <f t="shared" si="13"/>
        <v>0.7857142857142857</v>
      </c>
      <c r="AL47" s="5">
        <v>56</v>
      </c>
      <c r="AM47" s="4">
        <v>37</v>
      </c>
      <c r="AN47" s="11">
        <f t="shared" si="14"/>
        <v>7</v>
      </c>
      <c r="AO47" s="6">
        <v>44</v>
      </c>
      <c r="AP47" s="12">
        <f t="shared" si="15"/>
        <v>0.7857142857142857</v>
      </c>
      <c r="AQ47" s="5">
        <v>62</v>
      </c>
      <c r="AR47" s="4">
        <v>33</v>
      </c>
      <c r="AS47" s="11">
        <f t="shared" si="16"/>
        <v>14</v>
      </c>
      <c r="AT47" s="6">
        <v>47</v>
      </c>
      <c r="AU47" s="12">
        <f t="shared" si="17"/>
        <v>0.75806451612903225</v>
      </c>
      <c r="AV47" s="5">
        <v>58</v>
      </c>
      <c r="AW47" s="4">
        <v>39</v>
      </c>
      <c r="AX47" s="11">
        <f t="shared" si="18"/>
        <v>6</v>
      </c>
      <c r="AY47" s="6">
        <v>45</v>
      </c>
      <c r="AZ47" s="12">
        <f t="shared" si="19"/>
        <v>0.77586206896551724</v>
      </c>
      <c r="BA47" s="5">
        <v>60</v>
      </c>
      <c r="BB47" s="4">
        <v>45</v>
      </c>
      <c r="BC47" s="11">
        <f t="shared" si="20"/>
        <v>2</v>
      </c>
      <c r="BD47" s="6">
        <v>47</v>
      </c>
      <c r="BE47" s="12">
        <f t="shared" si="21"/>
        <v>0.78333333333333333</v>
      </c>
      <c r="BF47" s="5">
        <v>66</v>
      </c>
      <c r="BG47" s="4">
        <v>38</v>
      </c>
      <c r="BH47" s="11">
        <f t="shared" si="22"/>
        <v>12</v>
      </c>
      <c r="BI47" s="6">
        <v>50</v>
      </c>
      <c r="BJ47" s="12">
        <f t="shared" si="23"/>
        <v>0.75757575757575757</v>
      </c>
    </row>
    <row r="48" spans="1:62" ht="15.6" x14ac:dyDescent="0.3">
      <c r="A48" s="28" t="s">
        <v>46</v>
      </c>
      <c r="B48" s="28"/>
      <c r="C48" s="15">
        <f>SUM(C10:C47)</f>
        <v>4496316</v>
      </c>
      <c r="D48" s="16">
        <f>SUM(D10:D47)</f>
        <v>2504703</v>
      </c>
      <c r="E48" s="13">
        <f t="shared" si="0"/>
        <v>546965</v>
      </c>
      <c r="F48" s="15">
        <f>SUM(F10:F47)</f>
        <v>3051668</v>
      </c>
      <c r="G48" s="14">
        <f t="shared" si="1"/>
        <v>0.67870407684869127</v>
      </c>
      <c r="H48" s="15">
        <f>SUM(H10:H47)</f>
        <v>4682345</v>
      </c>
      <c r="I48" s="16">
        <f>SUM(I10:I47)</f>
        <v>2500317</v>
      </c>
      <c r="J48" s="13">
        <f t="shared" si="2"/>
        <v>589363</v>
      </c>
      <c r="K48" s="15">
        <f>SUM(K10:K47)</f>
        <v>3089680</v>
      </c>
      <c r="L48" s="14">
        <f t="shared" si="3"/>
        <v>0.65985740051192299</v>
      </c>
      <c r="M48" s="15">
        <f>SUM(M10:M47)</f>
        <v>9316710</v>
      </c>
      <c r="N48" s="16">
        <f>SUM(N10:N47)</f>
        <v>5852651</v>
      </c>
      <c r="O48" s="13">
        <f t="shared" si="4"/>
        <v>2192420</v>
      </c>
      <c r="P48" s="15">
        <f>SUM(P10:P47)</f>
        <v>8045071</v>
      </c>
      <c r="Q48" s="14">
        <f t="shared" si="5"/>
        <v>0.86350986560706511</v>
      </c>
      <c r="R48" s="15">
        <f>SUM(R10:R47)</f>
        <v>4775626</v>
      </c>
      <c r="S48" s="16">
        <f>SUM(S10:S47)</f>
        <v>2380640</v>
      </c>
      <c r="T48" s="13">
        <f t="shared" si="6"/>
        <v>772980</v>
      </c>
      <c r="U48" s="15">
        <f>SUM(U10:U47)</f>
        <v>3153620</v>
      </c>
      <c r="V48" s="14">
        <f t="shared" si="7"/>
        <v>0.66035740654733011</v>
      </c>
      <c r="W48" s="15">
        <f>SUM(W10:W47)</f>
        <v>4726891</v>
      </c>
      <c r="X48" s="16">
        <f>SUM(X10:X47)</f>
        <v>2199953</v>
      </c>
      <c r="Y48" s="13">
        <f t="shared" si="8"/>
        <v>978337</v>
      </c>
      <c r="Z48" s="15">
        <f>SUM(Z10:Z47)</f>
        <v>3178290</v>
      </c>
      <c r="AA48" s="14">
        <f t="shared" si="9"/>
        <v>0.672384872001491</v>
      </c>
      <c r="AB48" s="15">
        <f>SUM(AB10:AB47)</f>
        <v>9657239</v>
      </c>
      <c r="AC48" s="16">
        <f>SUM(AC10:AC47)</f>
        <v>4354180</v>
      </c>
      <c r="AD48" s="13">
        <f t="shared" si="10"/>
        <v>3988120</v>
      </c>
      <c r="AE48" s="15">
        <f>SUM(AE10:AE47)</f>
        <v>8342300</v>
      </c>
      <c r="AF48" s="14">
        <f t="shared" si="11"/>
        <v>0.86383903308181564</v>
      </c>
      <c r="AG48" s="15">
        <f>SUM(AG10:AG47)</f>
        <v>4609444</v>
      </c>
      <c r="AH48" s="16">
        <f>SUM(AH10:AH47)</f>
        <v>871342</v>
      </c>
      <c r="AI48" s="13">
        <f t="shared" si="12"/>
        <v>2361923</v>
      </c>
      <c r="AJ48" s="15">
        <f>SUM(AJ10:AJ47)</f>
        <v>3233265</v>
      </c>
      <c r="AK48" s="14">
        <f t="shared" si="13"/>
        <v>0.70144360144086793</v>
      </c>
      <c r="AL48" s="15">
        <f>SUM(AL10:AL47)</f>
        <v>4572118</v>
      </c>
      <c r="AM48" s="16">
        <f>SUM(AM10:AM47)</f>
        <v>1198310</v>
      </c>
      <c r="AN48" s="13">
        <f t="shared" si="14"/>
        <v>2046890</v>
      </c>
      <c r="AO48" s="15">
        <f>SUM(AO10:AO47)</f>
        <v>3245200</v>
      </c>
      <c r="AP48" s="14">
        <f t="shared" si="15"/>
        <v>0.70978045623494401</v>
      </c>
      <c r="AQ48" s="15">
        <f>SUM(AQ10:AQ47)</f>
        <v>9901997</v>
      </c>
      <c r="AR48" s="16">
        <f>SUM(AR10:AR47)</f>
        <v>1802933</v>
      </c>
      <c r="AS48" s="13">
        <f t="shared" si="16"/>
        <v>6760138</v>
      </c>
      <c r="AT48" s="15">
        <f>SUM(AT10:AT47)</f>
        <v>8563071</v>
      </c>
      <c r="AU48" s="14">
        <f t="shared" si="17"/>
        <v>0.86478222524203952</v>
      </c>
      <c r="AV48" s="15">
        <f>SUM(AV10:AV47)</f>
        <v>4422359</v>
      </c>
      <c r="AW48" s="16">
        <f>SUM(AW10:AW47)</f>
        <v>1277537</v>
      </c>
      <c r="AX48" s="13">
        <f t="shared" si="18"/>
        <v>2013303</v>
      </c>
      <c r="AY48" s="15">
        <f>SUM(AY10:AY47)</f>
        <v>3290840</v>
      </c>
      <c r="AZ48" s="14">
        <f t="shared" si="19"/>
        <v>0.74413678310603004</v>
      </c>
      <c r="BA48" s="15">
        <f>SUM(BA10:BA47)</f>
        <v>4361644</v>
      </c>
      <c r="BB48" s="16">
        <f>SUM(BB10:BB47)</f>
        <v>1229997</v>
      </c>
      <c r="BC48" s="13">
        <f t="shared" si="20"/>
        <v>2072332</v>
      </c>
      <c r="BD48" s="15">
        <f>SUM(BD10:BD47)</f>
        <v>3302329</v>
      </c>
      <c r="BE48" s="14">
        <f t="shared" si="21"/>
        <v>0.75712942184185594</v>
      </c>
      <c r="BF48" s="15">
        <f>SUM(BF10:BF47)</f>
        <v>10174978</v>
      </c>
      <c r="BG48" s="16">
        <f>SUM(BG10:BG47)</f>
        <v>1547470</v>
      </c>
      <c r="BH48" s="13">
        <f t="shared" si="22"/>
        <v>7183826</v>
      </c>
      <c r="BI48" s="15">
        <f>SUM(BI10:BI47)</f>
        <v>8731296</v>
      </c>
      <c r="BJ48" s="14">
        <f t="shared" si="23"/>
        <v>0.85811448437529791</v>
      </c>
    </row>
    <row r="49" spans="1:62" x14ac:dyDescent="0.3">
      <c r="G49"/>
      <c r="L49"/>
      <c r="Q49"/>
      <c r="V49"/>
      <c r="AA49"/>
      <c r="AF49"/>
      <c r="AK49"/>
      <c r="AP49"/>
      <c r="AU49"/>
      <c r="AZ49"/>
      <c r="BE49"/>
      <c r="BJ49"/>
    </row>
    <row r="50" spans="1:62" x14ac:dyDescent="0.3">
      <c r="G50"/>
      <c r="L50"/>
      <c r="Q50"/>
      <c r="V50"/>
      <c r="AA50"/>
      <c r="AF50"/>
      <c r="AK50"/>
      <c r="AP50"/>
      <c r="AU50"/>
      <c r="AZ50"/>
      <c r="BE50"/>
      <c r="BJ50"/>
    </row>
    <row r="51" spans="1:62" x14ac:dyDescent="0.3">
      <c r="G51"/>
      <c r="L51"/>
      <c r="Q51"/>
      <c r="V51"/>
      <c r="AA51"/>
      <c r="AF51"/>
      <c r="AK51"/>
      <c r="AP51"/>
      <c r="AU51"/>
      <c r="AZ51"/>
      <c r="BE51"/>
      <c r="BJ51"/>
    </row>
    <row r="52" spans="1:62" x14ac:dyDescent="0.3">
      <c r="G52"/>
      <c r="L52"/>
      <c r="Q52"/>
      <c r="V52"/>
      <c r="AA52"/>
      <c r="AF52"/>
      <c r="AK52"/>
      <c r="AP52"/>
      <c r="AU52"/>
      <c r="AZ52"/>
      <c r="BE52"/>
      <c r="BJ52"/>
    </row>
    <row r="53" spans="1:62" x14ac:dyDescent="0.3">
      <c r="G53"/>
      <c r="L53"/>
      <c r="Q53"/>
      <c r="V53"/>
      <c r="AA53"/>
      <c r="AF53"/>
      <c r="AK53"/>
      <c r="AP53"/>
      <c r="AU53"/>
      <c r="AZ53"/>
      <c r="BE53"/>
      <c r="BJ53"/>
    </row>
    <row r="54" spans="1:62" x14ac:dyDescent="0.3">
      <c r="G54"/>
      <c r="L54"/>
      <c r="Q54"/>
      <c r="V54"/>
      <c r="AA54"/>
      <c r="AF54"/>
      <c r="AK54"/>
      <c r="AP54"/>
      <c r="AU54"/>
      <c r="AZ54"/>
      <c r="BE54"/>
      <c r="BJ54"/>
    </row>
    <row r="55" spans="1:62" x14ac:dyDescent="0.3">
      <c r="G55"/>
      <c r="L55"/>
      <c r="Q55"/>
      <c r="V55"/>
      <c r="AA55"/>
      <c r="AF55"/>
      <c r="AK55"/>
      <c r="AP55"/>
      <c r="AU55"/>
      <c r="AZ55"/>
      <c r="BE55"/>
      <c r="BJ55"/>
    </row>
    <row r="56" spans="1:62" x14ac:dyDescent="0.3">
      <c r="G56"/>
      <c r="L56"/>
      <c r="Q56"/>
      <c r="V56"/>
      <c r="AA56"/>
      <c r="AF56"/>
      <c r="AK56"/>
      <c r="AP56"/>
      <c r="AU56"/>
      <c r="AZ56"/>
      <c r="BE56"/>
      <c r="BJ56"/>
    </row>
    <row r="57" spans="1:62" x14ac:dyDescent="0.3">
      <c r="A57" s="21" t="s">
        <v>47</v>
      </c>
      <c r="B57" s="21"/>
      <c r="C57" s="21"/>
      <c r="D57" s="21"/>
      <c r="E57" s="21"/>
    </row>
    <row r="60" spans="1:62" x14ac:dyDescent="0.3">
      <c r="C60" s="3"/>
      <c r="D60" s="3"/>
      <c r="E60" s="3"/>
      <c r="F60" s="3"/>
      <c r="G60" s="9"/>
      <c r="H60" s="3"/>
      <c r="I60" s="3"/>
      <c r="J60" s="3"/>
      <c r="K60" s="3"/>
      <c r="L60" s="9"/>
      <c r="M60" s="3"/>
      <c r="N60" s="3"/>
      <c r="O60" s="3"/>
      <c r="P60" s="3"/>
      <c r="Q60" s="9"/>
      <c r="R60" s="3"/>
      <c r="S60" s="3"/>
      <c r="T60" s="3"/>
      <c r="U60" s="3"/>
      <c r="V60" s="9"/>
      <c r="W60" s="3"/>
      <c r="X60" s="3"/>
      <c r="Y60" s="3"/>
      <c r="Z60" s="3"/>
      <c r="AA60" s="9"/>
      <c r="AB60" s="3"/>
    </row>
    <row r="101" ht="14.25" customHeight="1" x14ac:dyDescent="0.3"/>
  </sheetData>
  <mergeCells count="19">
    <mergeCell ref="A1:E1"/>
    <mergeCell ref="BF8:BJ8"/>
    <mergeCell ref="A48:B48"/>
    <mergeCell ref="AG8:AK8"/>
    <mergeCell ref="AL8:AP8"/>
    <mergeCell ref="W8:AA8"/>
    <mergeCell ref="AB8:AF8"/>
    <mergeCell ref="AQ8:AU8"/>
    <mergeCell ref="AV8:AZ8"/>
    <mergeCell ref="BA8:BE8"/>
    <mergeCell ref="H8:L8"/>
    <mergeCell ref="A57:E57"/>
    <mergeCell ref="M8:Q8"/>
    <mergeCell ref="R8:V8"/>
    <mergeCell ref="A3:B3"/>
    <mergeCell ref="A5:C5"/>
    <mergeCell ref="A8:A9"/>
    <mergeCell ref="B8:B9"/>
    <mergeCell ref="C8:G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GSTR-1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Budhiraja</dc:creator>
  <cp:lastModifiedBy>Krishan Pal Singh</cp:lastModifiedBy>
  <dcterms:created xsi:type="dcterms:W3CDTF">2021-04-12T06:13:03Z</dcterms:created>
  <dcterms:modified xsi:type="dcterms:W3CDTF">2026-09-09T11:41:01Z</dcterms:modified>
</cp:coreProperties>
</file>