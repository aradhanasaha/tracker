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GSTN\Krishnan Sir\Monthly Report\Aug-26\GST Statistics Downloads 31st Aug 26\Downloads\GSTR 3B\"/>
    </mc:Choice>
  </mc:AlternateContent>
  <xr:revisionPtr revIDLastSave="0" documentId="13_ncr:1_{E5B429FA-4B40-4C67-B66C-C3418DC13A6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STR-3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1" l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BI48" i="1"/>
  <c r="BG48" i="1"/>
  <c r="BF48" i="1"/>
  <c r="BJ47" i="1"/>
  <c r="BH47" i="1"/>
  <c r="BJ46" i="1"/>
  <c r="BH46" i="1"/>
  <c r="BJ45" i="1"/>
  <c r="BH45" i="1"/>
  <c r="BJ44" i="1"/>
  <c r="BH44" i="1"/>
  <c r="BJ43" i="1"/>
  <c r="BH43" i="1"/>
  <c r="BJ42" i="1"/>
  <c r="BH42" i="1"/>
  <c r="BJ41" i="1"/>
  <c r="BH41" i="1"/>
  <c r="BJ40" i="1"/>
  <c r="BH40" i="1"/>
  <c r="BJ39" i="1"/>
  <c r="BH39" i="1"/>
  <c r="BJ38" i="1"/>
  <c r="BH38" i="1"/>
  <c r="BJ37" i="1"/>
  <c r="BH37" i="1"/>
  <c r="BJ36" i="1"/>
  <c r="BH36" i="1"/>
  <c r="BJ35" i="1"/>
  <c r="BH35" i="1"/>
  <c r="BJ33" i="1"/>
  <c r="BH33" i="1"/>
  <c r="BJ32" i="1"/>
  <c r="BH32" i="1"/>
  <c r="BJ31" i="1"/>
  <c r="BH31" i="1"/>
  <c r="BJ30" i="1"/>
  <c r="BH30" i="1"/>
  <c r="BJ29" i="1"/>
  <c r="BH29" i="1"/>
  <c r="BJ28" i="1"/>
  <c r="BH28" i="1"/>
  <c r="BJ27" i="1"/>
  <c r="BH27" i="1"/>
  <c r="BJ26" i="1"/>
  <c r="BH26" i="1"/>
  <c r="BJ25" i="1"/>
  <c r="BH25" i="1"/>
  <c r="BJ24" i="1"/>
  <c r="BH24" i="1"/>
  <c r="BJ23" i="1"/>
  <c r="BH23" i="1"/>
  <c r="BJ22" i="1"/>
  <c r="BH22" i="1"/>
  <c r="BJ21" i="1"/>
  <c r="BH21" i="1"/>
  <c r="BJ20" i="1"/>
  <c r="BH20" i="1"/>
  <c r="BJ19" i="1"/>
  <c r="BH19" i="1"/>
  <c r="BJ18" i="1"/>
  <c r="BH18" i="1"/>
  <c r="BJ17" i="1"/>
  <c r="BH17" i="1"/>
  <c r="BJ16" i="1"/>
  <c r="BH16" i="1"/>
  <c r="BJ15" i="1"/>
  <c r="BH15" i="1"/>
  <c r="BJ14" i="1"/>
  <c r="BH14" i="1"/>
  <c r="BJ13" i="1"/>
  <c r="BH13" i="1"/>
  <c r="BJ12" i="1"/>
  <c r="BH12" i="1"/>
  <c r="BJ11" i="1"/>
  <c r="BH11" i="1"/>
  <c r="BJ10" i="1"/>
  <c r="BH10" i="1"/>
  <c r="BD48" i="1"/>
  <c r="BB48" i="1"/>
  <c r="BA48" i="1"/>
  <c r="BE47" i="1"/>
  <c r="BC47" i="1"/>
  <c r="BE46" i="1"/>
  <c r="BC46" i="1"/>
  <c r="BE45" i="1"/>
  <c r="BC45" i="1"/>
  <c r="BE44" i="1"/>
  <c r="BC44" i="1"/>
  <c r="BE43" i="1"/>
  <c r="BC43" i="1"/>
  <c r="BE42" i="1"/>
  <c r="BC42" i="1"/>
  <c r="BE41" i="1"/>
  <c r="BC41" i="1"/>
  <c r="BE40" i="1"/>
  <c r="BC40" i="1"/>
  <c r="BE39" i="1"/>
  <c r="BC39" i="1"/>
  <c r="BE38" i="1"/>
  <c r="BC38" i="1"/>
  <c r="BE37" i="1"/>
  <c r="BC37" i="1"/>
  <c r="BE36" i="1"/>
  <c r="BC36" i="1"/>
  <c r="BE35" i="1"/>
  <c r="BC35" i="1"/>
  <c r="BE33" i="1"/>
  <c r="BC33" i="1"/>
  <c r="BE32" i="1"/>
  <c r="BC32" i="1"/>
  <c r="BE31" i="1"/>
  <c r="BC31" i="1"/>
  <c r="BE30" i="1"/>
  <c r="BC30" i="1"/>
  <c r="BE29" i="1"/>
  <c r="BC29" i="1"/>
  <c r="BE28" i="1"/>
  <c r="BC28" i="1"/>
  <c r="BE27" i="1"/>
  <c r="BC27" i="1"/>
  <c r="BE26" i="1"/>
  <c r="BC26" i="1"/>
  <c r="BE25" i="1"/>
  <c r="BC25" i="1"/>
  <c r="BE24" i="1"/>
  <c r="BC24" i="1"/>
  <c r="BE23" i="1"/>
  <c r="BC23" i="1"/>
  <c r="BE22" i="1"/>
  <c r="BC22" i="1"/>
  <c r="BE21" i="1"/>
  <c r="BC21" i="1"/>
  <c r="BE20" i="1"/>
  <c r="BC20" i="1"/>
  <c r="BE19" i="1"/>
  <c r="BC19" i="1"/>
  <c r="BE18" i="1"/>
  <c r="BC18" i="1"/>
  <c r="BE17" i="1"/>
  <c r="BC17" i="1"/>
  <c r="BE16" i="1"/>
  <c r="BC16" i="1"/>
  <c r="BE15" i="1"/>
  <c r="BC15" i="1"/>
  <c r="BE14" i="1"/>
  <c r="BC14" i="1"/>
  <c r="BE13" i="1"/>
  <c r="BC13" i="1"/>
  <c r="BE12" i="1"/>
  <c r="BC12" i="1"/>
  <c r="BE11" i="1"/>
  <c r="BC11" i="1"/>
  <c r="BE10" i="1"/>
  <c r="BC10" i="1"/>
  <c r="AY48" i="1"/>
  <c r="AW48" i="1"/>
  <c r="AV48" i="1"/>
  <c r="AZ47" i="1"/>
  <c r="AX47" i="1"/>
  <c r="AZ46" i="1"/>
  <c r="AX46" i="1"/>
  <c r="AZ45" i="1"/>
  <c r="AX45" i="1"/>
  <c r="AZ44" i="1"/>
  <c r="AX44" i="1"/>
  <c r="AZ43" i="1"/>
  <c r="AX43" i="1"/>
  <c r="AZ42" i="1"/>
  <c r="AX42" i="1"/>
  <c r="AZ41" i="1"/>
  <c r="AX41" i="1"/>
  <c r="AZ40" i="1"/>
  <c r="AX40" i="1"/>
  <c r="AZ39" i="1"/>
  <c r="AX39" i="1"/>
  <c r="AZ38" i="1"/>
  <c r="AX38" i="1"/>
  <c r="AZ37" i="1"/>
  <c r="AX37" i="1"/>
  <c r="AZ36" i="1"/>
  <c r="AX36" i="1"/>
  <c r="AZ35" i="1"/>
  <c r="AX35" i="1"/>
  <c r="AZ33" i="1"/>
  <c r="AX33" i="1"/>
  <c r="AZ32" i="1"/>
  <c r="AX32" i="1"/>
  <c r="AZ31" i="1"/>
  <c r="AX31" i="1"/>
  <c r="AZ30" i="1"/>
  <c r="AX30" i="1"/>
  <c r="AZ29" i="1"/>
  <c r="AX29" i="1"/>
  <c r="AZ28" i="1"/>
  <c r="AX28" i="1"/>
  <c r="AZ27" i="1"/>
  <c r="AX27" i="1"/>
  <c r="AZ26" i="1"/>
  <c r="AX26" i="1"/>
  <c r="AZ25" i="1"/>
  <c r="AX25" i="1"/>
  <c r="AZ24" i="1"/>
  <c r="AX24" i="1"/>
  <c r="AZ23" i="1"/>
  <c r="AX23" i="1"/>
  <c r="AZ22" i="1"/>
  <c r="AX22" i="1"/>
  <c r="AZ21" i="1"/>
  <c r="AX21" i="1"/>
  <c r="AZ20" i="1"/>
  <c r="AX20" i="1"/>
  <c r="AZ19" i="1"/>
  <c r="AX19" i="1"/>
  <c r="AZ18" i="1"/>
  <c r="AX18" i="1"/>
  <c r="AZ17" i="1"/>
  <c r="AX17" i="1"/>
  <c r="AZ16" i="1"/>
  <c r="AX16" i="1"/>
  <c r="AZ15" i="1"/>
  <c r="AX15" i="1"/>
  <c r="AZ14" i="1"/>
  <c r="AX14" i="1"/>
  <c r="AZ13" i="1"/>
  <c r="AX13" i="1"/>
  <c r="AZ12" i="1"/>
  <c r="AX12" i="1"/>
  <c r="AZ11" i="1"/>
  <c r="AX11" i="1"/>
  <c r="AZ10" i="1"/>
  <c r="AX10" i="1"/>
  <c r="AT48" i="1"/>
  <c r="AR48" i="1"/>
  <c r="AQ48" i="1"/>
  <c r="AU47" i="1"/>
  <c r="AS47" i="1"/>
  <c r="AU46" i="1"/>
  <c r="AS46" i="1"/>
  <c r="AU45" i="1"/>
  <c r="AS45" i="1"/>
  <c r="AU44" i="1"/>
  <c r="AS44" i="1"/>
  <c r="AU43" i="1"/>
  <c r="AS43" i="1"/>
  <c r="AU42" i="1"/>
  <c r="AS42" i="1"/>
  <c r="AU41" i="1"/>
  <c r="AS41" i="1"/>
  <c r="AU40" i="1"/>
  <c r="AS40" i="1"/>
  <c r="AU39" i="1"/>
  <c r="AS39" i="1"/>
  <c r="AU38" i="1"/>
  <c r="AS38" i="1"/>
  <c r="AU37" i="1"/>
  <c r="AS37" i="1"/>
  <c r="AU36" i="1"/>
  <c r="AS36" i="1"/>
  <c r="AU35" i="1"/>
  <c r="AS35" i="1"/>
  <c r="AU33" i="1"/>
  <c r="AS33" i="1"/>
  <c r="AU32" i="1"/>
  <c r="AS32" i="1"/>
  <c r="AU31" i="1"/>
  <c r="AS31" i="1"/>
  <c r="AU30" i="1"/>
  <c r="AS30" i="1"/>
  <c r="AU29" i="1"/>
  <c r="AS29" i="1"/>
  <c r="AU28" i="1"/>
  <c r="AS28" i="1"/>
  <c r="AU27" i="1"/>
  <c r="AS27" i="1"/>
  <c r="AU26" i="1"/>
  <c r="AS26" i="1"/>
  <c r="AU25" i="1"/>
  <c r="AS25" i="1"/>
  <c r="AU24" i="1"/>
  <c r="AS24" i="1"/>
  <c r="AU23" i="1"/>
  <c r="AS23" i="1"/>
  <c r="AU22" i="1"/>
  <c r="AS22" i="1"/>
  <c r="AU21" i="1"/>
  <c r="AS21" i="1"/>
  <c r="AU20" i="1"/>
  <c r="AS20" i="1"/>
  <c r="AU19" i="1"/>
  <c r="AS19" i="1"/>
  <c r="AU18" i="1"/>
  <c r="AS18" i="1"/>
  <c r="AU17" i="1"/>
  <c r="AS17" i="1"/>
  <c r="AU16" i="1"/>
  <c r="AS16" i="1"/>
  <c r="AU15" i="1"/>
  <c r="AS15" i="1"/>
  <c r="AU14" i="1"/>
  <c r="AS14" i="1"/>
  <c r="AU13" i="1"/>
  <c r="AS13" i="1"/>
  <c r="AU12" i="1"/>
  <c r="AS12" i="1"/>
  <c r="AU11" i="1"/>
  <c r="AS11" i="1"/>
  <c r="AU10" i="1"/>
  <c r="AS10" i="1"/>
  <c r="AO48" i="1"/>
  <c r="AM48" i="1"/>
  <c r="AL48" i="1"/>
  <c r="AP47" i="1"/>
  <c r="AN47" i="1"/>
  <c r="AP46" i="1"/>
  <c r="AN46" i="1"/>
  <c r="AP45" i="1"/>
  <c r="AN45" i="1"/>
  <c r="AP44" i="1"/>
  <c r="AN44" i="1"/>
  <c r="AP43" i="1"/>
  <c r="AN43" i="1"/>
  <c r="AP42" i="1"/>
  <c r="AN42" i="1"/>
  <c r="AP41" i="1"/>
  <c r="AN41" i="1"/>
  <c r="AP40" i="1"/>
  <c r="AN40" i="1"/>
  <c r="AP39" i="1"/>
  <c r="AN39" i="1"/>
  <c r="AP38" i="1"/>
  <c r="AN38" i="1"/>
  <c r="AP37" i="1"/>
  <c r="AN37" i="1"/>
  <c r="AP36" i="1"/>
  <c r="AN36" i="1"/>
  <c r="AP35" i="1"/>
  <c r="AN35" i="1"/>
  <c r="AP33" i="1"/>
  <c r="AN33" i="1"/>
  <c r="AP32" i="1"/>
  <c r="AN32" i="1"/>
  <c r="AP31" i="1"/>
  <c r="AN31" i="1"/>
  <c r="AP30" i="1"/>
  <c r="AN30" i="1"/>
  <c r="AP29" i="1"/>
  <c r="AN29" i="1"/>
  <c r="AP28" i="1"/>
  <c r="AN28" i="1"/>
  <c r="AP27" i="1"/>
  <c r="AN27" i="1"/>
  <c r="AP26" i="1"/>
  <c r="AN26" i="1"/>
  <c r="AP25" i="1"/>
  <c r="AN25" i="1"/>
  <c r="AP24" i="1"/>
  <c r="AN24" i="1"/>
  <c r="AP23" i="1"/>
  <c r="AN23" i="1"/>
  <c r="AP22" i="1"/>
  <c r="AN22" i="1"/>
  <c r="AP21" i="1"/>
  <c r="AN21" i="1"/>
  <c r="AP20" i="1"/>
  <c r="AN20" i="1"/>
  <c r="AP19" i="1"/>
  <c r="AN19" i="1"/>
  <c r="AP18" i="1"/>
  <c r="AN18" i="1"/>
  <c r="AP17" i="1"/>
  <c r="AN17" i="1"/>
  <c r="AP16" i="1"/>
  <c r="AN16" i="1"/>
  <c r="AP15" i="1"/>
  <c r="AN15" i="1"/>
  <c r="AP14" i="1"/>
  <c r="AN14" i="1"/>
  <c r="AP13" i="1"/>
  <c r="AN13" i="1"/>
  <c r="AP12" i="1"/>
  <c r="AN12" i="1"/>
  <c r="AP11" i="1"/>
  <c r="AN11" i="1"/>
  <c r="AP10" i="1"/>
  <c r="AN10" i="1"/>
  <c r="BJ48" i="1" l="1"/>
  <c r="BH48" i="1"/>
  <c r="BE48" i="1"/>
  <c r="BC48" i="1"/>
  <c r="AZ48" i="1"/>
  <c r="AX48" i="1"/>
  <c r="AU48" i="1"/>
  <c r="AS48" i="1"/>
  <c r="AN48" i="1"/>
  <c r="AP48" i="1"/>
  <c r="AJ48" i="1"/>
  <c r="AH48" i="1"/>
  <c r="AG48" i="1"/>
  <c r="AK47" i="1"/>
  <c r="AI47" i="1"/>
  <c r="AK46" i="1"/>
  <c r="AI46" i="1"/>
  <c r="AK45" i="1"/>
  <c r="AI45" i="1"/>
  <c r="AK44" i="1"/>
  <c r="AI44" i="1"/>
  <c r="AK43" i="1"/>
  <c r="AI43" i="1"/>
  <c r="AK42" i="1"/>
  <c r="AI42" i="1"/>
  <c r="AK41" i="1"/>
  <c r="AI41" i="1"/>
  <c r="AK40" i="1"/>
  <c r="AI40" i="1"/>
  <c r="AK39" i="1"/>
  <c r="AI39" i="1"/>
  <c r="AK38" i="1"/>
  <c r="AI38" i="1"/>
  <c r="AK37" i="1"/>
  <c r="AI37" i="1"/>
  <c r="AK36" i="1"/>
  <c r="AI36" i="1"/>
  <c r="AK35" i="1"/>
  <c r="AI35" i="1"/>
  <c r="AK33" i="1"/>
  <c r="AI33" i="1"/>
  <c r="AK32" i="1"/>
  <c r="AI32" i="1"/>
  <c r="AK31" i="1"/>
  <c r="AI31" i="1"/>
  <c r="AK30" i="1"/>
  <c r="AI30" i="1"/>
  <c r="AK29" i="1"/>
  <c r="AI29" i="1"/>
  <c r="AK28" i="1"/>
  <c r="AI28" i="1"/>
  <c r="AK27" i="1"/>
  <c r="AI27" i="1"/>
  <c r="AK26" i="1"/>
  <c r="AI26" i="1"/>
  <c r="AK25" i="1"/>
  <c r="AI25" i="1"/>
  <c r="AK24" i="1"/>
  <c r="AI24" i="1"/>
  <c r="AK23" i="1"/>
  <c r="AI23" i="1"/>
  <c r="AK22" i="1"/>
  <c r="AI22" i="1"/>
  <c r="AK21" i="1"/>
  <c r="AI21" i="1"/>
  <c r="AK20" i="1"/>
  <c r="AI20" i="1"/>
  <c r="AK19" i="1"/>
  <c r="AI19" i="1"/>
  <c r="AK18" i="1"/>
  <c r="AI18" i="1"/>
  <c r="AK17" i="1"/>
  <c r="AI17" i="1"/>
  <c r="AK16" i="1"/>
  <c r="AI16" i="1"/>
  <c r="AK15" i="1"/>
  <c r="AI15" i="1"/>
  <c r="AK14" i="1"/>
  <c r="AI14" i="1"/>
  <c r="AK13" i="1"/>
  <c r="AI13" i="1"/>
  <c r="AK12" i="1"/>
  <c r="AI12" i="1"/>
  <c r="AK11" i="1"/>
  <c r="AI11" i="1"/>
  <c r="AK10" i="1"/>
  <c r="AI10" i="1"/>
  <c r="AK48" i="1" l="1"/>
  <c r="AI48" i="1"/>
  <c r="Z48" i="1" l="1"/>
  <c r="X48" i="1"/>
  <c r="W48" i="1"/>
  <c r="AA47" i="1"/>
  <c r="Y47" i="1"/>
  <c r="AA46" i="1"/>
  <c r="Y46" i="1"/>
  <c r="AA45" i="1"/>
  <c r="Y45" i="1"/>
  <c r="AA44" i="1"/>
  <c r="Y44" i="1"/>
  <c r="AA43" i="1"/>
  <c r="Y43" i="1"/>
  <c r="AA42" i="1"/>
  <c r="Y42" i="1"/>
  <c r="AA41" i="1"/>
  <c r="Y41" i="1"/>
  <c r="AA40" i="1"/>
  <c r="Y40" i="1"/>
  <c r="AA39" i="1"/>
  <c r="Y39" i="1"/>
  <c r="AA38" i="1"/>
  <c r="Y38" i="1"/>
  <c r="AA37" i="1"/>
  <c r="Y37" i="1"/>
  <c r="AA36" i="1"/>
  <c r="Y36" i="1"/>
  <c r="AA35" i="1"/>
  <c r="Y35" i="1"/>
  <c r="AA33" i="1"/>
  <c r="Y33" i="1"/>
  <c r="AA32" i="1"/>
  <c r="Y32" i="1"/>
  <c r="AA31" i="1"/>
  <c r="Y31" i="1"/>
  <c r="AA30" i="1"/>
  <c r="Y30" i="1"/>
  <c r="AA29" i="1"/>
  <c r="Y29" i="1"/>
  <c r="AA28" i="1"/>
  <c r="Y28" i="1"/>
  <c r="AA27" i="1"/>
  <c r="Y27" i="1"/>
  <c r="AA26" i="1"/>
  <c r="Y26" i="1"/>
  <c r="AA25" i="1"/>
  <c r="Y25" i="1"/>
  <c r="AA24" i="1"/>
  <c r="Y24" i="1"/>
  <c r="AA23" i="1"/>
  <c r="Y23" i="1"/>
  <c r="AA22" i="1"/>
  <c r="Y22" i="1"/>
  <c r="AA21" i="1"/>
  <c r="Y21" i="1"/>
  <c r="AA20" i="1"/>
  <c r="Y20" i="1"/>
  <c r="AA19" i="1"/>
  <c r="Y19" i="1"/>
  <c r="AA18" i="1"/>
  <c r="Y18" i="1"/>
  <c r="AA17" i="1"/>
  <c r="Y17" i="1"/>
  <c r="AA16" i="1"/>
  <c r="Y16" i="1"/>
  <c r="AA15" i="1"/>
  <c r="Y15" i="1"/>
  <c r="AA14" i="1"/>
  <c r="Y14" i="1"/>
  <c r="AA13" i="1"/>
  <c r="Y13" i="1"/>
  <c r="AA12" i="1"/>
  <c r="Y12" i="1"/>
  <c r="AA11" i="1"/>
  <c r="Y11" i="1"/>
  <c r="AA10" i="1"/>
  <c r="Y10" i="1"/>
  <c r="AA48" i="1" l="1"/>
  <c r="Y48" i="1"/>
  <c r="AE48" i="1"/>
  <c r="AC48" i="1"/>
  <c r="AB48" i="1"/>
  <c r="AF47" i="1"/>
  <c r="AD47" i="1"/>
  <c r="AF46" i="1"/>
  <c r="AD46" i="1"/>
  <c r="AF45" i="1"/>
  <c r="AD45" i="1"/>
  <c r="AF44" i="1"/>
  <c r="AD44" i="1"/>
  <c r="AF43" i="1"/>
  <c r="AD43" i="1"/>
  <c r="AF42" i="1"/>
  <c r="AD42" i="1"/>
  <c r="AF41" i="1"/>
  <c r="AD41" i="1"/>
  <c r="AF40" i="1"/>
  <c r="AD40" i="1"/>
  <c r="AF39" i="1"/>
  <c r="AD39" i="1"/>
  <c r="AF38" i="1"/>
  <c r="AD38" i="1"/>
  <c r="AF37" i="1"/>
  <c r="AD37" i="1"/>
  <c r="AF36" i="1"/>
  <c r="AD36" i="1"/>
  <c r="AF35" i="1"/>
  <c r="AD35" i="1"/>
  <c r="AF33" i="1"/>
  <c r="AD33" i="1"/>
  <c r="AF32" i="1"/>
  <c r="AD32" i="1"/>
  <c r="AF31" i="1"/>
  <c r="AD31" i="1"/>
  <c r="AF30" i="1"/>
  <c r="AD30" i="1"/>
  <c r="AF29" i="1"/>
  <c r="AD29" i="1"/>
  <c r="AF28" i="1"/>
  <c r="AD28" i="1"/>
  <c r="AF27" i="1"/>
  <c r="AD27" i="1"/>
  <c r="AF26" i="1"/>
  <c r="AD26" i="1"/>
  <c r="AF25" i="1"/>
  <c r="AD25" i="1"/>
  <c r="AF24" i="1"/>
  <c r="AD24" i="1"/>
  <c r="AF23" i="1"/>
  <c r="AD23" i="1"/>
  <c r="AF22" i="1"/>
  <c r="AD22" i="1"/>
  <c r="AF21" i="1"/>
  <c r="AD21" i="1"/>
  <c r="AF20" i="1"/>
  <c r="AD20" i="1"/>
  <c r="AF19" i="1"/>
  <c r="AD19" i="1"/>
  <c r="AF18" i="1"/>
  <c r="AD18" i="1"/>
  <c r="AF17" i="1"/>
  <c r="AD17" i="1"/>
  <c r="AF16" i="1"/>
  <c r="AD16" i="1"/>
  <c r="AF15" i="1"/>
  <c r="AD15" i="1"/>
  <c r="AF14" i="1"/>
  <c r="AD14" i="1"/>
  <c r="AF13" i="1"/>
  <c r="AD13" i="1"/>
  <c r="AF12" i="1"/>
  <c r="AD12" i="1"/>
  <c r="AF11" i="1"/>
  <c r="AD11" i="1"/>
  <c r="AF10" i="1"/>
  <c r="AD10" i="1"/>
  <c r="AD48" i="1" l="1"/>
  <c r="AF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P48" i="1" l="1"/>
  <c r="N48" i="1"/>
  <c r="M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48" i="1" l="1"/>
  <c r="O48" i="1"/>
  <c r="K48" i="1"/>
  <c r="I48" i="1"/>
  <c r="H48" i="1"/>
  <c r="L47" i="1"/>
  <c r="J47" i="1"/>
  <c r="L46" i="1"/>
  <c r="J46" i="1"/>
  <c r="L45" i="1"/>
  <c r="J45" i="1"/>
  <c r="L44" i="1"/>
  <c r="J44" i="1"/>
  <c r="L43" i="1"/>
  <c r="J43" i="1"/>
  <c r="L42" i="1"/>
  <c r="J42" i="1"/>
  <c r="L41" i="1"/>
  <c r="J41" i="1"/>
  <c r="L40" i="1"/>
  <c r="J40" i="1"/>
  <c r="L39" i="1"/>
  <c r="J39" i="1"/>
  <c r="L38" i="1"/>
  <c r="J38" i="1"/>
  <c r="L37" i="1"/>
  <c r="J37" i="1"/>
  <c r="L36" i="1"/>
  <c r="J36" i="1"/>
  <c r="L35" i="1"/>
  <c r="J35" i="1"/>
  <c r="L33" i="1"/>
  <c r="J33" i="1"/>
  <c r="L32" i="1"/>
  <c r="J32" i="1"/>
  <c r="L31" i="1"/>
  <c r="J31" i="1"/>
  <c r="L30" i="1"/>
  <c r="J30" i="1"/>
  <c r="L29" i="1"/>
  <c r="J29" i="1"/>
  <c r="L28" i="1"/>
  <c r="J28" i="1"/>
  <c r="L27" i="1"/>
  <c r="J27" i="1"/>
  <c r="L26" i="1"/>
  <c r="J26" i="1"/>
  <c r="L25" i="1"/>
  <c r="J25" i="1"/>
  <c r="L24" i="1"/>
  <c r="J24" i="1"/>
  <c r="L23" i="1"/>
  <c r="J23" i="1"/>
  <c r="L22" i="1"/>
  <c r="J22" i="1"/>
  <c r="L21" i="1"/>
  <c r="J21" i="1"/>
  <c r="L20" i="1"/>
  <c r="J20" i="1"/>
  <c r="L19" i="1"/>
  <c r="J19" i="1"/>
  <c r="L18" i="1"/>
  <c r="J18" i="1"/>
  <c r="L17" i="1"/>
  <c r="J17" i="1"/>
  <c r="L16" i="1"/>
  <c r="J16" i="1"/>
  <c r="L15" i="1"/>
  <c r="J15" i="1"/>
  <c r="L14" i="1"/>
  <c r="J14" i="1"/>
  <c r="L13" i="1"/>
  <c r="J13" i="1"/>
  <c r="L12" i="1"/>
  <c r="J12" i="1"/>
  <c r="L11" i="1"/>
  <c r="J11" i="1"/>
  <c r="L10" i="1"/>
  <c r="J10" i="1"/>
  <c r="J48" i="1" l="1"/>
  <c r="L48" i="1"/>
  <c r="U48" i="1"/>
  <c r="S48" i="1"/>
  <c r="R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48" i="1" l="1"/>
  <c r="T48" i="1"/>
  <c r="G47" i="1"/>
  <c r="E47" i="1"/>
  <c r="G46" i="1"/>
  <c r="E46" i="1"/>
  <c r="G45" i="1"/>
  <c r="E45" i="1"/>
  <c r="G44" i="1"/>
  <c r="E44" i="1"/>
  <c r="G43" i="1"/>
  <c r="E43" i="1"/>
  <c r="G42" i="1"/>
  <c r="E42" i="1"/>
  <c r="G41" i="1"/>
  <c r="E41" i="1"/>
  <c r="G40" i="1"/>
  <c r="E40" i="1"/>
  <c r="G39" i="1"/>
  <c r="E39" i="1"/>
  <c r="G38" i="1"/>
  <c r="E38" i="1"/>
  <c r="G37" i="1"/>
  <c r="E37" i="1"/>
  <c r="G36" i="1"/>
  <c r="E36" i="1"/>
  <c r="G35" i="1"/>
  <c r="E35" i="1"/>
  <c r="G33" i="1"/>
  <c r="E33" i="1"/>
  <c r="G32" i="1"/>
  <c r="E32" i="1"/>
  <c r="G31" i="1"/>
  <c r="E31" i="1"/>
  <c r="G30" i="1"/>
  <c r="E30" i="1"/>
  <c r="G29" i="1"/>
  <c r="E29" i="1"/>
  <c r="G28" i="1"/>
  <c r="E28" i="1"/>
  <c r="G27" i="1"/>
  <c r="E27" i="1"/>
  <c r="G26" i="1"/>
  <c r="E26" i="1"/>
  <c r="G25" i="1"/>
  <c r="E25" i="1"/>
  <c r="G24" i="1"/>
  <c r="E24" i="1"/>
  <c r="G23" i="1"/>
  <c r="E23" i="1"/>
  <c r="G22" i="1"/>
  <c r="E22" i="1"/>
  <c r="G21" i="1"/>
  <c r="E21" i="1"/>
  <c r="G20" i="1"/>
  <c r="E20" i="1"/>
  <c r="G19" i="1"/>
  <c r="E19" i="1"/>
  <c r="G18" i="1"/>
  <c r="E18" i="1"/>
  <c r="G17" i="1"/>
  <c r="E17" i="1"/>
  <c r="G16" i="1"/>
  <c r="E16" i="1"/>
  <c r="G15" i="1"/>
  <c r="E15" i="1"/>
  <c r="G14" i="1"/>
  <c r="E14" i="1"/>
  <c r="G13" i="1"/>
  <c r="E13" i="1"/>
  <c r="G12" i="1"/>
  <c r="E12" i="1"/>
  <c r="G11" i="1"/>
  <c r="E11" i="1"/>
  <c r="G10" i="1"/>
  <c r="E10" i="1"/>
  <c r="F48" i="1" l="1"/>
  <c r="D48" i="1"/>
  <c r="C48" i="1"/>
  <c r="G48" i="1" l="1"/>
  <c r="E48" i="1"/>
</calcChain>
</file>

<file path=xl/sharedStrings.xml><?xml version="1.0" encoding="utf-8"?>
<sst xmlns="http://schemas.openxmlformats.org/spreadsheetml/2006/main" count="129" uniqueCount="51">
  <si>
    <t>STATE CD</t>
  </si>
  <si>
    <t>STATE</t>
  </si>
  <si>
    <t>No. of Tax Payers eligible to File</t>
  </si>
  <si>
    <t>No. Tax Payers filed by Due Date</t>
  </si>
  <si>
    <t>No. of Tax Payers filed after due date</t>
  </si>
  <si>
    <t>Total Returns Filed</t>
  </si>
  <si>
    <t>Jammu and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</si>
  <si>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</si>
  <si>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</si>
  <si>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</si>
  <si>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</si>
  <si>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</si>
  <si>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</si>
  <si>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</si>
  <si>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</si>
  <si>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</si>
  <si>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</si>
  <si>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</si>
  <si>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</si>
  <si>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</si>
  <si>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</si>
  <si>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</si>
  <si>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</si>
  <si>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</si>
  <si>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</si>
  <si>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</si>
  <si>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</si>
  <si>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</si>
  <si>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</si>
  <si>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</si>
  <si>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and Diu</t>
  </si>
  <si>
    <t>Dadra and Nagar Haveli</t>
  </si>
  <si>
    <t>Maharashtra</t>
  </si>
  <si>
    <t>Karnataka</t>
  </si>
  <si>
    <t>Goa</t>
  </si>
  <si>
    <t>Lakshadweep</t>
  </si>
  <si>
    <t>Kerala</t>
  </si>
  <si>
    <t>Tamil Nadu</t>
  </si>
  <si>
    <t>Puducherry</t>
  </si>
  <si>
    <t>Andaman and Nicobar Islands</t>
  </si>
  <si>
    <t>Telangana</t>
  </si>
  <si>
    <t>Andhra Pradesh</t>
  </si>
  <si>
    <t>Ladakh</t>
  </si>
  <si>
    <t>Other Territory</t>
  </si>
  <si>
    <t>Total</t>
  </si>
  <si>
    <t>*  State Code 97 represents  territories other than States/UTs</t>
  </si>
  <si>
    <t>STATE WISE RETURN PERIOD WISE GSTR-3B FILING SUMMARY</t>
  </si>
  <si>
    <t>-</t>
  </si>
  <si>
    <t>FINANCIAL YEAR 2023-2024</t>
  </si>
  <si>
    <t>Data Considered upto 31st Aug 2026</t>
  </si>
  <si>
    <t>Filing %age as on 31st Aug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</si>
</sst>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[&gt;=10000000]##\,##\,##\,##0;[&gt;=100000]\ ##\,##\,##0;##,##0"/>
    <numFmt numFmtId="166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30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/>
    <xf numFmtId="165" fontId="3" fillId="3" borderId="1" xfId="0" applyNumberFormat="1" applyFont="1" applyFill="1" applyBorder="1"/>
    <xf numFmtId="10" fontId="3" fillId="3" borderId="1" xfId="1" applyNumberFormat="1" applyFont="1" applyFill="1" applyBorder="1"/>
    <xf numFmtId="0" fontId="5" fillId="2" borderId="0" xfId="0" applyFont="1" applyFill="1" applyAlignment="1">
      <alignment horizontal="left"/>
    </xf>
    <xf numFmtId="165" fontId="0" fillId="0" borderId="1" xfId="0" applyNumberFormat="1" applyBorder="1"/>
    <xf numFmtId="165" fontId="0" fillId="0" borderId="1" xfId="0" applyNumberFormat="1" applyBorder="1" applyAlignment="1">
      <alignment horizontal="right" vertical="center" wrapText="1"/>
    </xf>
    <xf numFmtId="165" fontId="2" fillId="2" borderId="1" xfId="2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right" vertical="center" wrapText="1"/>
    </xf>
    <xf numFmtId="165" fontId="6" fillId="5" borderId="1" xfId="0" applyNumberFormat="1" applyFont="1" applyFill="1" applyBorder="1" applyAlignment="1">
      <alignment horizontal="right" vertical="center" wrapText="1"/>
    </xf>
    <xf numFmtId="165" fontId="7" fillId="4" borderId="1" xfId="0" applyNumberFormat="1" applyFont="1" applyFill="1" applyBorder="1"/>
    <xf numFmtId="10" fontId="7" fillId="4" borderId="1" xfId="1" applyNumberFormat="1" applyFont="1" applyFill="1" applyBorder="1"/>
    <xf numFmtId="165" fontId="1" fillId="0" borderId="1" xfId="0" applyNumberFormat="1" applyFont="1" applyBorder="1"/>
    <xf numFmtId="166" fontId="0" fillId="0" borderId="1" xfId="10" applyNumberFormat="1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0" xfId="0" applyFont="1" applyFill="1"/>
    <xf numFmtId="0" fontId="5" fillId="2" borderId="0" xfId="0" applyFont="1" applyFill="1" applyAlignment="1">
      <alignment horizontal="left"/>
    </xf>
    <xf numFmtId="0" fontId="5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7" fontId="2" fillId="2" borderId="2" xfId="0" applyNumberFormat="1" applyFont="1" applyFill="1" applyBorder="1" applyAlignment="1">
      <alignment horizontal="center" vertical="center"/>
    </xf>
    <xf numFmtId="17" fontId="2" fillId="2" borderId="3" xfId="0" applyNumberFormat="1" applyFont="1" applyFill="1" applyBorder="1" applyAlignment="1">
      <alignment horizontal="center" vertical="center"/>
    </xf>
    <xf numFmtId="17" fontId="2" fillId="2" borderId="4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</cellXfs>
  <cellStyles count="11">
    <cellStyle name="Comma" xfId="10" builtinId="3"/>
    <cellStyle name="Comma 2" xfId="2" xr:uid="{00000000-0005-0000-0000-000001000000}"/>
    <cellStyle name="Comma 2 2" xfId="8" xr:uid="{00000000-0005-0000-0000-000002000000}"/>
    <cellStyle name="Comma 2 3" xfId="5" xr:uid="{00000000-0005-0000-0000-000003000000}"/>
    <cellStyle name="Comma 3" xfId="7" xr:uid="{00000000-0005-0000-0000-000004000000}"/>
    <cellStyle name="Normal" xfId="0" builtinId="0"/>
    <cellStyle name="Normal 2" xfId="6" xr:uid="{00000000-0005-0000-0000-000006000000}"/>
    <cellStyle name="Normal 2 2" xfId="9" xr:uid="{00000000-0005-0000-0000-000007000000}"/>
    <cellStyle name="Normal 3" xfId="3" xr:uid="{00000000-0005-0000-0000-000008000000}"/>
    <cellStyle name="Percent" xfId="1" builtinId="5"/>
    <cellStyle name="Percent 2" xfId="4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J53"/>
  <sheetViews>
    <sheetView tabSelected="1" topLeftCell="AS3" zoomScale="60" zoomScaleNormal="60" workbookViewId="0">
      <selection activeCell="BJ47" sqref="BJ47"/>
    </sheetView>
  </sheetViews>
  <sheetFormatPr defaultColWidth="8.77734375" defaultRowHeight="14.4" x14ac:dyDescent="0.3"/>
  <cols>
    <col min="2" max="2" width="26.21875" bestFit="1" customWidth="1"/>
    <col min="3" max="62" width="18.44140625" customWidth="1"/>
  </cols>
  <sheetData>
    <row r="1" spans="1:62" ht="15.6" x14ac:dyDescent="0.3">
      <c r="A1" s="29" t="s">
        <v>46</v>
      </c>
      <c r="B1" s="29"/>
      <c r="C1" s="29"/>
      <c r="D1" s="29"/>
    </row>
    <row r="2" spans="1:62" ht="15.6" x14ac:dyDescent="0.3">
      <c r="A2" s="2"/>
      <c r="B2" s="2"/>
      <c r="C2" s="2"/>
      <c r="D2" s="2"/>
      <c r="E2" s="2"/>
      <c r="F2" s="2"/>
      <c r="G2" s="2"/>
    </row>
    <row r="3" spans="1:62" ht="15.6" x14ac:dyDescent="0.3">
      <c r="A3" s="28" t="s">
        <v>48</v>
      </c>
      <c r="B3" s="28"/>
      <c r="C3" s="2"/>
      <c r="D3" s="2"/>
      <c r="E3" s="2"/>
      <c r="F3" s="2"/>
      <c r="G3" s="2"/>
    </row>
    <row r="4" spans="1:62" ht="15.6" x14ac:dyDescent="0.3">
      <c r="A4" s="2"/>
      <c r="B4" s="2"/>
      <c r="C4" s="2"/>
      <c r="D4" s="2"/>
      <c r="E4" s="2"/>
      <c r="F4" s="2"/>
      <c r="G4" s="2"/>
    </row>
    <row r="5" spans="1:62" ht="15.6" x14ac:dyDescent="0.3">
      <c r="A5" s="20" t="s">
        <v>49</v>
      </c>
      <c r="B5" s="20"/>
      <c r="C5" s="2"/>
      <c r="D5" s="1"/>
      <c r="E5" s="1"/>
      <c r="F5" s="1"/>
      <c r="G5" s="1"/>
    </row>
    <row r="6" spans="1:62" x14ac:dyDescent="0.3">
      <c r="A6" s="1"/>
      <c r="B6" s="1"/>
      <c r="C6" s="1"/>
      <c r="D6" s="1"/>
      <c r="E6" s="1"/>
      <c r="F6" s="1"/>
      <c r="G6" s="1"/>
    </row>
    <row r="7" spans="1:62" x14ac:dyDescent="0.3">
      <c r="A7" s="1"/>
      <c r="B7" s="1"/>
      <c r="C7" s="1"/>
      <c r="D7" s="1"/>
      <c r="E7" s="1"/>
      <c r="F7" s="1"/>
      <c r="G7" s="1"/>
    </row>
    <row r="8" spans="1:62" s="16" customFormat="1" ht="15.6" x14ac:dyDescent="0.3">
      <c r="A8" s="23" t="s">
        <v>0</v>
      </c>
      <c r="B8" s="24" t="s">
        <v>1</v>
      </c>
      <c r="C8" s="25">
        <v>45017</v>
      </c>
      <c r="D8" s="26"/>
      <c r="E8" s="26"/>
      <c r="F8" s="26"/>
      <c r="G8" s="27"/>
      <c r="H8" s="25">
        <v>45047</v>
      </c>
      <c r="I8" s="26"/>
      <c r="J8" s="26"/>
      <c r="K8" s="26"/>
      <c r="L8" s="27"/>
      <c r="M8" s="25">
        <v>45078</v>
      </c>
      <c r="N8" s="26"/>
      <c r="O8" s="26"/>
      <c r="P8" s="26"/>
      <c r="Q8" s="27"/>
      <c r="R8" s="25">
        <v>45108</v>
      </c>
      <c r="S8" s="26"/>
      <c r="T8" s="26"/>
      <c r="U8" s="26"/>
      <c r="V8" s="27"/>
      <c r="W8" s="25">
        <v>45139</v>
      </c>
      <c r="X8" s="26"/>
      <c r="Y8" s="26"/>
      <c r="Z8" s="26"/>
      <c r="AA8" s="27"/>
      <c r="AB8" s="25">
        <v>45170</v>
      </c>
      <c r="AC8" s="26"/>
      <c r="AD8" s="26"/>
      <c r="AE8" s="26"/>
      <c r="AF8" s="27"/>
      <c r="AG8" s="25">
        <v>45200</v>
      </c>
      <c r="AH8" s="26"/>
      <c r="AI8" s="26"/>
      <c r="AJ8" s="26"/>
      <c r="AK8" s="27"/>
      <c r="AL8" s="25">
        <v>45231</v>
      </c>
      <c r="AM8" s="26"/>
      <c r="AN8" s="26"/>
      <c r="AO8" s="26"/>
      <c r="AP8" s="27"/>
      <c r="AQ8" s="25">
        <v>45261</v>
      </c>
      <c r="AR8" s="26"/>
      <c r="AS8" s="26"/>
      <c r="AT8" s="26"/>
      <c r="AU8" s="27"/>
      <c r="AV8" s="25">
        <v>45292</v>
      </c>
      <c r="AW8" s="26"/>
      <c r="AX8" s="26"/>
      <c r="AY8" s="26"/>
      <c r="AZ8" s="27"/>
      <c r="BA8" s="25">
        <v>45323</v>
      </c>
      <c r="BB8" s="26"/>
      <c r="BC8" s="26"/>
      <c r="BD8" s="26"/>
      <c r="BE8" s="27"/>
      <c r="BF8" s="25">
        <v>45352</v>
      </c>
      <c r="BG8" s="26"/>
      <c r="BH8" s="26"/>
      <c r="BI8" s="26"/>
      <c r="BJ8" s="27"/>
    </row>
    <row r="9" spans="1:62" s="16" customFormat="1" ht="31.2" customHeight="1" x14ac:dyDescent="0.3">
      <c r="A9" s="23"/>
      <c r="B9" s="24"/>
      <c r="C9" s="17" t="s">
        <v>2</v>
      </c>
      <c r="D9" s="17" t="s">
        <v>3</v>
      </c>
      <c r="E9" s="17" t="s">
        <v>4</v>
      </c>
      <c r="F9" s="9" t="s">
        <v>5</v>
      </c>
      <c r="G9" s="17" t="s">
        <v>50</v>
      </c>
      <c r="H9" s="17" t="s">
        <v>2</v>
      </c>
      <c r="I9" s="17" t="s">
        <v>3</v>
      </c>
      <c r="J9" s="17" t="s">
        <v>4</v>
      </c>
      <c r="K9" s="9" t="s">
        <v>5</v>
      </c>
      <c r="L9" s="17" t="s">
        <v>50</v>
      </c>
      <c r="M9" s="17" t="s">
        <v>2</v>
      </c>
      <c r="N9" s="17" t="s">
        <v>3</v>
      </c>
      <c r="O9" s="17" t="s">
        <v>4</v>
      </c>
      <c r="P9" s="9" t="s">
        <v>5</v>
      </c>
      <c r="Q9" s="17" t="s">
        <v>50</v>
      </c>
      <c r="R9" s="17" t="s">
        <v>2</v>
      </c>
      <c r="S9" s="17" t="s">
        <v>3</v>
      </c>
      <c r="T9" s="17" t="s">
        <v>4</v>
      </c>
      <c r="U9" s="9" t="s">
        <v>5</v>
      </c>
      <c r="V9" s="17" t="s">
        <v>50</v>
      </c>
      <c r="W9" s="17" t="s">
        <v>2</v>
      </c>
      <c r="X9" s="17" t="s">
        <v>3</v>
      </c>
      <c r="Y9" s="17" t="s">
        <v>4</v>
      </c>
      <c r="Z9" s="9" t="s">
        <v>5</v>
      </c>
      <c r="AA9" s="17" t="s">
        <v>50</v>
      </c>
      <c r="AB9" s="17" t="s">
        <v>2</v>
      </c>
      <c r="AC9" s="17" t="s">
        <v>3</v>
      </c>
      <c r="AD9" s="17" t="s">
        <v>4</v>
      </c>
      <c r="AE9" s="9" t="s">
        <v>5</v>
      </c>
      <c r="AF9" s="17" t="s">
        <v>50</v>
      </c>
      <c r="AG9" s="17" t="s">
        <v>2</v>
      </c>
      <c r="AH9" s="17" t="s">
        <v>3</v>
      </c>
      <c r="AI9" s="17" t="s">
        <v>4</v>
      </c>
      <c r="AJ9" s="9" t="s">
        <v>5</v>
      </c>
      <c r="AK9" s="17" t="s">
        <v>50</v>
      </c>
      <c r="AL9" s="17" t="s">
        <v>2</v>
      </c>
      <c r="AM9" s="17" t="s">
        <v>3</v>
      </c>
      <c r="AN9" s="17" t="s">
        <v>4</v>
      </c>
      <c r="AO9" s="9" t="s">
        <v>5</v>
      </c>
      <c r="AP9" s="17" t="s">
        <v>50</v>
      </c>
      <c r="AQ9" s="17" t="s">
        <v>2</v>
      </c>
      <c r="AR9" s="17" t="s">
        <v>3</v>
      </c>
      <c r="AS9" s="17" t="s">
        <v>4</v>
      </c>
      <c r="AT9" s="9" t="s">
        <v>5</v>
      </c>
      <c r="AU9" s="17" t="s">
        <v>50</v>
      </c>
      <c r="AV9" s="17" t="s">
        <v>2</v>
      </c>
      <c r="AW9" s="17" t="s">
        <v>3</v>
      </c>
      <c r="AX9" s="17" t="s">
        <v>4</v>
      </c>
      <c r="AY9" s="9" t="s">
        <v>5</v>
      </c>
      <c r="AZ9" s="17" t="s">
        <v>50</v>
      </c>
      <c r="BA9" s="17" t="s">
        <v>2</v>
      </c>
      <c r="BB9" s="17" t="s">
        <v>3</v>
      </c>
      <c r="BC9" s="17" t="s">
        <v>4</v>
      </c>
      <c r="BD9" s="9" t="s">
        <v>5</v>
      </c>
      <c r="BE9" s="17" t="s">
        <v>50</v>
      </c>
      <c r="BF9" s="17" t="s">
        <v>2</v>
      </c>
      <c r="BG9" s="17" t="s">
        <v>3</v>
      </c>
      <c r="BH9" s="17" t="s">
        <v>4</v>
      </c>
      <c r="BI9" s="9" t="s">
        <v>5</v>
      </c>
      <c r="BJ9" s="17" t="s">
        <v>50</v>
      </c>
    </row>
    <row r="10" spans="1:62" x14ac:dyDescent="0.3">
      <c r="A10" s="18">
        <v>1</v>
      </c>
      <c r="B10" s="3" t="s">
        <v>6</v>
      </c>
      <c r="C10" s="8">
        <v>70249</v>
      </c>
      <c r="D10" s="7">
        <v>55211</v>
      </c>
      <c r="E10" s="4">
        <f>F10-D10</f>
        <v>15396</v>
      </c>
      <c r="F10" s="14">
        <v>70607</v>
      </c>
      <c r="G10" s="5">
        <f>F10/C10</f>
        <v>1.0050961579524265</v>
      </c>
      <c r="H10" s="8">
        <v>72254</v>
      </c>
      <c r="I10" s="7">
        <v>57600</v>
      </c>
      <c r="J10" s="4">
        <f>K10-I10</f>
        <v>14614</v>
      </c>
      <c r="K10" s="14">
        <v>72214</v>
      </c>
      <c r="L10" s="5">
        <f>K10/H10</f>
        <v>0.99944639743128405</v>
      </c>
      <c r="M10" s="8">
        <v>120466</v>
      </c>
      <c r="N10" s="7">
        <v>96353</v>
      </c>
      <c r="O10" s="4">
        <f>P10-N10</f>
        <v>23855</v>
      </c>
      <c r="P10" s="14">
        <v>120208</v>
      </c>
      <c r="Q10" s="5">
        <f>P10/M10</f>
        <v>0.99785831686949011</v>
      </c>
      <c r="R10" s="8">
        <v>70979</v>
      </c>
      <c r="S10" s="7">
        <v>55987</v>
      </c>
      <c r="T10" s="4">
        <f>U10-S10</f>
        <v>15292</v>
      </c>
      <c r="U10" s="14">
        <v>71279</v>
      </c>
      <c r="V10" s="5">
        <f>U10/R10</f>
        <v>1.0042266022344637</v>
      </c>
      <c r="W10" s="8">
        <v>73348</v>
      </c>
      <c r="X10" s="7">
        <v>58028</v>
      </c>
      <c r="Y10" s="4">
        <f>Z10-X10</f>
        <v>14967</v>
      </c>
      <c r="Z10" s="14">
        <v>72995</v>
      </c>
      <c r="AA10" s="5">
        <f>Z10/W10</f>
        <v>0.99518732617112937</v>
      </c>
      <c r="AB10" s="8">
        <v>123554</v>
      </c>
      <c r="AC10" s="7">
        <v>98004</v>
      </c>
      <c r="AD10" s="4">
        <f>AE10-AC10</f>
        <v>25354</v>
      </c>
      <c r="AE10" s="14">
        <v>123358</v>
      </c>
      <c r="AF10" s="5">
        <f>AE10/AB10</f>
        <v>0.99841364909270436</v>
      </c>
      <c r="AG10" s="8">
        <v>71950</v>
      </c>
      <c r="AH10" s="7">
        <v>56948</v>
      </c>
      <c r="AI10" s="4">
        <f>AJ10-AH10</f>
        <v>15073</v>
      </c>
      <c r="AJ10" s="14">
        <v>72021</v>
      </c>
      <c r="AK10" s="5">
        <f>AJ10/AG10</f>
        <v>1.0009867963863794</v>
      </c>
      <c r="AL10" s="8">
        <v>73532</v>
      </c>
      <c r="AM10" s="7">
        <v>58535</v>
      </c>
      <c r="AN10" s="4">
        <f>AO10-AM10</f>
        <v>14458</v>
      </c>
      <c r="AO10" s="14">
        <v>72993</v>
      </c>
      <c r="AP10" s="5">
        <f>AO10/AL10</f>
        <v>0.99266985802099761</v>
      </c>
      <c r="AQ10" s="8">
        <v>125499</v>
      </c>
      <c r="AR10" s="7">
        <v>103639</v>
      </c>
      <c r="AS10" s="4">
        <f>AT10-AR10</f>
        <v>22115</v>
      </c>
      <c r="AT10" s="14">
        <v>125754</v>
      </c>
      <c r="AU10" s="5">
        <f>AT10/AQ10</f>
        <v>1.0020318887003083</v>
      </c>
      <c r="AV10" s="8">
        <v>72481</v>
      </c>
      <c r="AW10" s="7">
        <v>58372</v>
      </c>
      <c r="AX10" s="4">
        <f>AY10-AW10</f>
        <v>14013</v>
      </c>
      <c r="AY10" s="14">
        <v>72385</v>
      </c>
      <c r="AZ10" s="5">
        <f>AY10/AV10</f>
        <v>0.99867551496254192</v>
      </c>
      <c r="BA10" s="8">
        <v>73790</v>
      </c>
      <c r="BB10" s="7">
        <v>60154</v>
      </c>
      <c r="BC10" s="4">
        <f>BD10-BB10</f>
        <v>13155</v>
      </c>
      <c r="BD10" s="14">
        <v>73309</v>
      </c>
      <c r="BE10" s="5">
        <f>BD10/BA10</f>
        <v>0.99348150155847681</v>
      </c>
      <c r="BF10" s="8">
        <v>128129</v>
      </c>
      <c r="BG10" s="7">
        <v>97200</v>
      </c>
      <c r="BH10" s="4">
        <f>BI10-BG10</f>
        <v>30714</v>
      </c>
      <c r="BI10" s="14">
        <v>127914</v>
      </c>
      <c r="BJ10" s="5">
        <f>BI10/BF10</f>
        <v>0.99832200360574108</v>
      </c>
    </row>
    <row r="11" spans="1:62" x14ac:dyDescent="0.3">
      <c r="A11" s="18">
        <v>2</v>
      </c>
      <c r="B11" s="3" t="s">
        <v>7</v>
      </c>
      <c r="C11" s="8">
        <v>44514</v>
      </c>
      <c r="D11" s="7">
        <v>36718</v>
      </c>
      <c r="E11" s="4">
        <f t="shared" ref="E11:E47" si="0">F11-D11</f>
        <v>8356</v>
      </c>
      <c r="F11" s="14">
        <v>45074</v>
      </c>
      <c r="G11" s="5">
        <f t="shared" ref="G11:G33" si="1">F11/C11</f>
        <v>1.0125803118120142</v>
      </c>
      <c r="H11" s="8">
        <v>46110</v>
      </c>
      <c r="I11" s="7">
        <v>37682</v>
      </c>
      <c r="J11" s="4">
        <f t="shared" ref="J11:J33" si="2">K11-I11</f>
        <v>8441</v>
      </c>
      <c r="K11" s="14">
        <v>46123</v>
      </c>
      <c r="L11" s="5">
        <f t="shared" ref="L11:L33" si="3">K11/H11</f>
        <v>1.0002819345044458</v>
      </c>
      <c r="M11" s="8">
        <v>102242</v>
      </c>
      <c r="N11" s="7">
        <v>84466</v>
      </c>
      <c r="O11" s="4">
        <f t="shared" ref="O11:O33" si="4">P11-N11</f>
        <v>17902</v>
      </c>
      <c r="P11" s="14">
        <v>102368</v>
      </c>
      <c r="Q11" s="5">
        <f t="shared" ref="Q11:Q33" si="5">P11/M11</f>
        <v>1.0012323702587977</v>
      </c>
      <c r="R11" s="8">
        <v>44890</v>
      </c>
      <c r="S11" s="7">
        <v>36437</v>
      </c>
      <c r="T11" s="4">
        <f t="shared" ref="T11:T33" si="6">U11-S11</f>
        <v>8661</v>
      </c>
      <c r="U11" s="14">
        <v>45098</v>
      </c>
      <c r="V11" s="5">
        <f t="shared" ref="V11:V33" si="7">U11/R11</f>
        <v>1.0046335486745377</v>
      </c>
      <c r="W11" s="8">
        <v>46425</v>
      </c>
      <c r="X11" s="7">
        <v>37204</v>
      </c>
      <c r="Y11" s="4">
        <f t="shared" ref="Y11:Y33" si="8">Z11-X11</f>
        <v>8821</v>
      </c>
      <c r="Z11" s="14">
        <v>46025</v>
      </c>
      <c r="AA11" s="5">
        <f t="shared" ref="AA11:AA33" si="9">Z11/W11</f>
        <v>0.99138395261173939</v>
      </c>
      <c r="AB11" s="8">
        <v>103964</v>
      </c>
      <c r="AC11" s="7">
        <v>86885</v>
      </c>
      <c r="AD11" s="4">
        <f t="shared" ref="AD11:AD33" si="10">AE11-AC11</f>
        <v>17256</v>
      </c>
      <c r="AE11" s="14">
        <v>104141</v>
      </c>
      <c r="AF11" s="5">
        <f t="shared" ref="AF11:AF33" si="11">AE11/AB11</f>
        <v>1.0017025124081413</v>
      </c>
      <c r="AG11" s="8">
        <v>45569</v>
      </c>
      <c r="AH11" s="7">
        <v>36989</v>
      </c>
      <c r="AI11" s="4">
        <f t="shared" ref="AI11:AI33" si="12">AJ11-AH11</f>
        <v>8691</v>
      </c>
      <c r="AJ11" s="14">
        <v>45680</v>
      </c>
      <c r="AK11" s="5">
        <f t="shared" ref="AK11:AK33" si="13">AJ11/AG11</f>
        <v>1.0024358664881827</v>
      </c>
      <c r="AL11" s="8">
        <v>46951</v>
      </c>
      <c r="AM11" s="7">
        <v>38585</v>
      </c>
      <c r="AN11" s="4">
        <f t="shared" ref="AN11:AN33" si="14">AO11-AM11</f>
        <v>7791</v>
      </c>
      <c r="AO11" s="14">
        <v>46376</v>
      </c>
      <c r="AP11" s="5">
        <f t="shared" ref="AP11:AP33" si="15">AO11/AL11</f>
        <v>0.98775318949543145</v>
      </c>
      <c r="AQ11" s="8">
        <v>105644</v>
      </c>
      <c r="AR11" s="7">
        <v>90714</v>
      </c>
      <c r="AS11" s="4">
        <f t="shared" ref="AS11:AS33" si="16">AT11-AR11</f>
        <v>15147</v>
      </c>
      <c r="AT11" s="14">
        <v>105861</v>
      </c>
      <c r="AU11" s="5">
        <f t="shared" ref="AU11:AU33" si="17">AT11/AQ11</f>
        <v>1.002054068380599</v>
      </c>
      <c r="AV11" s="8">
        <v>46072</v>
      </c>
      <c r="AW11" s="7">
        <v>38650</v>
      </c>
      <c r="AX11" s="4">
        <f t="shared" ref="AX11:AX33" si="18">AY11-AW11</f>
        <v>7558</v>
      </c>
      <c r="AY11" s="14">
        <v>46208</v>
      </c>
      <c r="AZ11" s="5">
        <f t="shared" ref="AZ11:AZ33" si="19">AY11/AV11</f>
        <v>1.002951901371766</v>
      </c>
      <c r="BA11" s="8">
        <v>47252</v>
      </c>
      <c r="BB11" s="7">
        <v>39815</v>
      </c>
      <c r="BC11" s="4">
        <f t="shared" ref="BC11:BC33" si="20">BD11-BB11</f>
        <v>7193</v>
      </c>
      <c r="BD11" s="14">
        <v>47008</v>
      </c>
      <c r="BE11" s="5">
        <f t="shared" ref="BE11:BE33" si="21">BD11/BA11</f>
        <v>0.99483619740963347</v>
      </c>
      <c r="BF11" s="8">
        <v>107665</v>
      </c>
      <c r="BG11" s="7">
        <v>87890</v>
      </c>
      <c r="BH11" s="4">
        <f t="shared" ref="BH11:BH33" si="22">BI11-BG11</f>
        <v>19659</v>
      </c>
      <c r="BI11" s="14">
        <v>107549</v>
      </c>
      <c r="BJ11" s="5">
        <f t="shared" ref="BJ11:BJ33" si="23">BI11/BF11</f>
        <v>0.99892258394092792</v>
      </c>
    </row>
    <row r="12" spans="1:62" x14ac:dyDescent="0.3">
      <c r="A12" s="18">
        <v>3</v>
      </c>
      <c r="B12" s="3" t="s">
        <v>8</v>
      </c>
      <c r="C12" s="8">
        <v>165970</v>
      </c>
      <c r="D12" s="7">
        <v>141211</v>
      </c>
      <c r="E12" s="4">
        <f t="shared" si="0"/>
        <v>24313</v>
      </c>
      <c r="F12" s="14">
        <v>165524</v>
      </c>
      <c r="G12" s="5">
        <f t="shared" si="1"/>
        <v>0.99731276736759655</v>
      </c>
      <c r="H12" s="8">
        <v>170538</v>
      </c>
      <c r="I12" s="7">
        <v>143825</v>
      </c>
      <c r="J12" s="4">
        <f t="shared" si="2"/>
        <v>24753</v>
      </c>
      <c r="K12" s="14">
        <v>168578</v>
      </c>
      <c r="L12" s="5">
        <f t="shared" si="3"/>
        <v>0.98850696032555796</v>
      </c>
      <c r="M12" s="8">
        <v>344875</v>
      </c>
      <c r="N12" s="7">
        <v>289002</v>
      </c>
      <c r="O12" s="4">
        <f t="shared" si="4"/>
        <v>54206</v>
      </c>
      <c r="P12" s="14">
        <v>343208</v>
      </c>
      <c r="Q12" s="5">
        <f t="shared" si="5"/>
        <v>0.99516636462486407</v>
      </c>
      <c r="R12" s="8">
        <v>167705</v>
      </c>
      <c r="S12" s="7">
        <v>140142</v>
      </c>
      <c r="T12" s="4">
        <f t="shared" si="6"/>
        <v>27014</v>
      </c>
      <c r="U12" s="14">
        <v>167156</v>
      </c>
      <c r="V12" s="5">
        <f t="shared" si="7"/>
        <v>0.9967263945618795</v>
      </c>
      <c r="W12" s="8">
        <v>171864</v>
      </c>
      <c r="X12" s="7">
        <v>142458</v>
      </c>
      <c r="Y12" s="4">
        <f t="shared" si="8"/>
        <v>27614</v>
      </c>
      <c r="Z12" s="14">
        <v>170072</v>
      </c>
      <c r="AA12" s="5">
        <f t="shared" si="9"/>
        <v>0.98957315086347342</v>
      </c>
      <c r="AB12" s="8">
        <v>349048</v>
      </c>
      <c r="AC12" s="7">
        <v>289469</v>
      </c>
      <c r="AD12" s="4">
        <f t="shared" si="10"/>
        <v>58565</v>
      </c>
      <c r="AE12" s="14">
        <v>348034</v>
      </c>
      <c r="AF12" s="5">
        <f t="shared" si="11"/>
        <v>0.99709495542160387</v>
      </c>
      <c r="AG12" s="8">
        <v>170526</v>
      </c>
      <c r="AH12" s="7">
        <v>142444</v>
      </c>
      <c r="AI12" s="4">
        <f t="shared" si="12"/>
        <v>27750</v>
      </c>
      <c r="AJ12" s="14">
        <v>170194</v>
      </c>
      <c r="AK12" s="5">
        <f t="shared" si="13"/>
        <v>0.9980530828143509</v>
      </c>
      <c r="AL12" s="8">
        <v>174892</v>
      </c>
      <c r="AM12" s="7">
        <v>147326</v>
      </c>
      <c r="AN12" s="4">
        <f t="shared" si="14"/>
        <v>25084</v>
      </c>
      <c r="AO12" s="14">
        <v>172410</v>
      </c>
      <c r="AP12" s="5">
        <f t="shared" si="15"/>
        <v>0.9858083846030693</v>
      </c>
      <c r="AQ12" s="8">
        <v>353589</v>
      </c>
      <c r="AR12" s="7">
        <v>301910</v>
      </c>
      <c r="AS12" s="4">
        <f t="shared" si="16"/>
        <v>50902</v>
      </c>
      <c r="AT12" s="14">
        <v>352812</v>
      </c>
      <c r="AU12" s="5">
        <f t="shared" si="17"/>
        <v>0.99780253344985281</v>
      </c>
      <c r="AV12" s="8">
        <v>172980</v>
      </c>
      <c r="AW12" s="7">
        <v>147717</v>
      </c>
      <c r="AX12" s="4">
        <f t="shared" si="18"/>
        <v>24634</v>
      </c>
      <c r="AY12" s="14">
        <v>172351</v>
      </c>
      <c r="AZ12" s="5">
        <f t="shared" si="19"/>
        <v>0.99636374147300266</v>
      </c>
      <c r="BA12" s="8">
        <v>177212</v>
      </c>
      <c r="BB12" s="7">
        <v>150751</v>
      </c>
      <c r="BC12" s="4">
        <f t="shared" si="20"/>
        <v>24048</v>
      </c>
      <c r="BD12" s="14">
        <v>174799</v>
      </c>
      <c r="BE12" s="5">
        <f t="shared" si="21"/>
        <v>0.98638354061801681</v>
      </c>
      <c r="BF12" s="8">
        <v>359260</v>
      </c>
      <c r="BG12" s="7">
        <v>291706</v>
      </c>
      <c r="BH12" s="4">
        <f t="shared" si="22"/>
        <v>65722</v>
      </c>
      <c r="BI12" s="14">
        <v>357428</v>
      </c>
      <c r="BJ12" s="5">
        <f t="shared" si="23"/>
        <v>0.99490062907086785</v>
      </c>
    </row>
    <row r="13" spans="1:62" x14ac:dyDescent="0.3">
      <c r="A13" s="18">
        <v>4</v>
      </c>
      <c r="B13" s="3" t="s">
        <v>9</v>
      </c>
      <c r="C13" s="8">
        <v>16508</v>
      </c>
      <c r="D13" s="7">
        <v>14192</v>
      </c>
      <c r="E13" s="4">
        <f t="shared" si="0"/>
        <v>2407</v>
      </c>
      <c r="F13" s="14">
        <v>16599</v>
      </c>
      <c r="G13" s="5">
        <f t="shared" si="1"/>
        <v>1.0055124787981584</v>
      </c>
      <c r="H13" s="8">
        <v>16836</v>
      </c>
      <c r="I13" s="7">
        <v>14405</v>
      </c>
      <c r="J13" s="4">
        <f t="shared" si="2"/>
        <v>2389</v>
      </c>
      <c r="K13" s="14">
        <v>16794</v>
      </c>
      <c r="L13" s="5">
        <f t="shared" si="3"/>
        <v>0.9975053456878118</v>
      </c>
      <c r="M13" s="8">
        <v>27790</v>
      </c>
      <c r="N13" s="7">
        <v>23287</v>
      </c>
      <c r="O13" s="4">
        <f t="shared" si="4"/>
        <v>4529</v>
      </c>
      <c r="P13" s="14">
        <v>27816</v>
      </c>
      <c r="Q13" s="5">
        <f t="shared" si="5"/>
        <v>1.0009355883411299</v>
      </c>
      <c r="R13" s="8">
        <v>16731</v>
      </c>
      <c r="S13" s="7">
        <v>14066</v>
      </c>
      <c r="T13" s="4">
        <f t="shared" si="6"/>
        <v>2682</v>
      </c>
      <c r="U13" s="14">
        <v>16748</v>
      </c>
      <c r="V13" s="5">
        <f t="shared" si="7"/>
        <v>1.0010160779391548</v>
      </c>
      <c r="W13" s="8">
        <v>16980</v>
      </c>
      <c r="X13" s="7">
        <v>14392</v>
      </c>
      <c r="Y13" s="4">
        <f t="shared" si="8"/>
        <v>2583</v>
      </c>
      <c r="Z13" s="14">
        <v>16975</v>
      </c>
      <c r="AA13" s="5">
        <f t="shared" si="9"/>
        <v>0.99970553592461719</v>
      </c>
      <c r="AB13" s="8">
        <v>28086</v>
      </c>
      <c r="AC13" s="7">
        <v>23262</v>
      </c>
      <c r="AD13" s="4">
        <f t="shared" si="10"/>
        <v>4831</v>
      </c>
      <c r="AE13" s="14">
        <v>28093</v>
      </c>
      <c r="AF13" s="5">
        <f t="shared" si="11"/>
        <v>1.0002492344940539</v>
      </c>
      <c r="AG13" s="8">
        <v>17018</v>
      </c>
      <c r="AH13" s="7">
        <v>14472</v>
      </c>
      <c r="AI13" s="4">
        <f t="shared" si="12"/>
        <v>2732</v>
      </c>
      <c r="AJ13" s="14">
        <v>17204</v>
      </c>
      <c r="AK13" s="5">
        <f t="shared" si="13"/>
        <v>1.0109296039487601</v>
      </c>
      <c r="AL13" s="8">
        <v>17260</v>
      </c>
      <c r="AM13" s="7">
        <v>14856</v>
      </c>
      <c r="AN13" s="4">
        <f t="shared" si="14"/>
        <v>2429</v>
      </c>
      <c r="AO13" s="14">
        <v>17285</v>
      </c>
      <c r="AP13" s="5">
        <f t="shared" si="15"/>
        <v>1.0014484356894553</v>
      </c>
      <c r="AQ13" s="8">
        <v>28368</v>
      </c>
      <c r="AR13" s="7">
        <v>24427</v>
      </c>
      <c r="AS13" s="4">
        <f t="shared" si="16"/>
        <v>4018</v>
      </c>
      <c r="AT13" s="14">
        <v>28445</v>
      </c>
      <c r="AU13" s="5">
        <f t="shared" si="17"/>
        <v>1.002714326001128</v>
      </c>
      <c r="AV13" s="8">
        <v>17209</v>
      </c>
      <c r="AW13" s="7">
        <v>14995</v>
      </c>
      <c r="AX13" s="4">
        <f t="shared" si="18"/>
        <v>2316</v>
      </c>
      <c r="AY13" s="14">
        <v>17311</v>
      </c>
      <c r="AZ13" s="5">
        <f t="shared" si="19"/>
        <v>1.0059271311523039</v>
      </c>
      <c r="BA13" s="8">
        <v>17487</v>
      </c>
      <c r="BB13" s="7">
        <v>15092</v>
      </c>
      <c r="BC13" s="4">
        <f t="shared" si="20"/>
        <v>2343</v>
      </c>
      <c r="BD13" s="14">
        <v>17435</v>
      </c>
      <c r="BE13" s="5">
        <f t="shared" si="21"/>
        <v>0.99702636244067022</v>
      </c>
      <c r="BF13" s="8">
        <v>28574</v>
      </c>
      <c r="BG13" s="7">
        <v>23743</v>
      </c>
      <c r="BH13" s="4">
        <f t="shared" si="22"/>
        <v>4905</v>
      </c>
      <c r="BI13" s="14">
        <v>28648</v>
      </c>
      <c r="BJ13" s="5">
        <f t="shared" si="23"/>
        <v>1.0025897669209771</v>
      </c>
    </row>
    <row r="14" spans="1:62" x14ac:dyDescent="0.3">
      <c r="A14" s="18">
        <v>5</v>
      </c>
      <c r="B14" s="3" t="s">
        <v>10</v>
      </c>
      <c r="C14" s="8">
        <v>85383</v>
      </c>
      <c r="D14" s="7">
        <v>67159</v>
      </c>
      <c r="E14" s="4">
        <f t="shared" si="0"/>
        <v>18163</v>
      </c>
      <c r="F14" s="14">
        <v>85322</v>
      </c>
      <c r="G14" s="5">
        <f t="shared" si="1"/>
        <v>0.99928557206938151</v>
      </c>
      <c r="H14" s="8">
        <v>88261</v>
      </c>
      <c r="I14" s="7">
        <v>68869</v>
      </c>
      <c r="J14" s="4">
        <f t="shared" si="2"/>
        <v>18276</v>
      </c>
      <c r="K14" s="14">
        <v>87145</v>
      </c>
      <c r="L14" s="5">
        <f t="shared" si="3"/>
        <v>0.98735568371081228</v>
      </c>
      <c r="M14" s="8">
        <v>157146</v>
      </c>
      <c r="N14" s="7">
        <v>123401</v>
      </c>
      <c r="O14" s="4">
        <f t="shared" si="4"/>
        <v>32115</v>
      </c>
      <c r="P14" s="14">
        <v>155516</v>
      </c>
      <c r="Q14" s="5">
        <f t="shared" si="5"/>
        <v>0.98962748017766922</v>
      </c>
      <c r="R14" s="8">
        <v>86469</v>
      </c>
      <c r="S14" s="7">
        <v>67065</v>
      </c>
      <c r="T14" s="4">
        <f t="shared" si="6"/>
        <v>18350</v>
      </c>
      <c r="U14" s="14">
        <v>85415</v>
      </c>
      <c r="V14" s="5">
        <f t="shared" si="7"/>
        <v>0.98781066046791333</v>
      </c>
      <c r="W14" s="8">
        <v>88169</v>
      </c>
      <c r="X14" s="7">
        <v>68708</v>
      </c>
      <c r="Y14" s="4">
        <f t="shared" si="8"/>
        <v>17867</v>
      </c>
      <c r="Z14" s="14">
        <v>86575</v>
      </c>
      <c r="AA14" s="5">
        <f t="shared" si="9"/>
        <v>0.98192108337397499</v>
      </c>
      <c r="AB14" s="8">
        <v>157930</v>
      </c>
      <c r="AC14" s="7">
        <v>123425</v>
      </c>
      <c r="AD14" s="4">
        <f t="shared" si="10"/>
        <v>33766</v>
      </c>
      <c r="AE14" s="14">
        <v>157191</v>
      </c>
      <c r="AF14" s="5">
        <f t="shared" si="11"/>
        <v>0.99532071170771863</v>
      </c>
      <c r="AG14" s="8">
        <v>87312</v>
      </c>
      <c r="AH14" s="7">
        <v>67332</v>
      </c>
      <c r="AI14" s="4">
        <f t="shared" si="12"/>
        <v>19603</v>
      </c>
      <c r="AJ14" s="14">
        <v>86935</v>
      </c>
      <c r="AK14" s="5">
        <f t="shared" si="13"/>
        <v>0.99568215136521898</v>
      </c>
      <c r="AL14" s="8">
        <v>89337</v>
      </c>
      <c r="AM14" s="7">
        <v>70940</v>
      </c>
      <c r="AN14" s="4">
        <f t="shared" si="14"/>
        <v>17005</v>
      </c>
      <c r="AO14" s="14">
        <v>87945</v>
      </c>
      <c r="AP14" s="5">
        <f t="shared" si="15"/>
        <v>0.98441854998488865</v>
      </c>
      <c r="AQ14" s="8">
        <v>160173</v>
      </c>
      <c r="AR14" s="7">
        <v>130441</v>
      </c>
      <c r="AS14" s="4">
        <f t="shared" si="16"/>
        <v>29877</v>
      </c>
      <c r="AT14" s="14">
        <v>160318</v>
      </c>
      <c r="AU14" s="5">
        <f t="shared" si="17"/>
        <v>1.0009052711755415</v>
      </c>
      <c r="AV14" s="8">
        <v>88523</v>
      </c>
      <c r="AW14" s="7">
        <v>71360</v>
      </c>
      <c r="AX14" s="4">
        <f t="shared" si="18"/>
        <v>17237</v>
      </c>
      <c r="AY14" s="14">
        <v>88597</v>
      </c>
      <c r="AZ14" s="5">
        <f t="shared" si="19"/>
        <v>1.0008359409419021</v>
      </c>
      <c r="BA14" s="8">
        <v>90782</v>
      </c>
      <c r="BB14" s="7">
        <v>73581</v>
      </c>
      <c r="BC14" s="4">
        <f t="shared" si="20"/>
        <v>16203</v>
      </c>
      <c r="BD14" s="14">
        <v>89784</v>
      </c>
      <c r="BE14" s="5">
        <f t="shared" si="21"/>
        <v>0.98900663127051613</v>
      </c>
      <c r="BF14" s="8">
        <v>163900</v>
      </c>
      <c r="BG14" s="7">
        <v>123360</v>
      </c>
      <c r="BH14" s="4">
        <f t="shared" si="22"/>
        <v>39505</v>
      </c>
      <c r="BI14" s="14">
        <v>162865</v>
      </c>
      <c r="BJ14" s="5">
        <f t="shared" si="23"/>
        <v>0.99368517388651612</v>
      </c>
    </row>
    <row r="15" spans="1:62" x14ac:dyDescent="0.3">
      <c r="A15" s="18">
        <v>6</v>
      </c>
      <c r="B15" s="3" t="s">
        <v>11</v>
      </c>
      <c r="C15" s="8">
        <v>284262</v>
      </c>
      <c r="D15" s="7">
        <v>234795</v>
      </c>
      <c r="E15" s="4">
        <f t="shared" si="0"/>
        <v>48201</v>
      </c>
      <c r="F15" s="14">
        <v>282996</v>
      </c>
      <c r="G15" s="5">
        <f t="shared" si="1"/>
        <v>0.9955463621588535</v>
      </c>
      <c r="H15" s="8">
        <v>290906</v>
      </c>
      <c r="I15" s="7">
        <v>239596</v>
      </c>
      <c r="J15" s="4">
        <f t="shared" si="2"/>
        <v>47677</v>
      </c>
      <c r="K15" s="14">
        <v>287273</v>
      </c>
      <c r="L15" s="5">
        <f t="shared" si="3"/>
        <v>0.98751142980894169</v>
      </c>
      <c r="M15" s="8">
        <v>490131</v>
      </c>
      <c r="N15" s="7">
        <v>404254</v>
      </c>
      <c r="O15" s="4">
        <f t="shared" si="4"/>
        <v>81161</v>
      </c>
      <c r="P15" s="14">
        <v>485415</v>
      </c>
      <c r="Q15" s="5">
        <f t="shared" si="5"/>
        <v>0.9903780825942452</v>
      </c>
      <c r="R15" s="8">
        <v>287010</v>
      </c>
      <c r="S15" s="7">
        <v>232157</v>
      </c>
      <c r="T15" s="4">
        <f t="shared" si="6"/>
        <v>51981</v>
      </c>
      <c r="U15" s="14">
        <v>284138</v>
      </c>
      <c r="V15" s="5">
        <f t="shared" si="7"/>
        <v>0.98999338002160209</v>
      </c>
      <c r="W15" s="8">
        <v>292338</v>
      </c>
      <c r="X15" s="7">
        <v>238270</v>
      </c>
      <c r="Y15" s="4">
        <f t="shared" si="8"/>
        <v>49402</v>
      </c>
      <c r="Z15" s="14">
        <v>287672</v>
      </c>
      <c r="AA15" s="5">
        <f t="shared" si="9"/>
        <v>0.98403902332231874</v>
      </c>
      <c r="AB15" s="8">
        <v>495688</v>
      </c>
      <c r="AC15" s="7">
        <v>404292</v>
      </c>
      <c r="AD15" s="4">
        <f t="shared" si="10"/>
        <v>86726</v>
      </c>
      <c r="AE15" s="14">
        <v>491018</v>
      </c>
      <c r="AF15" s="5">
        <f t="shared" si="11"/>
        <v>0.99057875114991689</v>
      </c>
      <c r="AG15" s="8">
        <v>292071</v>
      </c>
      <c r="AH15" s="7">
        <v>234918</v>
      </c>
      <c r="AI15" s="4">
        <f t="shared" si="12"/>
        <v>54943</v>
      </c>
      <c r="AJ15" s="14">
        <v>289861</v>
      </c>
      <c r="AK15" s="5">
        <f t="shared" si="13"/>
        <v>0.99243334668625094</v>
      </c>
      <c r="AL15" s="8">
        <v>298411</v>
      </c>
      <c r="AM15" s="7">
        <v>246094</v>
      </c>
      <c r="AN15" s="4">
        <f t="shared" si="14"/>
        <v>47366</v>
      </c>
      <c r="AO15" s="14">
        <v>293460</v>
      </c>
      <c r="AP15" s="5">
        <f t="shared" si="15"/>
        <v>0.9834087885500199</v>
      </c>
      <c r="AQ15" s="8">
        <v>502913</v>
      </c>
      <c r="AR15" s="7">
        <v>423559</v>
      </c>
      <c r="AS15" s="4">
        <f t="shared" si="16"/>
        <v>75303</v>
      </c>
      <c r="AT15" s="14">
        <v>498862</v>
      </c>
      <c r="AU15" s="5">
        <f t="shared" si="17"/>
        <v>0.99194492884455165</v>
      </c>
      <c r="AV15" s="8">
        <v>298012</v>
      </c>
      <c r="AW15" s="7">
        <v>247267</v>
      </c>
      <c r="AX15" s="4">
        <f t="shared" si="18"/>
        <v>47954</v>
      </c>
      <c r="AY15" s="14">
        <v>295221</v>
      </c>
      <c r="AZ15" s="5">
        <f t="shared" si="19"/>
        <v>0.9906346053179067</v>
      </c>
      <c r="BA15" s="8">
        <v>303376</v>
      </c>
      <c r="BB15" s="7">
        <v>253578</v>
      </c>
      <c r="BC15" s="4">
        <f t="shared" si="20"/>
        <v>45522</v>
      </c>
      <c r="BD15" s="14">
        <v>299100</v>
      </c>
      <c r="BE15" s="5">
        <f t="shared" si="21"/>
        <v>0.98590527925742311</v>
      </c>
      <c r="BF15" s="8">
        <v>511329</v>
      </c>
      <c r="BG15" s="7">
        <v>414266</v>
      </c>
      <c r="BH15" s="4">
        <f t="shared" si="22"/>
        <v>92308</v>
      </c>
      <c r="BI15" s="14">
        <v>506574</v>
      </c>
      <c r="BJ15" s="5">
        <f t="shared" si="23"/>
        <v>0.99070070346098105</v>
      </c>
    </row>
    <row r="16" spans="1:62" x14ac:dyDescent="0.3">
      <c r="A16" s="18">
        <v>7</v>
      </c>
      <c r="B16" s="3" t="s">
        <v>12</v>
      </c>
      <c r="C16" s="8">
        <v>430635</v>
      </c>
      <c r="D16" s="7">
        <v>354767</v>
      </c>
      <c r="E16" s="4">
        <f t="shared" si="0"/>
        <v>73122</v>
      </c>
      <c r="F16" s="14">
        <v>427889</v>
      </c>
      <c r="G16" s="5">
        <f t="shared" si="1"/>
        <v>0.99362337013944524</v>
      </c>
      <c r="H16" s="8">
        <v>441093</v>
      </c>
      <c r="I16" s="7">
        <v>358385</v>
      </c>
      <c r="J16" s="4">
        <f t="shared" si="2"/>
        <v>74323</v>
      </c>
      <c r="K16" s="14">
        <v>432708</v>
      </c>
      <c r="L16" s="5">
        <f t="shared" si="3"/>
        <v>0.98099040338432031</v>
      </c>
      <c r="M16" s="8">
        <v>754668</v>
      </c>
      <c r="N16" s="7">
        <v>623970</v>
      </c>
      <c r="O16" s="4">
        <f t="shared" si="4"/>
        <v>125413</v>
      </c>
      <c r="P16" s="14">
        <v>749383</v>
      </c>
      <c r="Q16" s="5">
        <f t="shared" si="5"/>
        <v>0.99299692050014043</v>
      </c>
      <c r="R16" s="8">
        <v>429537</v>
      </c>
      <c r="S16" s="7">
        <v>346250</v>
      </c>
      <c r="T16" s="4">
        <f t="shared" si="6"/>
        <v>78689</v>
      </c>
      <c r="U16" s="14">
        <v>424939</v>
      </c>
      <c r="V16" s="5">
        <f t="shared" si="7"/>
        <v>0.98929545068294467</v>
      </c>
      <c r="W16" s="8">
        <v>433887</v>
      </c>
      <c r="X16" s="7">
        <v>351126</v>
      </c>
      <c r="Y16" s="4">
        <f t="shared" si="8"/>
        <v>76032</v>
      </c>
      <c r="Z16" s="14">
        <v>427158</v>
      </c>
      <c r="AA16" s="5">
        <f t="shared" si="9"/>
        <v>0.98449135373956809</v>
      </c>
      <c r="AB16" s="8">
        <v>753330</v>
      </c>
      <c r="AC16" s="7">
        <v>614205</v>
      </c>
      <c r="AD16" s="4">
        <f t="shared" si="10"/>
        <v>135941</v>
      </c>
      <c r="AE16" s="14">
        <v>750146</v>
      </c>
      <c r="AF16" s="5">
        <f t="shared" si="11"/>
        <v>0.99577343262580809</v>
      </c>
      <c r="AG16" s="8">
        <v>431686</v>
      </c>
      <c r="AH16" s="7">
        <v>344178</v>
      </c>
      <c r="AI16" s="4">
        <f t="shared" si="12"/>
        <v>82803</v>
      </c>
      <c r="AJ16" s="14">
        <v>426981</v>
      </c>
      <c r="AK16" s="5">
        <f t="shared" si="13"/>
        <v>0.98910087424655879</v>
      </c>
      <c r="AL16" s="8">
        <v>438911</v>
      </c>
      <c r="AM16" s="7">
        <v>356581</v>
      </c>
      <c r="AN16" s="4">
        <f t="shared" si="14"/>
        <v>74048</v>
      </c>
      <c r="AO16" s="14">
        <v>430629</v>
      </c>
      <c r="AP16" s="5">
        <f t="shared" si="15"/>
        <v>0.98113057089022604</v>
      </c>
      <c r="AQ16" s="8">
        <v>759875</v>
      </c>
      <c r="AR16" s="7">
        <v>636895</v>
      </c>
      <c r="AS16" s="4">
        <f t="shared" si="16"/>
        <v>120058</v>
      </c>
      <c r="AT16" s="14">
        <v>756953</v>
      </c>
      <c r="AU16" s="5">
        <f t="shared" si="17"/>
        <v>0.99615463069583809</v>
      </c>
      <c r="AV16" s="8">
        <v>437477</v>
      </c>
      <c r="AW16" s="7">
        <v>362477</v>
      </c>
      <c r="AX16" s="4">
        <f t="shared" si="18"/>
        <v>69915</v>
      </c>
      <c r="AY16" s="14">
        <v>432392</v>
      </c>
      <c r="AZ16" s="5">
        <f t="shared" si="19"/>
        <v>0.98837653179481433</v>
      </c>
      <c r="BA16" s="8">
        <v>445887</v>
      </c>
      <c r="BB16" s="7">
        <v>366665</v>
      </c>
      <c r="BC16" s="4">
        <f t="shared" si="20"/>
        <v>70549</v>
      </c>
      <c r="BD16" s="14">
        <v>437214</v>
      </c>
      <c r="BE16" s="5">
        <f t="shared" si="21"/>
        <v>0.98054888346150482</v>
      </c>
      <c r="BF16" s="8">
        <v>770088</v>
      </c>
      <c r="BG16" s="7">
        <v>623555</v>
      </c>
      <c r="BH16" s="4">
        <f t="shared" si="22"/>
        <v>139470</v>
      </c>
      <c r="BI16" s="14">
        <v>763025</v>
      </c>
      <c r="BJ16" s="5">
        <f t="shared" si="23"/>
        <v>0.99082832091916773</v>
      </c>
    </row>
    <row r="17" spans="1:62" x14ac:dyDescent="0.3">
      <c r="A17" s="18">
        <v>8</v>
      </c>
      <c r="B17" s="3" t="s">
        <v>13</v>
      </c>
      <c r="C17" s="8">
        <v>302574</v>
      </c>
      <c r="D17" s="7">
        <v>251018</v>
      </c>
      <c r="E17" s="4">
        <f t="shared" si="0"/>
        <v>52712</v>
      </c>
      <c r="F17" s="14">
        <v>303730</v>
      </c>
      <c r="G17" s="5">
        <f t="shared" si="1"/>
        <v>1.0038205529886903</v>
      </c>
      <c r="H17" s="8">
        <v>314962</v>
      </c>
      <c r="I17" s="7">
        <v>258627</v>
      </c>
      <c r="J17" s="4">
        <f t="shared" si="2"/>
        <v>52697</v>
      </c>
      <c r="K17" s="14">
        <v>311324</v>
      </c>
      <c r="L17" s="5">
        <f t="shared" si="3"/>
        <v>0.98844940024510897</v>
      </c>
      <c r="M17" s="8">
        <v>695415</v>
      </c>
      <c r="N17" s="7">
        <v>570661</v>
      </c>
      <c r="O17" s="4">
        <f t="shared" si="4"/>
        <v>119330</v>
      </c>
      <c r="P17" s="14">
        <v>689991</v>
      </c>
      <c r="Q17" s="5">
        <f t="shared" si="5"/>
        <v>0.99220034080369279</v>
      </c>
      <c r="R17" s="8">
        <v>305324</v>
      </c>
      <c r="S17" s="7">
        <v>248668</v>
      </c>
      <c r="T17" s="4">
        <f t="shared" si="6"/>
        <v>55836</v>
      </c>
      <c r="U17" s="14">
        <v>304504</v>
      </c>
      <c r="V17" s="5">
        <f t="shared" si="7"/>
        <v>0.99731432838558387</v>
      </c>
      <c r="W17" s="8">
        <v>316716</v>
      </c>
      <c r="X17" s="7">
        <v>254712</v>
      </c>
      <c r="Y17" s="4">
        <f t="shared" si="8"/>
        <v>55824</v>
      </c>
      <c r="Z17" s="14">
        <v>310536</v>
      </c>
      <c r="AA17" s="5">
        <f t="shared" si="9"/>
        <v>0.980487250407305</v>
      </c>
      <c r="AB17" s="8">
        <v>703511</v>
      </c>
      <c r="AC17" s="7">
        <v>567284</v>
      </c>
      <c r="AD17" s="4">
        <f t="shared" si="10"/>
        <v>130839</v>
      </c>
      <c r="AE17" s="14">
        <v>698123</v>
      </c>
      <c r="AF17" s="5">
        <f t="shared" si="11"/>
        <v>0.99234127113861759</v>
      </c>
      <c r="AG17" s="8">
        <v>311084</v>
      </c>
      <c r="AH17" s="7">
        <v>247679</v>
      </c>
      <c r="AI17" s="4">
        <f t="shared" si="12"/>
        <v>63052</v>
      </c>
      <c r="AJ17" s="14">
        <v>310731</v>
      </c>
      <c r="AK17" s="5">
        <f t="shared" si="13"/>
        <v>0.99886525825821959</v>
      </c>
      <c r="AL17" s="8">
        <v>323550</v>
      </c>
      <c r="AM17" s="7">
        <v>265071</v>
      </c>
      <c r="AN17" s="4">
        <f t="shared" si="14"/>
        <v>52122</v>
      </c>
      <c r="AO17" s="14">
        <v>317193</v>
      </c>
      <c r="AP17" s="5">
        <f t="shared" si="15"/>
        <v>0.98035234121464998</v>
      </c>
      <c r="AQ17" s="8">
        <v>714257</v>
      </c>
      <c r="AR17" s="7">
        <v>599948</v>
      </c>
      <c r="AS17" s="4">
        <f t="shared" si="16"/>
        <v>112913</v>
      </c>
      <c r="AT17" s="14">
        <v>712861</v>
      </c>
      <c r="AU17" s="5">
        <f t="shared" si="17"/>
        <v>0.9980455214299615</v>
      </c>
      <c r="AV17" s="8">
        <v>316308</v>
      </c>
      <c r="AW17" s="7">
        <v>265332</v>
      </c>
      <c r="AX17" s="4">
        <f t="shared" si="18"/>
        <v>51125</v>
      </c>
      <c r="AY17" s="14">
        <v>316457</v>
      </c>
      <c r="AZ17" s="5">
        <f t="shared" si="19"/>
        <v>1.0004710598530546</v>
      </c>
      <c r="BA17" s="8">
        <v>328067</v>
      </c>
      <c r="BB17" s="7">
        <v>275554</v>
      </c>
      <c r="BC17" s="4">
        <f t="shared" si="20"/>
        <v>47184</v>
      </c>
      <c r="BD17" s="14">
        <v>322738</v>
      </c>
      <c r="BE17" s="5">
        <f t="shared" si="21"/>
        <v>0.98375636683970047</v>
      </c>
      <c r="BF17" s="8">
        <v>726752</v>
      </c>
      <c r="BG17" s="7">
        <v>580052</v>
      </c>
      <c r="BH17" s="4">
        <f t="shared" si="22"/>
        <v>143913</v>
      </c>
      <c r="BI17" s="14">
        <v>723965</v>
      </c>
      <c r="BJ17" s="5">
        <f t="shared" si="23"/>
        <v>0.99616512923253053</v>
      </c>
    </row>
    <row r="18" spans="1:62" x14ac:dyDescent="0.3">
      <c r="A18" s="18">
        <v>9</v>
      </c>
      <c r="B18" s="3" t="s">
        <v>14</v>
      </c>
      <c r="C18" s="8">
        <v>921236</v>
      </c>
      <c r="D18" s="7">
        <v>752631</v>
      </c>
      <c r="E18" s="4">
        <f t="shared" si="0"/>
        <v>166645</v>
      </c>
      <c r="F18" s="14">
        <v>919276</v>
      </c>
      <c r="G18" s="5">
        <f t="shared" si="1"/>
        <v>0.99787242357007322</v>
      </c>
      <c r="H18" s="8">
        <v>943261</v>
      </c>
      <c r="I18" s="7">
        <v>769428</v>
      </c>
      <c r="J18" s="4">
        <f t="shared" si="2"/>
        <v>163854</v>
      </c>
      <c r="K18" s="14">
        <v>933282</v>
      </c>
      <c r="L18" s="5">
        <f t="shared" si="3"/>
        <v>0.98942074356938325</v>
      </c>
      <c r="M18" s="8">
        <v>1440086</v>
      </c>
      <c r="N18" s="7">
        <v>1175058</v>
      </c>
      <c r="O18" s="4">
        <f t="shared" si="4"/>
        <v>251769</v>
      </c>
      <c r="P18" s="14">
        <v>1426827</v>
      </c>
      <c r="Q18" s="5">
        <f t="shared" si="5"/>
        <v>0.99079291097892763</v>
      </c>
      <c r="R18" s="8">
        <v>938677</v>
      </c>
      <c r="S18" s="7">
        <v>758668</v>
      </c>
      <c r="T18" s="4">
        <f t="shared" si="6"/>
        <v>170693</v>
      </c>
      <c r="U18" s="14">
        <v>929361</v>
      </c>
      <c r="V18" s="5">
        <f t="shared" si="7"/>
        <v>0.99007539334616701</v>
      </c>
      <c r="W18" s="8">
        <v>958009</v>
      </c>
      <c r="X18" s="7">
        <v>774571</v>
      </c>
      <c r="Y18" s="4">
        <f t="shared" si="8"/>
        <v>169101</v>
      </c>
      <c r="Z18" s="14">
        <v>943672</v>
      </c>
      <c r="AA18" s="5">
        <f t="shared" si="9"/>
        <v>0.98503458735773886</v>
      </c>
      <c r="AB18" s="8">
        <v>1463397</v>
      </c>
      <c r="AC18" s="7">
        <v>1176992</v>
      </c>
      <c r="AD18" s="4">
        <f t="shared" si="10"/>
        <v>274239</v>
      </c>
      <c r="AE18" s="14">
        <v>1451231</v>
      </c>
      <c r="AF18" s="5">
        <f t="shared" si="11"/>
        <v>0.99168646648858783</v>
      </c>
      <c r="AG18" s="8">
        <v>959088</v>
      </c>
      <c r="AH18" s="7">
        <v>756853</v>
      </c>
      <c r="AI18" s="4">
        <f t="shared" si="12"/>
        <v>195157</v>
      </c>
      <c r="AJ18" s="14">
        <v>952010</v>
      </c>
      <c r="AK18" s="5">
        <f t="shared" si="13"/>
        <v>0.99262007240211536</v>
      </c>
      <c r="AL18" s="8">
        <v>980581</v>
      </c>
      <c r="AM18" s="7">
        <v>797542</v>
      </c>
      <c r="AN18" s="4">
        <f t="shared" si="14"/>
        <v>166854</v>
      </c>
      <c r="AO18" s="14">
        <v>964396</v>
      </c>
      <c r="AP18" s="5">
        <f t="shared" si="15"/>
        <v>0.9834944792933985</v>
      </c>
      <c r="AQ18" s="8">
        <v>1490329</v>
      </c>
      <c r="AR18" s="7">
        <v>1236476</v>
      </c>
      <c r="AS18" s="4">
        <f t="shared" si="16"/>
        <v>246160</v>
      </c>
      <c r="AT18" s="14">
        <v>1482636</v>
      </c>
      <c r="AU18" s="5">
        <f t="shared" si="17"/>
        <v>0.99483805253739277</v>
      </c>
      <c r="AV18" s="8">
        <v>983291</v>
      </c>
      <c r="AW18" s="7">
        <v>805756</v>
      </c>
      <c r="AX18" s="4">
        <f t="shared" si="18"/>
        <v>170185</v>
      </c>
      <c r="AY18" s="14">
        <v>975941</v>
      </c>
      <c r="AZ18" s="5">
        <f t="shared" si="19"/>
        <v>0.99252510192811694</v>
      </c>
      <c r="BA18" s="8">
        <v>1002255</v>
      </c>
      <c r="BB18" s="7">
        <v>827601</v>
      </c>
      <c r="BC18" s="4">
        <f t="shared" si="20"/>
        <v>160704</v>
      </c>
      <c r="BD18" s="14">
        <v>988305</v>
      </c>
      <c r="BE18" s="5">
        <f t="shared" si="21"/>
        <v>0.9860813864735023</v>
      </c>
      <c r="BF18" s="8">
        <v>1522890</v>
      </c>
      <c r="BG18" s="7">
        <v>1179741</v>
      </c>
      <c r="BH18" s="4">
        <f t="shared" si="22"/>
        <v>329387</v>
      </c>
      <c r="BI18" s="14">
        <v>1509128</v>
      </c>
      <c r="BJ18" s="5">
        <f t="shared" si="23"/>
        <v>0.99096323437674416</v>
      </c>
    </row>
    <row r="19" spans="1:62" x14ac:dyDescent="0.3">
      <c r="A19" s="19">
        <v>10</v>
      </c>
      <c r="B19" s="3" t="s">
        <v>15</v>
      </c>
      <c r="C19" s="8">
        <v>275195</v>
      </c>
      <c r="D19" s="7">
        <v>207743</v>
      </c>
      <c r="E19" s="4">
        <f t="shared" si="0"/>
        <v>63748</v>
      </c>
      <c r="F19" s="14">
        <v>271491</v>
      </c>
      <c r="G19" s="5">
        <f t="shared" si="1"/>
        <v>0.9865404531332328</v>
      </c>
      <c r="H19" s="8">
        <v>285702</v>
      </c>
      <c r="I19" s="7">
        <v>216762</v>
      </c>
      <c r="J19" s="4">
        <f t="shared" si="2"/>
        <v>60463</v>
      </c>
      <c r="K19" s="14">
        <v>277225</v>
      </c>
      <c r="L19" s="5">
        <f t="shared" si="3"/>
        <v>0.97032922415663869</v>
      </c>
      <c r="M19" s="8">
        <v>479092</v>
      </c>
      <c r="N19" s="7">
        <v>374905</v>
      </c>
      <c r="O19" s="4">
        <f t="shared" si="4"/>
        <v>93795</v>
      </c>
      <c r="P19" s="14">
        <v>468700</v>
      </c>
      <c r="Q19" s="5">
        <f t="shared" si="5"/>
        <v>0.97830896779741683</v>
      </c>
      <c r="R19" s="8">
        <v>279649</v>
      </c>
      <c r="S19" s="7">
        <v>215044</v>
      </c>
      <c r="T19" s="4">
        <f t="shared" si="6"/>
        <v>57758</v>
      </c>
      <c r="U19" s="14">
        <v>272802</v>
      </c>
      <c r="V19" s="5">
        <f t="shared" si="7"/>
        <v>0.97551573579737461</v>
      </c>
      <c r="W19" s="8">
        <v>287758</v>
      </c>
      <c r="X19" s="7">
        <v>217420</v>
      </c>
      <c r="Y19" s="4">
        <f t="shared" si="8"/>
        <v>59236</v>
      </c>
      <c r="Z19" s="14">
        <v>276656</v>
      </c>
      <c r="AA19" s="5">
        <f t="shared" si="9"/>
        <v>0.96141897010682587</v>
      </c>
      <c r="AB19" s="8">
        <v>485015</v>
      </c>
      <c r="AC19" s="7">
        <v>373186</v>
      </c>
      <c r="AD19" s="4">
        <f t="shared" si="10"/>
        <v>101811</v>
      </c>
      <c r="AE19" s="14">
        <v>474997</v>
      </c>
      <c r="AF19" s="5">
        <f t="shared" si="11"/>
        <v>0.97934496871230792</v>
      </c>
      <c r="AG19" s="8">
        <v>283525</v>
      </c>
      <c r="AH19" s="7">
        <v>202103</v>
      </c>
      <c r="AI19" s="4">
        <f t="shared" si="12"/>
        <v>74630</v>
      </c>
      <c r="AJ19" s="14">
        <v>276733</v>
      </c>
      <c r="AK19" s="5">
        <f t="shared" si="13"/>
        <v>0.97604444052552686</v>
      </c>
      <c r="AL19" s="8">
        <v>295027</v>
      </c>
      <c r="AM19" s="7">
        <v>224078</v>
      </c>
      <c r="AN19" s="4">
        <f t="shared" si="14"/>
        <v>58101</v>
      </c>
      <c r="AO19" s="14">
        <v>282179</v>
      </c>
      <c r="AP19" s="5">
        <f t="shared" si="15"/>
        <v>0.95645144342721178</v>
      </c>
      <c r="AQ19" s="8">
        <v>494059</v>
      </c>
      <c r="AR19" s="7">
        <v>394788</v>
      </c>
      <c r="AS19" s="4">
        <f t="shared" si="16"/>
        <v>91626</v>
      </c>
      <c r="AT19" s="14">
        <v>486414</v>
      </c>
      <c r="AU19" s="5">
        <f t="shared" si="17"/>
        <v>0.98452613959061575</v>
      </c>
      <c r="AV19" s="8">
        <v>287237</v>
      </c>
      <c r="AW19" s="7">
        <v>226750</v>
      </c>
      <c r="AX19" s="4">
        <f t="shared" si="18"/>
        <v>56668</v>
      </c>
      <c r="AY19" s="14">
        <v>283418</v>
      </c>
      <c r="AZ19" s="5">
        <f t="shared" si="19"/>
        <v>0.98670435911808019</v>
      </c>
      <c r="BA19" s="8">
        <v>298081</v>
      </c>
      <c r="BB19" s="7">
        <v>232511</v>
      </c>
      <c r="BC19" s="4">
        <f t="shared" si="20"/>
        <v>55023</v>
      </c>
      <c r="BD19" s="14">
        <v>287534</v>
      </c>
      <c r="BE19" s="5">
        <f t="shared" si="21"/>
        <v>0.96461700007716022</v>
      </c>
      <c r="BF19" s="8">
        <v>503654</v>
      </c>
      <c r="BG19" s="7">
        <v>360396</v>
      </c>
      <c r="BH19" s="4">
        <f t="shared" si="22"/>
        <v>132384</v>
      </c>
      <c r="BI19" s="14">
        <v>492780</v>
      </c>
      <c r="BJ19" s="5">
        <f t="shared" si="23"/>
        <v>0.97840978131812717</v>
      </c>
    </row>
    <row r="20" spans="1:62" x14ac:dyDescent="0.3">
      <c r="A20" s="19">
        <v>11</v>
      </c>
      <c r="B20" s="3" t="s">
        <v>16</v>
      </c>
      <c r="C20" s="8">
        <v>5644</v>
      </c>
      <c r="D20" s="7">
        <v>4293</v>
      </c>
      <c r="E20" s="4">
        <f t="shared" si="0"/>
        <v>1511</v>
      </c>
      <c r="F20" s="14">
        <v>5804</v>
      </c>
      <c r="G20" s="5">
        <f t="shared" si="1"/>
        <v>1.0283486888731397</v>
      </c>
      <c r="H20" s="8">
        <v>5914</v>
      </c>
      <c r="I20" s="7">
        <v>4424</v>
      </c>
      <c r="J20" s="4">
        <f t="shared" si="2"/>
        <v>1538</v>
      </c>
      <c r="K20" s="14">
        <v>5962</v>
      </c>
      <c r="L20" s="5">
        <f t="shared" si="3"/>
        <v>1.0081163341224213</v>
      </c>
      <c r="M20" s="8">
        <v>9037</v>
      </c>
      <c r="N20" s="7">
        <v>7070</v>
      </c>
      <c r="O20" s="4">
        <f t="shared" si="4"/>
        <v>2208</v>
      </c>
      <c r="P20" s="14">
        <v>9278</v>
      </c>
      <c r="Q20" s="5">
        <f t="shared" si="5"/>
        <v>1.0266681420825494</v>
      </c>
      <c r="R20" s="8">
        <v>5910</v>
      </c>
      <c r="S20" s="7">
        <v>4525</v>
      </c>
      <c r="T20" s="4">
        <f t="shared" si="6"/>
        <v>1513</v>
      </c>
      <c r="U20" s="14">
        <v>6038</v>
      </c>
      <c r="V20" s="5">
        <f t="shared" si="7"/>
        <v>1.0216582064297801</v>
      </c>
      <c r="W20" s="8">
        <v>6115</v>
      </c>
      <c r="X20" s="7">
        <v>4655</v>
      </c>
      <c r="Y20" s="4">
        <f t="shared" si="8"/>
        <v>1494</v>
      </c>
      <c r="Z20" s="14">
        <v>6149</v>
      </c>
      <c r="AA20" s="5">
        <f t="shared" si="9"/>
        <v>1.0055600981193786</v>
      </c>
      <c r="AB20" s="8">
        <v>9431</v>
      </c>
      <c r="AC20" s="7">
        <v>7221</v>
      </c>
      <c r="AD20" s="4">
        <f t="shared" si="10"/>
        <v>2328</v>
      </c>
      <c r="AE20" s="14">
        <v>9549</v>
      </c>
      <c r="AF20" s="5">
        <f t="shared" si="11"/>
        <v>1.0125119287456261</v>
      </c>
      <c r="AG20" s="8">
        <v>6099</v>
      </c>
      <c r="AH20" s="7">
        <v>4397</v>
      </c>
      <c r="AI20" s="4">
        <f t="shared" si="12"/>
        <v>1760</v>
      </c>
      <c r="AJ20" s="14">
        <v>6157</v>
      </c>
      <c r="AK20" s="5">
        <f t="shared" si="13"/>
        <v>1.0095097556976553</v>
      </c>
      <c r="AL20" s="8">
        <v>6250</v>
      </c>
      <c r="AM20" s="7">
        <v>4737</v>
      </c>
      <c r="AN20" s="4">
        <f t="shared" si="14"/>
        <v>1509</v>
      </c>
      <c r="AO20" s="14">
        <v>6246</v>
      </c>
      <c r="AP20" s="5">
        <f t="shared" si="15"/>
        <v>0.99936000000000003</v>
      </c>
      <c r="AQ20" s="8">
        <v>9632</v>
      </c>
      <c r="AR20" s="7">
        <v>7372</v>
      </c>
      <c r="AS20" s="4">
        <f t="shared" si="16"/>
        <v>2360</v>
      </c>
      <c r="AT20" s="14">
        <v>9732</v>
      </c>
      <c r="AU20" s="5">
        <f t="shared" si="17"/>
        <v>1.0103820598006645</v>
      </c>
      <c r="AV20" s="8">
        <v>6297</v>
      </c>
      <c r="AW20" s="7">
        <v>4603</v>
      </c>
      <c r="AX20" s="4">
        <f t="shared" si="18"/>
        <v>1668</v>
      </c>
      <c r="AY20" s="14">
        <v>6271</v>
      </c>
      <c r="AZ20" s="5">
        <f t="shared" si="19"/>
        <v>0.99587104970620932</v>
      </c>
      <c r="BA20" s="8">
        <v>6366</v>
      </c>
      <c r="BB20" s="7">
        <v>4608</v>
      </c>
      <c r="BC20" s="4">
        <f t="shared" si="20"/>
        <v>1694</v>
      </c>
      <c r="BD20" s="14">
        <v>6302</v>
      </c>
      <c r="BE20" s="5">
        <f t="shared" si="21"/>
        <v>0.98994659126610118</v>
      </c>
      <c r="BF20" s="8">
        <v>9853</v>
      </c>
      <c r="BG20" s="7">
        <v>6635</v>
      </c>
      <c r="BH20" s="4">
        <f t="shared" si="22"/>
        <v>3250</v>
      </c>
      <c r="BI20" s="14">
        <v>9885</v>
      </c>
      <c r="BJ20" s="5">
        <f t="shared" si="23"/>
        <v>1.0032477418045265</v>
      </c>
    </row>
    <row r="21" spans="1:62" x14ac:dyDescent="0.3">
      <c r="A21" s="19">
        <v>12</v>
      </c>
      <c r="B21" s="3" t="s">
        <v>17</v>
      </c>
      <c r="C21" s="8">
        <v>9571</v>
      </c>
      <c r="D21" s="7">
        <v>6134</v>
      </c>
      <c r="E21" s="4">
        <f t="shared" si="0"/>
        <v>3699</v>
      </c>
      <c r="F21" s="14">
        <v>9833</v>
      </c>
      <c r="G21" s="5">
        <f t="shared" si="1"/>
        <v>1.0273743600459722</v>
      </c>
      <c r="H21" s="8">
        <v>10057</v>
      </c>
      <c r="I21" s="7">
        <v>6479</v>
      </c>
      <c r="J21" s="4">
        <f t="shared" si="2"/>
        <v>3497</v>
      </c>
      <c r="K21" s="14">
        <v>9976</v>
      </c>
      <c r="L21" s="5">
        <f t="shared" si="3"/>
        <v>0.99194590832256135</v>
      </c>
      <c r="M21" s="8">
        <v>12982</v>
      </c>
      <c r="N21" s="7">
        <v>8941</v>
      </c>
      <c r="O21" s="4">
        <f t="shared" si="4"/>
        <v>4302</v>
      </c>
      <c r="P21" s="14">
        <v>13243</v>
      </c>
      <c r="Q21" s="5">
        <f t="shared" si="5"/>
        <v>1.0201047604375288</v>
      </c>
      <c r="R21" s="8">
        <v>9811</v>
      </c>
      <c r="S21" s="7">
        <v>6561</v>
      </c>
      <c r="T21" s="4">
        <f t="shared" si="6"/>
        <v>3477</v>
      </c>
      <c r="U21" s="14">
        <v>10038</v>
      </c>
      <c r="V21" s="5">
        <f t="shared" si="7"/>
        <v>1.0231372948731017</v>
      </c>
      <c r="W21" s="8">
        <v>10152</v>
      </c>
      <c r="X21" s="7">
        <v>6886</v>
      </c>
      <c r="Y21" s="4">
        <f t="shared" si="8"/>
        <v>3297</v>
      </c>
      <c r="Z21" s="14">
        <v>10183</v>
      </c>
      <c r="AA21" s="5">
        <f t="shared" si="9"/>
        <v>1.0030535855003939</v>
      </c>
      <c r="AB21" s="8">
        <v>13231</v>
      </c>
      <c r="AC21" s="7">
        <v>9210</v>
      </c>
      <c r="AD21" s="4">
        <f t="shared" si="10"/>
        <v>4361</v>
      </c>
      <c r="AE21" s="14">
        <v>13571</v>
      </c>
      <c r="AF21" s="5">
        <f t="shared" si="11"/>
        <v>1.0256972262111708</v>
      </c>
      <c r="AG21" s="8">
        <v>10040</v>
      </c>
      <c r="AH21" s="7">
        <v>6428</v>
      </c>
      <c r="AI21" s="4">
        <f t="shared" si="12"/>
        <v>3826</v>
      </c>
      <c r="AJ21" s="14">
        <v>10254</v>
      </c>
      <c r="AK21" s="5">
        <f t="shared" si="13"/>
        <v>1.0213147410358565</v>
      </c>
      <c r="AL21" s="8">
        <v>10211</v>
      </c>
      <c r="AM21" s="7">
        <v>6947</v>
      </c>
      <c r="AN21" s="4">
        <f t="shared" si="14"/>
        <v>3458</v>
      </c>
      <c r="AO21" s="14">
        <v>10405</v>
      </c>
      <c r="AP21" s="5">
        <f t="shared" si="15"/>
        <v>1.0189991185975908</v>
      </c>
      <c r="AQ21" s="8">
        <v>13473</v>
      </c>
      <c r="AR21" s="7">
        <v>9603</v>
      </c>
      <c r="AS21" s="4">
        <f t="shared" si="16"/>
        <v>4295</v>
      </c>
      <c r="AT21" s="14">
        <v>13898</v>
      </c>
      <c r="AU21" s="5">
        <f t="shared" si="17"/>
        <v>1.0315445706227269</v>
      </c>
      <c r="AV21" s="8">
        <v>10213</v>
      </c>
      <c r="AW21" s="7">
        <v>6983</v>
      </c>
      <c r="AX21" s="4">
        <f t="shared" si="18"/>
        <v>3535</v>
      </c>
      <c r="AY21" s="14">
        <v>10518</v>
      </c>
      <c r="AZ21" s="5">
        <f t="shared" si="19"/>
        <v>1.0298638989523157</v>
      </c>
      <c r="BA21" s="8">
        <v>10449</v>
      </c>
      <c r="BB21" s="7">
        <v>7298</v>
      </c>
      <c r="BC21" s="4">
        <f t="shared" si="20"/>
        <v>3346</v>
      </c>
      <c r="BD21" s="14">
        <v>10644</v>
      </c>
      <c r="BE21" s="5">
        <f t="shared" si="21"/>
        <v>1.0186620729256388</v>
      </c>
      <c r="BF21" s="8">
        <v>13925</v>
      </c>
      <c r="BG21" s="7">
        <v>7827</v>
      </c>
      <c r="BH21" s="4">
        <f t="shared" si="22"/>
        <v>6507</v>
      </c>
      <c r="BI21" s="14">
        <v>14334</v>
      </c>
      <c r="BJ21" s="5">
        <f t="shared" si="23"/>
        <v>1.0293716337522443</v>
      </c>
    </row>
    <row r="22" spans="1:62" x14ac:dyDescent="0.3">
      <c r="A22" s="19">
        <v>13</v>
      </c>
      <c r="B22" s="3" t="s">
        <v>18</v>
      </c>
      <c r="C22" s="8">
        <v>6159</v>
      </c>
      <c r="D22" s="7">
        <v>4395</v>
      </c>
      <c r="E22" s="4">
        <f t="shared" si="0"/>
        <v>1834</v>
      </c>
      <c r="F22" s="14">
        <v>6229</v>
      </c>
      <c r="G22" s="5">
        <f t="shared" si="1"/>
        <v>1.0113654814093196</v>
      </c>
      <c r="H22" s="8">
        <v>6265</v>
      </c>
      <c r="I22" s="7">
        <v>4532</v>
      </c>
      <c r="J22" s="4">
        <f t="shared" si="2"/>
        <v>1780</v>
      </c>
      <c r="K22" s="14">
        <v>6312</v>
      </c>
      <c r="L22" s="5">
        <f t="shared" si="3"/>
        <v>1.0075019952114923</v>
      </c>
      <c r="M22" s="8">
        <v>7537</v>
      </c>
      <c r="N22" s="7">
        <v>5554</v>
      </c>
      <c r="O22" s="4">
        <f t="shared" si="4"/>
        <v>2048</v>
      </c>
      <c r="P22" s="14">
        <v>7602</v>
      </c>
      <c r="Q22" s="5">
        <f t="shared" si="5"/>
        <v>1.0086241210030515</v>
      </c>
      <c r="R22" s="8">
        <v>6306</v>
      </c>
      <c r="S22" s="7">
        <v>4587</v>
      </c>
      <c r="T22" s="4">
        <f t="shared" si="6"/>
        <v>1781</v>
      </c>
      <c r="U22" s="14">
        <v>6368</v>
      </c>
      <c r="V22" s="5">
        <f t="shared" si="7"/>
        <v>1.0098319061211545</v>
      </c>
      <c r="W22" s="8">
        <v>6435</v>
      </c>
      <c r="X22" s="7">
        <v>4670</v>
      </c>
      <c r="Y22" s="4">
        <f t="shared" si="8"/>
        <v>1771</v>
      </c>
      <c r="Z22" s="14">
        <v>6441</v>
      </c>
      <c r="AA22" s="5">
        <f t="shared" si="9"/>
        <v>1.000932400932401</v>
      </c>
      <c r="AB22" s="8">
        <v>7668</v>
      </c>
      <c r="AC22" s="7">
        <v>5664</v>
      </c>
      <c r="AD22" s="4">
        <f t="shared" si="10"/>
        <v>2055</v>
      </c>
      <c r="AE22" s="14">
        <v>7719</v>
      </c>
      <c r="AF22" s="5">
        <f t="shared" si="11"/>
        <v>1.0066510172143974</v>
      </c>
      <c r="AG22" s="8">
        <v>6422</v>
      </c>
      <c r="AH22" s="7">
        <v>4625</v>
      </c>
      <c r="AI22" s="4">
        <f t="shared" si="12"/>
        <v>1837</v>
      </c>
      <c r="AJ22" s="14">
        <v>6462</v>
      </c>
      <c r="AK22" s="5">
        <f t="shared" si="13"/>
        <v>1.0062285892245406</v>
      </c>
      <c r="AL22" s="8">
        <v>6508</v>
      </c>
      <c r="AM22" s="7">
        <v>4869</v>
      </c>
      <c r="AN22" s="4">
        <f t="shared" si="14"/>
        <v>1641</v>
      </c>
      <c r="AO22" s="14">
        <v>6510</v>
      </c>
      <c r="AP22" s="5">
        <f t="shared" si="15"/>
        <v>1.0003073140749847</v>
      </c>
      <c r="AQ22" s="8">
        <v>7781</v>
      </c>
      <c r="AR22" s="7">
        <v>5712</v>
      </c>
      <c r="AS22" s="4">
        <f t="shared" si="16"/>
        <v>2107</v>
      </c>
      <c r="AT22" s="14">
        <v>7819</v>
      </c>
      <c r="AU22" s="5">
        <f t="shared" si="17"/>
        <v>1.0048836910422825</v>
      </c>
      <c r="AV22" s="8">
        <v>6603</v>
      </c>
      <c r="AW22" s="7">
        <v>4869</v>
      </c>
      <c r="AX22" s="4">
        <f t="shared" si="18"/>
        <v>1657</v>
      </c>
      <c r="AY22" s="14">
        <v>6526</v>
      </c>
      <c r="AZ22" s="5">
        <f t="shared" si="19"/>
        <v>0.98833863395426325</v>
      </c>
      <c r="BA22" s="8">
        <v>6608</v>
      </c>
      <c r="BB22" s="7">
        <v>4948</v>
      </c>
      <c r="BC22" s="4">
        <f t="shared" si="20"/>
        <v>1618</v>
      </c>
      <c r="BD22" s="14">
        <v>6566</v>
      </c>
      <c r="BE22" s="5">
        <f t="shared" si="21"/>
        <v>0.99364406779661019</v>
      </c>
      <c r="BF22" s="8">
        <v>7906</v>
      </c>
      <c r="BG22" s="7">
        <v>5498</v>
      </c>
      <c r="BH22" s="4">
        <f t="shared" si="22"/>
        <v>2463</v>
      </c>
      <c r="BI22" s="14">
        <v>7961</v>
      </c>
      <c r="BJ22" s="5">
        <f t="shared" si="23"/>
        <v>1.006956741715153</v>
      </c>
    </row>
    <row r="23" spans="1:62" x14ac:dyDescent="0.3">
      <c r="A23" s="19">
        <v>14</v>
      </c>
      <c r="B23" s="3" t="s">
        <v>19</v>
      </c>
      <c r="C23" s="8">
        <v>8800</v>
      </c>
      <c r="D23" s="7">
        <v>2487</v>
      </c>
      <c r="E23" s="4">
        <f t="shared" si="0"/>
        <v>5987</v>
      </c>
      <c r="F23" s="14">
        <v>8474</v>
      </c>
      <c r="G23" s="5">
        <f t="shared" si="1"/>
        <v>0.96295454545454551</v>
      </c>
      <c r="H23" s="8">
        <v>8763</v>
      </c>
      <c r="I23" s="7">
        <v>3352</v>
      </c>
      <c r="J23" s="4">
        <f t="shared" si="2"/>
        <v>5151</v>
      </c>
      <c r="K23" s="14">
        <v>8503</v>
      </c>
      <c r="L23" s="5">
        <f t="shared" si="3"/>
        <v>0.97032979573205524</v>
      </c>
      <c r="M23" s="8">
        <v>10654</v>
      </c>
      <c r="N23" s="7">
        <v>4932</v>
      </c>
      <c r="O23" s="4">
        <f t="shared" si="4"/>
        <v>5548</v>
      </c>
      <c r="P23" s="14">
        <v>10480</v>
      </c>
      <c r="Q23" s="5">
        <f t="shared" si="5"/>
        <v>0.98366810587572739</v>
      </c>
      <c r="R23" s="8">
        <v>8621</v>
      </c>
      <c r="S23" s="7">
        <v>4644</v>
      </c>
      <c r="T23" s="4">
        <f t="shared" si="6"/>
        <v>3753</v>
      </c>
      <c r="U23" s="14">
        <v>8397</v>
      </c>
      <c r="V23" s="5">
        <f t="shared" si="7"/>
        <v>0.97401693539032597</v>
      </c>
      <c r="W23" s="8">
        <v>8774</v>
      </c>
      <c r="X23" s="7">
        <v>4731</v>
      </c>
      <c r="Y23" s="4">
        <f t="shared" si="8"/>
        <v>3702</v>
      </c>
      <c r="Z23" s="14">
        <v>8433</v>
      </c>
      <c r="AA23" s="5">
        <f t="shared" si="9"/>
        <v>0.96113517209938459</v>
      </c>
      <c r="AB23" s="8">
        <v>10734</v>
      </c>
      <c r="AC23" s="7">
        <v>6888</v>
      </c>
      <c r="AD23" s="4">
        <f t="shared" si="10"/>
        <v>3667</v>
      </c>
      <c r="AE23" s="14">
        <v>10555</v>
      </c>
      <c r="AF23" s="5">
        <f t="shared" si="11"/>
        <v>0.98332401714179241</v>
      </c>
      <c r="AG23" s="8">
        <v>8589</v>
      </c>
      <c r="AH23" s="7">
        <v>5342</v>
      </c>
      <c r="AI23" s="4">
        <f t="shared" si="12"/>
        <v>3102</v>
      </c>
      <c r="AJ23" s="14">
        <v>8444</v>
      </c>
      <c r="AK23" s="5">
        <f t="shared" si="13"/>
        <v>0.98311794155314935</v>
      </c>
      <c r="AL23" s="8">
        <v>8660</v>
      </c>
      <c r="AM23" s="7">
        <v>5602</v>
      </c>
      <c r="AN23" s="4">
        <f t="shared" si="14"/>
        <v>2905</v>
      </c>
      <c r="AO23" s="14">
        <v>8507</v>
      </c>
      <c r="AP23" s="5">
        <f t="shared" si="15"/>
        <v>0.98233256351039266</v>
      </c>
      <c r="AQ23" s="8">
        <v>10698</v>
      </c>
      <c r="AR23" s="7">
        <v>7219</v>
      </c>
      <c r="AS23" s="4">
        <f t="shared" si="16"/>
        <v>3521</v>
      </c>
      <c r="AT23" s="14">
        <v>10740</v>
      </c>
      <c r="AU23" s="5">
        <f t="shared" si="17"/>
        <v>1.0039259674705552</v>
      </c>
      <c r="AV23" s="8">
        <v>8445</v>
      </c>
      <c r="AW23" s="7">
        <v>5698</v>
      </c>
      <c r="AX23" s="4">
        <f t="shared" si="18"/>
        <v>2802</v>
      </c>
      <c r="AY23" s="14">
        <v>8500</v>
      </c>
      <c r="AZ23" s="5">
        <f t="shared" si="19"/>
        <v>1.0065127294256957</v>
      </c>
      <c r="BA23" s="8">
        <v>8623</v>
      </c>
      <c r="BB23" s="7">
        <v>5823</v>
      </c>
      <c r="BC23" s="4">
        <f t="shared" si="20"/>
        <v>2724</v>
      </c>
      <c r="BD23" s="14">
        <v>8547</v>
      </c>
      <c r="BE23" s="5">
        <f t="shared" si="21"/>
        <v>0.99118636205496924</v>
      </c>
      <c r="BF23" s="8">
        <v>11023</v>
      </c>
      <c r="BG23" s="7">
        <v>6671</v>
      </c>
      <c r="BH23" s="4">
        <f t="shared" si="22"/>
        <v>4239</v>
      </c>
      <c r="BI23" s="14">
        <v>10910</v>
      </c>
      <c r="BJ23" s="5">
        <f t="shared" si="23"/>
        <v>0.98974870724848041</v>
      </c>
    </row>
    <row r="24" spans="1:62" x14ac:dyDescent="0.3">
      <c r="A24" s="19">
        <v>15</v>
      </c>
      <c r="B24" s="3" t="s">
        <v>20</v>
      </c>
      <c r="C24" s="8">
        <v>5637</v>
      </c>
      <c r="D24" s="7">
        <v>4232</v>
      </c>
      <c r="E24" s="4">
        <f t="shared" si="0"/>
        <v>1323</v>
      </c>
      <c r="F24" s="14">
        <v>5555</v>
      </c>
      <c r="G24" s="5">
        <f t="shared" si="1"/>
        <v>0.98545325527762995</v>
      </c>
      <c r="H24" s="8">
        <v>5804</v>
      </c>
      <c r="I24" s="7">
        <v>4383</v>
      </c>
      <c r="J24" s="4">
        <f t="shared" si="2"/>
        <v>1246</v>
      </c>
      <c r="K24" s="14">
        <v>5629</v>
      </c>
      <c r="L24" s="5">
        <f t="shared" si="3"/>
        <v>0.96984838042729149</v>
      </c>
      <c r="M24" s="8">
        <v>6771</v>
      </c>
      <c r="N24" s="7">
        <v>5256</v>
      </c>
      <c r="O24" s="4">
        <f t="shared" si="4"/>
        <v>1361</v>
      </c>
      <c r="P24" s="14">
        <v>6617</v>
      </c>
      <c r="Q24" s="5">
        <f t="shared" si="5"/>
        <v>0.97725594446905917</v>
      </c>
      <c r="R24" s="8">
        <v>5821</v>
      </c>
      <c r="S24" s="7">
        <v>4316</v>
      </c>
      <c r="T24" s="4">
        <f t="shared" si="6"/>
        <v>1417</v>
      </c>
      <c r="U24" s="14">
        <v>5733</v>
      </c>
      <c r="V24" s="5">
        <f t="shared" si="7"/>
        <v>0.98488232262497855</v>
      </c>
      <c r="W24" s="8">
        <v>5925</v>
      </c>
      <c r="X24" s="7">
        <v>4667</v>
      </c>
      <c r="Y24" s="4">
        <f t="shared" si="8"/>
        <v>1142</v>
      </c>
      <c r="Z24" s="14">
        <v>5809</v>
      </c>
      <c r="AA24" s="5">
        <f t="shared" si="9"/>
        <v>0.98042194092827006</v>
      </c>
      <c r="AB24" s="8">
        <v>6940</v>
      </c>
      <c r="AC24" s="7">
        <v>5348</v>
      </c>
      <c r="AD24" s="4">
        <f t="shared" si="10"/>
        <v>1456</v>
      </c>
      <c r="AE24" s="14">
        <v>6804</v>
      </c>
      <c r="AF24" s="5">
        <f t="shared" si="11"/>
        <v>0.98040345821325647</v>
      </c>
      <c r="AG24" s="8">
        <v>6076</v>
      </c>
      <c r="AH24" s="7">
        <v>4619</v>
      </c>
      <c r="AI24" s="4">
        <f t="shared" si="12"/>
        <v>1334</v>
      </c>
      <c r="AJ24" s="14">
        <v>5953</v>
      </c>
      <c r="AK24" s="5">
        <f t="shared" si="13"/>
        <v>0.97975641869651087</v>
      </c>
      <c r="AL24" s="8">
        <v>6181</v>
      </c>
      <c r="AM24" s="7">
        <v>4732</v>
      </c>
      <c r="AN24" s="4">
        <f t="shared" si="14"/>
        <v>1281</v>
      </c>
      <c r="AO24" s="14">
        <v>6013</v>
      </c>
      <c r="AP24" s="5">
        <f t="shared" si="15"/>
        <v>0.97281993204983008</v>
      </c>
      <c r="AQ24" s="8">
        <v>6974</v>
      </c>
      <c r="AR24" s="7">
        <v>5406</v>
      </c>
      <c r="AS24" s="4">
        <f t="shared" si="16"/>
        <v>1496</v>
      </c>
      <c r="AT24" s="14">
        <v>6902</v>
      </c>
      <c r="AU24" s="5">
        <f t="shared" si="17"/>
        <v>0.9896759392027531</v>
      </c>
      <c r="AV24" s="8">
        <v>6124</v>
      </c>
      <c r="AW24" s="7">
        <v>4685</v>
      </c>
      <c r="AX24" s="4">
        <f t="shared" si="18"/>
        <v>1361</v>
      </c>
      <c r="AY24" s="14">
        <v>6046</v>
      </c>
      <c r="AZ24" s="5">
        <f t="shared" si="19"/>
        <v>0.98726322664924882</v>
      </c>
      <c r="BA24" s="8">
        <v>6202</v>
      </c>
      <c r="BB24" s="7">
        <v>4800</v>
      </c>
      <c r="BC24" s="4">
        <f t="shared" si="20"/>
        <v>1337</v>
      </c>
      <c r="BD24" s="14">
        <v>6137</v>
      </c>
      <c r="BE24" s="5">
        <f t="shared" si="21"/>
        <v>0.98951950983553694</v>
      </c>
      <c r="BF24" s="8">
        <v>7084</v>
      </c>
      <c r="BG24" s="7">
        <v>5276</v>
      </c>
      <c r="BH24" s="4">
        <f t="shared" si="22"/>
        <v>1756</v>
      </c>
      <c r="BI24" s="14">
        <v>7032</v>
      </c>
      <c r="BJ24" s="5">
        <f t="shared" si="23"/>
        <v>0.99265951439864486</v>
      </c>
    </row>
    <row r="25" spans="1:62" x14ac:dyDescent="0.3">
      <c r="A25" s="19">
        <v>16</v>
      </c>
      <c r="B25" s="3" t="s">
        <v>21</v>
      </c>
      <c r="C25" s="8">
        <v>18284</v>
      </c>
      <c r="D25" s="7">
        <v>14822</v>
      </c>
      <c r="E25" s="4">
        <f t="shared" si="0"/>
        <v>3668</v>
      </c>
      <c r="F25" s="14">
        <v>18490</v>
      </c>
      <c r="G25" s="5">
        <f t="shared" si="1"/>
        <v>1.0112666812513673</v>
      </c>
      <c r="H25" s="8">
        <v>18682</v>
      </c>
      <c r="I25" s="7">
        <v>15210</v>
      </c>
      <c r="J25" s="4">
        <f t="shared" si="2"/>
        <v>3641</v>
      </c>
      <c r="K25" s="14">
        <v>18851</v>
      </c>
      <c r="L25" s="5">
        <f t="shared" si="3"/>
        <v>1.0090461406701638</v>
      </c>
      <c r="M25" s="8">
        <v>25970</v>
      </c>
      <c r="N25" s="7">
        <v>21501</v>
      </c>
      <c r="O25" s="4">
        <f t="shared" si="4"/>
        <v>4735</v>
      </c>
      <c r="P25" s="14">
        <v>26236</v>
      </c>
      <c r="Q25" s="5">
        <f t="shared" si="5"/>
        <v>1.0102425876010781</v>
      </c>
      <c r="R25" s="8">
        <v>18895</v>
      </c>
      <c r="S25" s="7">
        <v>15323</v>
      </c>
      <c r="T25" s="4">
        <f t="shared" si="6"/>
        <v>3740</v>
      </c>
      <c r="U25" s="14">
        <v>19063</v>
      </c>
      <c r="V25" s="5">
        <f t="shared" si="7"/>
        <v>1.0088912410690658</v>
      </c>
      <c r="W25" s="8">
        <v>19436</v>
      </c>
      <c r="X25" s="7">
        <v>15553</v>
      </c>
      <c r="Y25" s="4">
        <f t="shared" si="8"/>
        <v>3770</v>
      </c>
      <c r="Z25" s="14">
        <v>19323</v>
      </c>
      <c r="AA25" s="5">
        <f t="shared" si="9"/>
        <v>0.9941860465116279</v>
      </c>
      <c r="AB25" s="8">
        <v>26661</v>
      </c>
      <c r="AC25" s="7">
        <v>21597</v>
      </c>
      <c r="AD25" s="4">
        <f t="shared" si="10"/>
        <v>5251</v>
      </c>
      <c r="AE25" s="14">
        <v>26848</v>
      </c>
      <c r="AF25" s="5">
        <f t="shared" si="11"/>
        <v>1.0070139904729756</v>
      </c>
      <c r="AG25" s="8">
        <v>19440</v>
      </c>
      <c r="AH25" s="7">
        <v>15278</v>
      </c>
      <c r="AI25" s="4">
        <f t="shared" si="12"/>
        <v>4242</v>
      </c>
      <c r="AJ25" s="14">
        <v>19520</v>
      </c>
      <c r="AK25" s="5">
        <f t="shared" si="13"/>
        <v>1.0041152263374487</v>
      </c>
      <c r="AL25" s="8">
        <v>19709</v>
      </c>
      <c r="AM25" s="7">
        <v>15980</v>
      </c>
      <c r="AN25" s="4">
        <f t="shared" si="14"/>
        <v>3703</v>
      </c>
      <c r="AO25" s="14">
        <v>19683</v>
      </c>
      <c r="AP25" s="5">
        <f t="shared" si="15"/>
        <v>0.99868080572327367</v>
      </c>
      <c r="AQ25" s="8">
        <v>27081</v>
      </c>
      <c r="AR25" s="7">
        <v>22194</v>
      </c>
      <c r="AS25" s="4">
        <f t="shared" si="16"/>
        <v>5088</v>
      </c>
      <c r="AT25" s="14">
        <v>27282</v>
      </c>
      <c r="AU25" s="5">
        <f t="shared" si="17"/>
        <v>1.0074221779107122</v>
      </c>
      <c r="AV25" s="8">
        <v>19795</v>
      </c>
      <c r="AW25" s="7">
        <v>15943</v>
      </c>
      <c r="AX25" s="4">
        <f t="shared" si="18"/>
        <v>3989</v>
      </c>
      <c r="AY25" s="14">
        <v>19932</v>
      </c>
      <c r="AZ25" s="5">
        <f t="shared" si="19"/>
        <v>1.00692093963122</v>
      </c>
      <c r="BA25" s="8">
        <v>20139</v>
      </c>
      <c r="BB25" s="7">
        <v>16274</v>
      </c>
      <c r="BC25" s="4">
        <f t="shared" si="20"/>
        <v>3858</v>
      </c>
      <c r="BD25" s="14">
        <v>20132</v>
      </c>
      <c r="BE25" s="5">
        <f t="shared" si="21"/>
        <v>0.99965241571080987</v>
      </c>
      <c r="BF25" s="8">
        <v>27639</v>
      </c>
      <c r="BG25" s="7">
        <v>20238</v>
      </c>
      <c r="BH25" s="4">
        <f t="shared" si="22"/>
        <v>7533</v>
      </c>
      <c r="BI25" s="14">
        <v>27771</v>
      </c>
      <c r="BJ25" s="5">
        <f t="shared" si="23"/>
        <v>1.0047758601975469</v>
      </c>
    </row>
    <row r="26" spans="1:62" x14ac:dyDescent="0.3">
      <c r="A26" s="19">
        <v>17</v>
      </c>
      <c r="B26" s="3" t="s">
        <v>22</v>
      </c>
      <c r="C26" s="8">
        <v>13535</v>
      </c>
      <c r="D26" s="7">
        <v>9900</v>
      </c>
      <c r="E26" s="4">
        <f t="shared" si="0"/>
        <v>3470</v>
      </c>
      <c r="F26" s="14">
        <v>13370</v>
      </c>
      <c r="G26" s="5">
        <f t="shared" si="1"/>
        <v>0.98780938308090138</v>
      </c>
      <c r="H26" s="8">
        <v>13884</v>
      </c>
      <c r="I26" s="7">
        <v>10628</v>
      </c>
      <c r="J26" s="4">
        <f t="shared" si="2"/>
        <v>3315</v>
      </c>
      <c r="K26" s="14">
        <v>13943</v>
      </c>
      <c r="L26" s="5">
        <f t="shared" si="3"/>
        <v>1.0042494958225294</v>
      </c>
      <c r="M26" s="8">
        <v>25920</v>
      </c>
      <c r="N26" s="7">
        <v>21161</v>
      </c>
      <c r="O26" s="4">
        <f t="shared" si="4"/>
        <v>5151</v>
      </c>
      <c r="P26" s="14">
        <v>26312</v>
      </c>
      <c r="Q26" s="5">
        <f t="shared" si="5"/>
        <v>1.0151234567901235</v>
      </c>
      <c r="R26" s="8">
        <v>13869</v>
      </c>
      <c r="S26" s="7">
        <v>10461</v>
      </c>
      <c r="T26" s="4">
        <f t="shared" si="6"/>
        <v>3717</v>
      </c>
      <c r="U26" s="14">
        <v>14178</v>
      </c>
      <c r="V26" s="5">
        <f t="shared" si="7"/>
        <v>1.0222799048237075</v>
      </c>
      <c r="W26" s="8">
        <v>14474</v>
      </c>
      <c r="X26" s="7">
        <v>11045</v>
      </c>
      <c r="Y26" s="4">
        <f t="shared" si="8"/>
        <v>3401</v>
      </c>
      <c r="Z26" s="14">
        <v>14446</v>
      </c>
      <c r="AA26" s="5">
        <f t="shared" si="9"/>
        <v>0.9980654967527981</v>
      </c>
      <c r="AB26" s="8">
        <v>27035</v>
      </c>
      <c r="AC26" s="7">
        <v>21338</v>
      </c>
      <c r="AD26" s="4">
        <f t="shared" si="10"/>
        <v>5656</v>
      </c>
      <c r="AE26" s="14">
        <v>26994</v>
      </c>
      <c r="AF26" s="5">
        <f t="shared" si="11"/>
        <v>0.99848344738302197</v>
      </c>
      <c r="AG26" s="8">
        <v>14053</v>
      </c>
      <c r="AH26" s="7">
        <v>10721</v>
      </c>
      <c r="AI26" s="4">
        <f t="shared" si="12"/>
        <v>3385</v>
      </c>
      <c r="AJ26" s="14">
        <v>14106</v>
      </c>
      <c r="AK26" s="5">
        <f t="shared" si="13"/>
        <v>1.0037714367039066</v>
      </c>
      <c r="AL26" s="8">
        <v>14372</v>
      </c>
      <c r="AM26" s="7">
        <v>11084</v>
      </c>
      <c r="AN26" s="4">
        <f t="shared" si="14"/>
        <v>3153</v>
      </c>
      <c r="AO26" s="14">
        <v>14237</v>
      </c>
      <c r="AP26" s="5">
        <f t="shared" si="15"/>
        <v>0.99060673531867516</v>
      </c>
      <c r="AQ26" s="8">
        <v>27267</v>
      </c>
      <c r="AR26" s="7">
        <v>21693</v>
      </c>
      <c r="AS26" s="4">
        <f t="shared" si="16"/>
        <v>5408</v>
      </c>
      <c r="AT26" s="14">
        <v>27101</v>
      </c>
      <c r="AU26" s="5">
        <f t="shared" si="17"/>
        <v>0.9939120548648549</v>
      </c>
      <c r="AV26" s="8">
        <v>14007</v>
      </c>
      <c r="AW26" s="7">
        <v>10884</v>
      </c>
      <c r="AX26" s="4">
        <f t="shared" si="18"/>
        <v>3148</v>
      </c>
      <c r="AY26" s="14">
        <v>14032</v>
      </c>
      <c r="AZ26" s="5">
        <f t="shared" si="19"/>
        <v>1.0017848218747769</v>
      </c>
      <c r="BA26" s="8">
        <v>14398</v>
      </c>
      <c r="BB26" s="7">
        <v>11052</v>
      </c>
      <c r="BC26" s="4">
        <f t="shared" si="20"/>
        <v>3064</v>
      </c>
      <c r="BD26" s="14">
        <v>14116</v>
      </c>
      <c r="BE26" s="5">
        <f t="shared" si="21"/>
        <v>0.98041394638144186</v>
      </c>
      <c r="BF26" s="8">
        <v>27339</v>
      </c>
      <c r="BG26" s="7">
        <v>20476</v>
      </c>
      <c r="BH26" s="4">
        <f t="shared" si="22"/>
        <v>6650</v>
      </c>
      <c r="BI26" s="14">
        <v>27126</v>
      </c>
      <c r="BJ26" s="5">
        <f t="shared" si="23"/>
        <v>0.99220893229452434</v>
      </c>
    </row>
    <row r="27" spans="1:62" x14ac:dyDescent="0.3">
      <c r="A27" s="19">
        <v>18</v>
      </c>
      <c r="B27" s="3" t="s">
        <v>23</v>
      </c>
      <c r="C27" s="8">
        <v>120482</v>
      </c>
      <c r="D27" s="7">
        <v>86077</v>
      </c>
      <c r="E27" s="4">
        <f t="shared" si="0"/>
        <v>34642</v>
      </c>
      <c r="F27" s="14">
        <v>120719</v>
      </c>
      <c r="G27" s="5">
        <f t="shared" si="1"/>
        <v>1.0019670988197407</v>
      </c>
      <c r="H27" s="8">
        <v>123649</v>
      </c>
      <c r="I27" s="7">
        <v>90102</v>
      </c>
      <c r="J27" s="4">
        <f t="shared" si="2"/>
        <v>32467</v>
      </c>
      <c r="K27" s="14">
        <v>122569</v>
      </c>
      <c r="L27" s="5">
        <f t="shared" si="3"/>
        <v>0.99126559858955587</v>
      </c>
      <c r="M27" s="8">
        <v>182121</v>
      </c>
      <c r="N27" s="7">
        <v>133491</v>
      </c>
      <c r="O27" s="4">
        <f t="shared" si="4"/>
        <v>47493</v>
      </c>
      <c r="P27" s="14">
        <v>180984</v>
      </c>
      <c r="Q27" s="5">
        <f t="shared" si="5"/>
        <v>0.99375689788656996</v>
      </c>
      <c r="R27" s="8">
        <v>122848</v>
      </c>
      <c r="S27" s="7">
        <v>88229</v>
      </c>
      <c r="T27" s="4">
        <f t="shared" si="6"/>
        <v>33847</v>
      </c>
      <c r="U27" s="14">
        <v>122076</v>
      </c>
      <c r="V27" s="5">
        <f t="shared" si="7"/>
        <v>0.99371581140922116</v>
      </c>
      <c r="W27" s="8">
        <v>125846</v>
      </c>
      <c r="X27" s="7">
        <v>88448</v>
      </c>
      <c r="Y27" s="4">
        <f t="shared" si="8"/>
        <v>34918</v>
      </c>
      <c r="Z27" s="14">
        <v>123366</v>
      </c>
      <c r="AA27" s="5">
        <f t="shared" si="9"/>
        <v>0.980293374441778</v>
      </c>
      <c r="AB27" s="8">
        <v>184102</v>
      </c>
      <c r="AC27" s="7">
        <v>132582</v>
      </c>
      <c r="AD27" s="4">
        <f t="shared" si="10"/>
        <v>50136</v>
      </c>
      <c r="AE27" s="14">
        <v>182718</v>
      </c>
      <c r="AF27" s="5">
        <f t="shared" si="11"/>
        <v>0.99248242821913935</v>
      </c>
      <c r="AG27" s="8">
        <v>124176</v>
      </c>
      <c r="AH27" s="7">
        <v>88617</v>
      </c>
      <c r="AI27" s="4">
        <f t="shared" si="12"/>
        <v>34612</v>
      </c>
      <c r="AJ27" s="14">
        <v>123229</v>
      </c>
      <c r="AK27" s="5">
        <f t="shared" si="13"/>
        <v>0.99237372761242104</v>
      </c>
      <c r="AL27" s="8">
        <v>126536</v>
      </c>
      <c r="AM27" s="7">
        <v>92194</v>
      </c>
      <c r="AN27" s="4">
        <f t="shared" si="14"/>
        <v>31882</v>
      </c>
      <c r="AO27" s="14">
        <v>124076</v>
      </c>
      <c r="AP27" s="5">
        <f t="shared" si="15"/>
        <v>0.98055889233103621</v>
      </c>
      <c r="AQ27" s="8">
        <v>184835</v>
      </c>
      <c r="AR27" s="7">
        <v>136839</v>
      </c>
      <c r="AS27" s="4">
        <f t="shared" si="16"/>
        <v>47495</v>
      </c>
      <c r="AT27" s="14">
        <v>184334</v>
      </c>
      <c r="AU27" s="5">
        <f t="shared" si="17"/>
        <v>0.99728947439608295</v>
      </c>
      <c r="AV27" s="8">
        <v>124975</v>
      </c>
      <c r="AW27" s="7">
        <v>92540</v>
      </c>
      <c r="AX27" s="4">
        <f t="shared" si="18"/>
        <v>31845</v>
      </c>
      <c r="AY27" s="14">
        <v>124385</v>
      </c>
      <c r="AZ27" s="5">
        <f t="shared" si="19"/>
        <v>0.99527905581116227</v>
      </c>
      <c r="BA27" s="8">
        <v>127493</v>
      </c>
      <c r="BB27" s="7">
        <v>94281</v>
      </c>
      <c r="BC27" s="4">
        <f t="shared" si="20"/>
        <v>31163</v>
      </c>
      <c r="BD27" s="14">
        <v>125444</v>
      </c>
      <c r="BE27" s="5">
        <f t="shared" si="21"/>
        <v>0.98392852940945774</v>
      </c>
      <c r="BF27" s="8">
        <v>187636</v>
      </c>
      <c r="BG27" s="7">
        <v>122553</v>
      </c>
      <c r="BH27" s="4">
        <f t="shared" si="22"/>
        <v>63208</v>
      </c>
      <c r="BI27" s="14">
        <v>185761</v>
      </c>
      <c r="BJ27" s="5">
        <f t="shared" si="23"/>
        <v>0.99000724807606222</v>
      </c>
    </row>
    <row r="28" spans="1:62" x14ac:dyDescent="0.3">
      <c r="A28" s="19">
        <v>19</v>
      </c>
      <c r="B28" s="3" t="s">
        <v>24</v>
      </c>
      <c r="C28" s="8">
        <v>382208</v>
      </c>
      <c r="D28" s="7">
        <v>315442</v>
      </c>
      <c r="E28" s="4">
        <f t="shared" si="0"/>
        <v>64596</v>
      </c>
      <c r="F28" s="14">
        <v>380038</v>
      </c>
      <c r="G28" s="5">
        <f t="shared" si="1"/>
        <v>0.99432246316141992</v>
      </c>
      <c r="H28" s="8">
        <v>389922</v>
      </c>
      <c r="I28" s="7">
        <v>321793</v>
      </c>
      <c r="J28" s="4">
        <f t="shared" si="2"/>
        <v>63272</v>
      </c>
      <c r="K28" s="14">
        <v>385065</v>
      </c>
      <c r="L28" s="5">
        <f t="shared" si="3"/>
        <v>0.98754366257866955</v>
      </c>
      <c r="M28" s="8">
        <v>650891</v>
      </c>
      <c r="N28" s="7">
        <v>541073</v>
      </c>
      <c r="O28" s="4">
        <f t="shared" si="4"/>
        <v>104708</v>
      </c>
      <c r="P28" s="14">
        <v>645781</v>
      </c>
      <c r="Q28" s="5">
        <f t="shared" si="5"/>
        <v>0.99214922314181642</v>
      </c>
      <c r="R28" s="8">
        <v>389073</v>
      </c>
      <c r="S28" s="7">
        <v>319004</v>
      </c>
      <c r="T28" s="4">
        <f t="shared" si="6"/>
        <v>67533</v>
      </c>
      <c r="U28" s="14">
        <v>386537</v>
      </c>
      <c r="V28" s="5">
        <f t="shared" si="7"/>
        <v>0.99348194297728187</v>
      </c>
      <c r="W28" s="8">
        <v>397763</v>
      </c>
      <c r="X28" s="7">
        <v>324685</v>
      </c>
      <c r="Y28" s="4">
        <f t="shared" si="8"/>
        <v>67046</v>
      </c>
      <c r="Z28" s="14">
        <v>391731</v>
      </c>
      <c r="AA28" s="5">
        <f t="shared" si="9"/>
        <v>0.9848351908045746</v>
      </c>
      <c r="AB28" s="8">
        <v>660941</v>
      </c>
      <c r="AC28" s="7">
        <v>552565</v>
      </c>
      <c r="AD28" s="4">
        <f t="shared" si="10"/>
        <v>103903</v>
      </c>
      <c r="AE28" s="14">
        <v>656468</v>
      </c>
      <c r="AF28" s="5">
        <f t="shared" si="11"/>
        <v>0.99323237626353944</v>
      </c>
      <c r="AG28" s="8">
        <v>397417</v>
      </c>
      <c r="AH28" s="7">
        <v>326204</v>
      </c>
      <c r="AI28" s="4">
        <f t="shared" si="12"/>
        <v>68401</v>
      </c>
      <c r="AJ28" s="14">
        <v>394605</v>
      </c>
      <c r="AK28" s="5">
        <f t="shared" si="13"/>
        <v>0.9929243087235825</v>
      </c>
      <c r="AL28" s="8">
        <v>405895</v>
      </c>
      <c r="AM28" s="7">
        <v>337795</v>
      </c>
      <c r="AN28" s="4">
        <f t="shared" si="14"/>
        <v>61126</v>
      </c>
      <c r="AO28" s="14">
        <v>398921</v>
      </c>
      <c r="AP28" s="5">
        <f t="shared" si="15"/>
        <v>0.98281821653383261</v>
      </c>
      <c r="AQ28" s="8">
        <v>670091</v>
      </c>
      <c r="AR28" s="7">
        <v>570072</v>
      </c>
      <c r="AS28" s="4">
        <f t="shared" si="16"/>
        <v>96105</v>
      </c>
      <c r="AT28" s="14">
        <v>666177</v>
      </c>
      <c r="AU28" s="5">
        <f t="shared" si="17"/>
        <v>0.99415900228476428</v>
      </c>
      <c r="AV28" s="8">
        <v>405395</v>
      </c>
      <c r="AW28" s="7">
        <v>341800</v>
      </c>
      <c r="AX28" s="4">
        <f t="shared" si="18"/>
        <v>61009</v>
      </c>
      <c r="AY28" s="14">
        <v>402809</v>
      </c>
      <c r="AZ28" s="5">
        <f t="shared" si="19"/>
        <v>0.99362103627326437</v>
      </c>
      <c r="BA28" s="8">
        <v>412255</v>
      </c>
      <c r="BB28" s="7">
        <v>347485</v>
      </c>
      <c r="BC28" s="4">
        <f t="shared" si="20"/>
        <v>59434</v>
      </c>
      <c r="BD28" s="14">
        <v>406919</v>
      </c>
      <c r="BE28" s="5">
        <f t="shared" si="21"/>
        <v>0.98705655480224619</v>
      </c>
      <c r="BF28" s="8">
        <v>680839</v>
      </c>
      <c r="BG28" s="7">
        <v>548909</v>
      </c>
      <c r="BH28" s="4">
        <f t="shared" si="22"/>
        <v>127470</v>
      </c>
      <c r="BI28" s="14">
        <v>676379</v>
      </c>
      <c r="BJ28" s="5">
        <f t="shared" si="23"/>
        <v>0.99344925892905667</v>
      </c>
    </row>
    <row r="29" spans="1:62" x14ac:dyDescent="0.3">
      <c r="A29" s="19">
        <v>20</v>
      </c>
      <c r="B29" s="3" t="s">
        <v>25</v>
      </c>
      <c r="C29" s="8">
        <v>127557</v>
      </c>
      <c r="D29" s="7">
        <v>102140</v>
      </c>
      <c r="E29" s="4">
        <f t="shared" si="0"/>
        <v>24830</v>
      </c>
      <c r="F29" s="14">
        <v>126970</v>
      </c>
      <c r="G29" s="5">
        <f t="shared" si="1"/>
        <v>0.99539813573539671</v>
      </c>
      <c r="H29" s="8">
        <v>129829</v>
      </c>
      <c r="I29" s="7">
        <v>104511</v>
      </c>
      <c r="J29" s="4">
        <f t="shared" si="2"/>
        <v>23861</v>
      </c>
      <c r="K29" s="14">
        <v>128372</v>
      </c>
      <c r="L29" s="5">
        <f t="shared" si="3"/>
        <v>0.98877754584877031</v>
      </c>
      <c r="M29" s="8">
        <v>176637</v>
      </c>
      <c r="N29" s="7">
        <v>143265</v>
      </c>
      <c r="O29" s="4">
        <f t="shared" si="4"/>
        <v>30958</v>
      </c>
      <c r="P29" s="14">
        <v>174223</v>
      </c>
      <c r="Q29" s="5">
        <f t="shared" si="5"/>
        <v>0.98633355412512669</v>
      </c>
      <c r="R29" s="8">
        <v>129740</v>
      </c>
      <c r="S29" s="7">
        <v>104295</v>
      </c>
      <c r="T29" s="4">
        <f t="shared" si="6"/>
        <v>24250</v>
      </c>
      <c r="U29" s="14">
        <v>128545</v>
      </c>
      <c r="V29" s="5">
        <f t="shared" si="7"/>
        <v>0.99078927084939106</v>
      </c>
      <c r="W29" s="8">
        <v>131766</v>
      </c>
      <c r="X29" s="7">
        <v>105762</v>
      </c>
      <c r="Y29" s="4">
        <f t="shared" si="8"/>
        <v>23820</v>
      </c>
      <c r="Z29" s="14">
        <v>129582</v>
      </c>
      <c r="AA29" s="5">
        <f t="shared" si="9"/>
        <v>0.98342516278857972</v>
      </c>
      <c r="AB29" s="8">
        <v>178083</v>
      </c>
      <c r="AC29" s="7">
        <v>143554</v>
      </c>
      <c r="AD29" s="4">
        <f t="shared" si="10"/>
        <v>32814</v>
      </c>
      <c r="AE29" s="14">
        <v>176368</v>
      </c>
      <c r="AF29" s="5">
        <f t="shared" si="11"/>
        <v>0.99036965909154717</v>
      </c>
      <c r="AG29" s="8">
        <v>131984</v>
      </c>
      <c r="AH29" s="7">
        <v>101819</v>
      </c>
      <c r="AI29" s="4">
        <f t="shared" si="12"/>
        <v>28874</v>
      </c>
      <c r="AJ29" s="14">
        <v>130693</v>
      </c>
      <c r="AK29" s="5">
        <f t="shared" si="13"/>
        <v>0.99021851133470729</v>
      </c>
      <c r="AL29" s="8">
        <v>133676</v>
      </c>
      <c r="AM29" s="7">
        <v>108792</v>
      </c>
      <c r="AN29" s="4">
        <f t="shared" si="14"/>
        <v>23049</v>
      </c>
      <c r="AO29" s="14">
        <v>131841</v>
      </c>
      <c r="AP29" s="5">
        <f t="shared" si="15"/>
        <v>0.98627277895807774</v>
      </c>
      <c r="AQ29" s="8">
        <v>179800</v>
      </c>
      <c r="AR29" s="7">
        <v>149130</v>
      </c>
      <c r="AS29" s="4">
        <f t="shared" si="16"/>
        <v>29860</v>
      </c>
      <c r="AT29" s="14">
        <v>178990</v>
      </c>
      <c r="AU29" s="5">
        <f t="shared" si="17"/>
        <v>0.99549499443826472</v>
      </c>
      <c r="AV29" s="8">
        <v>134089</v>
      </c>
      <c r="AW29" s="7">
        <v>110492</v>
      </c>
      <c r="AX29" s="4">
        <f t="shared" si="18"/>
        <v>22678</v>
      </c>
      <c r="AY29" s="14">
        <v>133170</v>
      </c>
      <c r="AZ29" s="5">
        <f t="shared" si="19"/>
        <v>0.993146343100478</v>
      </c>
      <c r="BA29" s="8">
        <v>136058</v>
      </c>
      <c r="BB29" s="7">
        <v>111463</v>
      </c>
      <c r="BC29" s="4">
        <f t="shared" si="20"/>
        <v>23022</v>
      </c>
      <c r="BD29" s="14">
        <v>134485</v>
      </c>
      <c r="BE29" s="5">
        <f t="shared" si="21"/>
        <v>0.9884387540607682</v>
      </c>
      <c r="BF29" s="8">
        <v>182623</v>
      </c>
      <c r="BG29" s="7">
        <v>139477</v>
      </c>
      <c r="BH29" s="4">
        <f t="shared" si="22"/>
        <v>41958</v>
      </c>
      <c r="BI29" s="14">
        <v>181435</v>
      </c>
      <c r="BJ29" s="5">
        <f t="shared" si="23"/>
        <v>0.99349479528865481</v>
      </c>
    </row>
    <row r="30" spans="1:62" x14ac:dyDescent="0.3">
      <c r="A30" s="19">
        <v>21</v>
      </c>
      <c r="B30" s="3" t="s">
        <v>26</v>
      </c>
      <c r="C30" s="8">
        <v>166894</v>
      </c>
      <c r="D30" s="7">
        <v>127127</v>
      </c>
      <c r="E30" s="4">
        <f t="shared" si="0"/>
        <v>39284</v>
      </c>
      <c r="F30" s="14">
        <v>166411</v>
      </c>
      <c r="G30" s="5">
        <f t="shared" si="1"/>
        <v>0.99710594748762693</v>
      </c>
      <c r="H30" s="8">
        <v>172134</v>
      </c>
      <c r="I30" s="7">
        <v>127881</v>
      </c>
      <c r="J30" s="4">
        <f t="shared" si="2"/>
        <v>41657</v>
      </c>
      <c r="K30" s="14">
        <v>169538</v>
      </c>
      <c r="L30" s="5">
        <f t="shared" si="3"/>
        <v>0.98491872610872921</v>
      </c>
      <c r="M30" s="8">
        <v>289249</v>
      </c>
      <c r="N30" s="7">
        <v>226373</v>
      </c>
      <c r="O30" s="4">
        <f t="shared" si="4"/>
        <v>59684</v>
      </c>
      <c r="P30" s="14">
        <v>286057</v>
      </c>
      <c r="Q30" s="5">
        <f t="shared" si="5"/>
        <v>0.98896452537433144</v>
      </c>
      <c r="R30" s="8">
        <v>169142</v>
      </c>
      <c r="S30" s="7">
        <v>130297</v>
      </c>
      <c r="T30" s="4">
        <f t="shared" si="6"/>
        <v>37564</v>
      </c>
      <c r="U30" s="14">
        <v>167861</v>
      </c>
      <c r="V30" s="5">
        <f t="shared" si="7"/>
        <v>0.9924264818909555</v>
      </c>
      <c r="W30" s="8">
        <v>174259</v>
      </c>
      <c r="X30" s="7">
        <v>129624</v>
      </c>
      <c r="Y30" s="4">
        <f t="shared" si="8"/>
        <v>41378</v>
      </c>
      <c r="Z30" s="14">
        <v>171002</v>
      </c>
      <c r="AA30" s="5">
        <f t="shared" si="9"/>
        <v>0.98130943021594297</v>
      </c>
      <c r="AB30" s="8">
        <v>293307</v>
      </c>
      <c r="AC30" s="7">
        <v>227638</v>
      </c>
      <c r="AD30" s="4">
        <f t="shared" si="10"/>
        <v>62879</v>
      </c>
      <c r="AE30" s="14">
        <v>290517</v>
      </c>
      <c r="AF30" s="5">
        <f t="shared" si="11"/>
        <v>0.99048778242592228</v>
      </c>
      <c r="AG30" s="8">
        <v>172053</v>
      </c>
      <c r="AH30" s="7">
        <v>133185</v>
      </c>
      <c r="AI30" s="4">
        <f t="shared" si="12"/>
        <v>37803</v>
      </c>
      <c r="AJ30" s="14">
        <v>170988</v>
      </c>
      <c r="AK30" s="5">
        <f t="shared" si="13"/>
        <v>0.99381004690415164</v>
      </c>
      <c r="AL30" s="8">
        <v>176835</v>
      </c>
      <c r="AM30" s="7">
        <v>137544</v>
      </c>
      <c r="AN30" s="4">
        <f t="shared" si="14"/>
        <v>36127</v>
      </c>
      <c r="AO30" s="14">
        <v>173671</v>
      </c>
      <c r="AP30" s="5">
        <f t="shared" si="15"/>
        <v>0.98210761444284222</v>
      </c>
      <c r="AQ30" s="8">
        <v>297651</v>
      </c>
      <c r="AR30" s="7">
        <v>238591</v>
      </c>
      <c r="AS30" s="4">
        <f t="shared" si="16"/>
        <v>57681</v>
      </c>
      <c r="AT30" s="14">
        <v>296272</v>
      </c>
      <c r="AU30" s="5">
        <f t="shared" si="17"/>
        <v>0.99536705739271836</v>
      </c>
      <c r="AV30" s="8">
        <v>175428</v>
      </c>
      <c r="AW30" s="7">
        <v>138146</v>
      </c>
      <c r="AX30" s="4">
        <f t="shared" si="18"/>
        <v>36244</v>
      </c>
      <c r="AY30" s="14">
        <v>174390</v>
      </c>
      <c r="AZ30" s="5">
        <f t="shared" si="19"/>
        <v>0.99408304261577396</v>
      </c>
      <c r="BA30" s="8">
        <v>179593</v>
      </c>
      <c r="BB30" s="7">
        <v>140228</v>
      </c>
      <c r="BC30" s="4">
        <f t="shared" si="20"/>
        <v>36028</v>
      </c>
      <c r="BD30" s="14">
        <v>176256</v>
      </c>
      <c r="BE30" s="5">
        <f t="shared" si="21"/>
        <v>0.98141909762629942</v>
      </c>
      <c r="BF30" s="8">
        <v>302258</v>
      </c>
      <c r="BG30" s="7">
        <v>226619</v>
      </c>
      <c r="BH30" s="4">
        <f t="shared" si="22"/>
        <v>72872</v>
      </c>
      <c r="BI30" s="14">
        <v>299491</v>
      </c>
      <c r="BJ30" s="5">
        <f t="shared" si="23"/>
        <v>0.99084556901719723</v>
      </c>
    </row>
    <row r="31" spans="1:62" x14ac:dyDescent="0.3">
      <c r="A31" s="19">
        <v>22</v>
      </c>
      <c r="B31" s="3" t="s">
        <v>27</v>
      </c>
      <c r="C31" s="8">
        <v>74510</v>
      </c>
      <c r="D31" s="7">
        <v>53380</v>
      </c>
      <c r="E31" s="4">
        <f t="shared" si="0"/>
        <v>21221</v>
      </c>
      <c r="F31" s="14">
        <v>74601</v>
      </c>
      <c r="G31" s="5">
        <f t="shared" si="1"/>
        <v>1.0012213125754932</v>
      </c>
      <c r="H31" s="8">
        <v>76671</v>
      </c>
      <c r="I31" s="7">
        <v>55646</v>
      </c>
      <c r="J31" s="4">
        <f t="shared" si="2"/>
        <v>20130</v>
      </c>
      <c r="K31" s="14">
        <v>75776</v>
      </c>
      <c r="L31" s="5">
        <f t="shared" si="3"/>
        <v>0.98832674674909682</v>
      </c>
      <c r="M31" s="8">
        <v>133745</v>
      </c>
      <c r="N31" s="7">
        <v>97867</v>
      </c>
      <c r="O31" s="4">
        <f t="shared" si="4"/>
        <v>35678</v>
      </c>
      <c r="P31" s="14">
        <v>133545</v>
      </c>
      <c r="Q31" s="5">
        <f t="shared" si="5"/>
        <v>0.9985046169950279</v>
      </c>
      <c r="R31" s="8">
        <v>74974</v>
      </c>
      <c r="S31" s="7">
        <v>54415</v>
      </c>
      <c r="T31" s="4">
        <f t="shared" si="6"/>
        <v>20621</v>
      </c>
      <c r="U31" s="14">
        <v>75036</v>
      </c>
      <c r="V31" s="5">
        <f t="shared" si="7"/>
        <v>1.0008269533438259</v>
      </c>
      <c r="W31" s="8">
        <v>77586</v>
      </c>
      <c r="X31" s="7">
        <v>55009</v>
      </c>
      <c r="Y31" s="4">
        <f t="shared" si="8"/>
        <v>21083</v>
      </c>
      <c r="Z31" s="14">
        <v>76092</v>
      </c>
      <c r="AA31" s="5">
        <f t="shared" si="9"/>
        <v>0.98074394865052972</v>
      </c>
      <c r="AB31" s="8">
        <v>135116</v>
      </c>
      <c r="AC31" s="7">
        <v>97955</v>
      </c>
      <c r="AD31" s="4">
        <f t="shared" si="10"/>
        <v>37198</v>
      </c>
      <c r="AE31" s="14">
        <v>135153</v>
      </c>
      <c r="AF31" s="5">
        <f t="shared" si="11"/>
        <v>1.0002738387755705</v>
      </c>
      <c r="AG31" s="8">
        <v>76230</v>
      </c>
      <c r="AH31" s="7">
        <v>53599</v>
      </c>
      <c r="AI31" s="4">
        <f t="shared" si="12"/>
        <v>22402</v>
      </c>
      <c r="AJ31" s="14">
        <v>76001</v>
      </c>
      <c r="AK31" s="5">
        <f t="shared" si="13"/>
        <v>0.99699593335956971</v>
      </c>
      <c r="AL31" s="8">
        <v>77611</v>
      </c>
      <c r="AM31" s="7">
        <v>58314</v>
      </c>
      <c r="AN31" s="4">
        <f t="shared" si="14"/>
        <v>18531</v>
      </c>
      <c r="AO31" s="14">
        <v>76845</v>
      </c>
      <c r="AP31" s="5">
        <f t="shared" si="15"/>
        <v>0.99013026503974955</v>
      </c>
      <c r="AQ31" s="8">
        <v>136879</v>
      </c>
      <c r="AR31" s="7">
        <v>102752</v>
      </c>
      <c r="AS31" s="4">
        <f t="shared" si="16"/>
        <v>34726</v>
      </c>
      <c r="AT31" s="14">
        <v>137478</v>
      </c>
      <c r="AU31" s="5">
        <f t="shared" si="17"/>
        <v>1.0043761278209222</v>
      </c>
      <c r="AV31" s="8">
        <v>76719</v>
      </c>
      <c r="AW31" s="7">
        <v>58861</v>
      </c>
      <c r="AX31" s="4">
        <f t="shared" si="18"/>
        <v>18049</v>
      </c>
      <c r="AY31" s="14">
        <v>76910</v>
      </c>
      <c r="AZ31" s="5">
        <f t="shared" si="19"/>
        <v>1.0024896049218577</v>
      </c>
      <c r="BA31" s="8">
        <v>78720</v>
      </c>
      <c r="BB31" s="7">
        <v>59824</v>
      </c>
      <c r="BC31" s="4">
        <f t="shared" si="20"/>
        <v>18512</v>
      </c>
      <c r="BD31" s="14">
        <v>78336</v>
      </c>
      <c r="BE31" s="5">
        <f t="shared" si="21"/>
        <v>0.99512195121951219</v>
      </c>
      <c r="BF31" s="8">
        <v>140181</v>
      </c>
      <c r="BG31" s="7">
        <v>91989</v>
      </c>
      <c r="BH31" s="4">
        <f t="shared" si="22"/>
        <v>48226</v>
      </c>
      <c r="BI31" s="14">
        <v>140215</v>
      </c>
      <c r="BJ31" s="5">
        <f t="shared" si="23"/>
        <v>1.0002425435686719</v>
      </c>
    </row>
    <row r="32" spans="1:62" x14ac:dyDescent="0.3">
      <c r="A32" s="19">
        <v>23</v>
      </c>
      <c r="B32" s="3" t="s">
        <v>28</v>
      </c>
      <c r="C32" s="8">
        <v>203718</v>
      </c>
      <c r="D32" s="7">
        <v>157993</v>
      </c>
      <c r="E32" s="4">
        <f t="shared" si="0"/>
        <v>45725</v>
      </c>
      <c r="F32" s="14">
        <v>203718</v>
      </c>
      <c r="G32" s="5">
        <f t="shared" si="1"/>
        <v>1</v>
      </c>
      <c r="H32" s="8">
        <v>210874</v>
      </c>
      <c r="I32" s="7">
        <v>165372</v>
      </c>
      <c r="J32" s="4">
        <f t="shared" si="2"/>
        <v>42722</v>
      </c>
      <c r="K32" s="14">
        <v>208094</v>
      </c>
      <c r="L32" s="5">
        <f t="shared" si="3"/>
        <v>0.98681677210087537</v>
      </c>
      <c r="M32" s="8">
        <v>441035</v>
      </c>
      <c r="N32" s="7">
        <v>344918</v>
      </c>
      <c r="O32" s="4">
        <f t="shared" si="4"/>
        <v>93407</v>
      </c>
      <c r="P32" s="14">
        <v>438325</v>
      </c>
      <c r="Q32" s="5">
        <f t="shared" si="5"/>
        <v>0.99385536295305366</v>
      </c>
      <c r="R32" s="8">
        <v>206418</v>
      </c>
      <c r="S32" s="7">
        <v>161041</v>
      </c>
      <c r="T32" s="4">
        <f t="shared" si="6"/>
        <v>44064</v>
      </c>
      <c r="U32" s="14">
        <v>205105</v>
      </c>
      <c r="V32" s="5">
        <f t="shared" si="7"/>
        <v>0.9936391206193258</v>
      </c>
      <c r="W32" s="8">
        <v>212709</v>
      </c>
      <c r="X32" s="7">
        <v>163187</v>
      </c>
      <c r="Y32" s="4">
        <f t="shared" si="8"/>
        <v>45962</v>
      </c>
      <c r="Z32" s="14">
        <v>209149</v>
      </c>
      <c r="AA32" s="5">
        <f t="shared" si="9"/>
        <v>0.98326351964420877</v>
      </c>
      <c r="AB32" s="8">
        <v>446806</v>
      </c>
      <c r="AC32" s="7">
        <v>347424</v>
      </c>
      <c r="AD32" s="4">
        <f t="shared" si="10"/>
        <v>97546</v>
      </c>
      <c r="AE32" s="14">
        <v>444970</v>
      </c>
      <c r="AF32" s="5">
        <f t="shared" si="11"/>
        <v>0.99589083405325807</v>
      </c>
      <c r="AG32" s="8">
        <v>210129</v>
      </c>
      <c r="AH32" s="7">
        <v>160354</v>
      </c>
      <c r="AI32" s="4">
        <f t="shared" si="12"/>
        <v>49149</v>
      </c>
      <c r="AJ32" s="14">
        <v>209503</v>
      </c>
      <c r="AK32" s="5">
        <f t="shared" si="13"/>
        <v>0.9970208776513475</v>
      </c>
      <c r="AL32" s="8">
        <v>217332</v>
      </c>
      <c r="AM32" s="7">
        <v>172532</v>
      </c>
      <c r="AN32" s="4">
        <f t="shared" si="14"/>
        <v>40358</v>
      </c>
      <c r="AO32" s="14">
        <v>212890</v>
      </c>
      <c r="AP32" s="5">
        <f t="shared" si="15"/>
        <v>0.97956122430198955</v>
      </c>
      <c r="AQ32" s="8">
        <v>453805</v>
      </c>
      <c r="AR32" s="7">
        <v>359519</v>
      </c>
      <c r="AS32" s="4">
        <f t="shared" si="16"/>
        <v>93316</v>
      </c>
      <c r="AT32" s="14">
        <v>452835</v>
      </c>
      <c r="AU32" s="5">
        <f t="shared" si="17"/>
        <v>0.99786251804189019</v>
      </c>
      <c r="AV32" s="8">
        <v>213428</v>
      </c>
      <c r="AW32" s="7">
        <v>173225</v>
      </c>
      <c r="AX32" s="4">
        <f t="shared" si="18"/>
        <v>40186</v>
      </c>
      <c r="AY32" s="14">
        <v>213411</v>
      </c>
      <c r="AZ32" s="5">
        <f t="shared" si="19"/>
        <v>0.99992034784564354</v>
      </c>
      <c r="BA32" s="8">
        <v>220509</v>
      </c>
      <c r="BB32" s="7">
        <v>178242</v>
      </c>
      <c r="BC32" s="4">
        <f t="shared" si="20"/>
        <v>39364</v>
      </c>
      <c r="BD32" s="14">
        <v>217606</v>
      </c>
      <c r="BE32" s="5">
        <f t="shared" si="21"/>
        <v>0.98683500446693784</v>
      </c>
      <c r="BF32" s="8">
        <v>463937</v>
      </c>
      <c r="BG32" s="7">
        <v>333202</v>
      </c>
      <c r="BH32" s="4">
        <f t="shared" si="22"/>
        <v>127829</v>
      </c>
      <c r="BI32" s="14">
        <v>461031</v>
      </c>
      <c r="BJ32" s="5">
        <f t="shared" si="23"/>
        <v>0.99373621849518357</v>
      </c>
    </row>
    <row r="33" spans="1:62" x14ac:dyDescent="0.3">
      <c r="A33" s="19">
        <v>24</v>
      </c>
      <c r="B33" s="3" t="s">
        <v>29</v>
      </c>
      <c r="C33" s="8">
        <v>620995</v>
      </c>
      <c r="D33" s="7">
        <v>549172</v>
      </c>
      <c r="E33" s="4">
        <f t="shared" si="0"/>
        <v>74095</v>
      </c>
      <c r="F33" s="14">
        <v>623267</v>
      </c>
      <c r="G33" s="5">
        <f t="shared" si="1"/>
        <v>1.0036586445945619</v>
      </c>
      <c r="H33" s="8">
        <v>630476</v>
      </c>
      <c r="I33" s="7">
        <v>552312</v>
      </c>
      <c r="J33" s="4">
        <f t="shared" si="2"/>
        <v>78139</v>
      </c>
      <c r="K33" s="14">
        <v>630451</v>
      </c>
      <c r="L33" s="5">
        <f t="shared" si="3"/>
        <v>0.99996034742004458</v>
      </c>
      <c r="M33" s="8">
        <v>1032030</v>
      </c>
      <c r="N33" s="7">
        <v>901361</v>
      </c>
      <c r="O33" s="4">
        <f t="shared" si="4"/>
        <v>130787</v>
      </c>
      <c r="P33" s="14">
        <v>1032148</v>
      </c>
      <c r="Q33" s="5">
        <f t="shared" si="5"/>
        <v>1.0001143377614992</v>
      </c>
      <c r="R33" s="8">
        <v>629419</v>
      </c>
      <c r="S33" s="7">
        <v>550494</v>
      </c>
      <c r="T33" s="4">
        <f t="shared" si="6"/>
        <v>79472</v>
      </c>
      <c r="U33" s="14">
        <v>629966</v>
      </c>
      <c r="V33" s="5">
        <f t="shared" si="7"/>
        <v>1.0008690554304842</v>
      </c>
      <c r="W33" s="8">
        <v>637378</v>
      </c>
      <c r="X33" s="7">
        <v>555109</v>
      </c>
      <c r="Y33" s="4">
        <f t="shared" si="8"/>
        <v>80056</v>
      </c>
      <c r="Z33" s="14">
        <v>635165</v>
      </c>
      <c r="AA33" s="5">
        <f t="shared" si="9"/>
        <v>0.99652796299840907</v>
      </c>
      <c r="AB33" s="8">
        <v>1041984</v>
      </c>
      <c r="AC33" s="7">
        <v>899855</v>
      </c>
      <c r="AD33" s="4">
        <f t="shared" si="10"/>
        <v>142397</v>
      </c>
      <c r="AE33" s="14">
        <v>1042252</v>
      </c>
      <c r="AF33" s="5">
        <f t="shared" si="11"/>
        <v>1.0002572016460904</v>
      </c>
      <c r="AG33" s="8">
        <v>638215</v>
      </c>
      <c r="AH33" s="7">
        <v>522882</v>
      </c>
      <c r="AI33" s="4">
        <f t="shared" si="12"/>
        <v>115969</v>
      </c>
      <c r="AJ33" s="14">
        <v>638851</v>
      </c>
      <c r="AK33" s="5">
        <f t="shared" si="13"/>
        <v>1.0009965293827314</v>
      </c>
      <c r="AL33" s="8">
        <v>645318</v>
      </c>
      <c r="AM33" s="7">
        <v>567153</v>
      </c>
      <c r="AN33" s="4">
        <f t="shared" si="14"/>
        <v>75269</v>
      </c>
      <c r="AO33" s="14">
        <v>642422</v>
      </c>
      <c r="AP33" s="5">
        <f t="shared" si="15"/>
        <v>0.99551229006474329</v>
      </c>
      <c r="AQ33" s="8">
        <v>1053133</v>
      </c>
      <c r="AR33" s="7">
        <v>918586</v>
      </c>
      <c r="AS33" s="4">
        <f t="shared" si="16"/>
        <v>135445</v>
      </c>
      <c r="AT33" s="14">
        <v>1054031</v>
      </c>
      <c r="AU33" s="5">
        <f t="shared" si="17"/>
        <v>1.0008526938192992</v>
      </c>
      <c r="AV33" s="8">
        <v>647979</v>
      </c>
      <c r="AW33" s="7">
        <v>580247</v>
      </c>
      <c r="AX33" s="4">
        <f t="shared" si="18"/>
        <v>69705</v>
      </c>
      <c r="AY33" s="14">
        <v>649952</v>
      </c>
      <c r="AZ33" s="5">
        <f t="shared" si="19"/>
        <v>1.0030448517621713</v>
      </c>
      <c r="BA33" s="8">
        <v>657743</v>
      </c>
      <c r="BB33" s="7">
        <v>592067</v>
      </c>
      <c r="BC33" s="4">
        <f t="shared" si="20"/>
        <v>65964</v>
      </c>
      <c r="BD33" s="14">
        <v>658031</v>
      </c>
      <c r="BE33" s="5">
        <f t="shared" si="21"/>
        <v>1.0004378609882583</v>
      </c>
      <c r="BF33" s="8">
        <v>1071541</v>
      </c>
      <c r="BG33" s="7">
        <v>917244</v>
      </c>
      <c r="BH33" s="4">
        <f t="shared" si="22"/>
        <v>153847</v>
      </c>
      <c r="BI33" s="14">
        <v>1071091</v>
      </c>
      <c r="BJ33" s="5">
        <f t="shared" si="23"/>
        <v>0.99958004406737588</v>
      </c>
    </row>
    <row r="34" spans="1:62" x14ac:dyDescent="0.3">
      <c r="A34" s="19">
        <v>25</v>
      </c>
      <c r="B34" s="3" t="s">
        <v>30</v>
      </c>
      <c r="C34" s="15">
        <v>0</v>
      </c>
      <c r="D34" s="15">
        <v>0</v>
      </c>
      <c r="E34" s="15" t="s">
        <v>47</v>
      </c>
      <c r="F34" s="15">
        <v>0</v>
      </c>
      <c r="G34" s="15" t="s">
        <v>47</v>
      </c>
      <c r="H34" s="15">
        <v>0</v>
      </c>
      <c r="I34" s="15">
        <v>0</v>
      </c>
      <c r="J34" s="15" t="s">
        <v>47</v>
      </c>
      <c r="K34" s="15">
        <v>0</v>
      </c>
      <c r="L34" s="15" t="s">
        <v>47</v>
      </c>
      <c r="M34" s="15">
        <v>0</v>
      </c>
      <c r="N34" s="15">
        <v>0</v>
      </c>
      <c r="O34" s="15" t="s">
        <v>47</v>
      </c>
      <c r="P34" s="15">
        <v>0</v>
      </c>
      <c r="Q34" s="15" t="s">
        <v>47</v>
      </c>
      <c r="R34" s="15">
        <v>0</v>
      </c>
      <c r="S34" s="15">
        <v>0</v>
      </c>
      <c r="T34" s="15" t="s">
        <v>47</v>
      </c>
      <c r="U34" s="15">
        <v>0</v>
      </c>
      <c r="V34" s="15" t="s">
        <v>47</v>
      </c>
      <c r="W34" s="15">
        <v>0</v>
      </c>
      <c r="X34" s="15">
        <v>0</v>
      </c>
      <c r="Y34" s="15" t="s">
        <v>47</v>
      </c>
      <c r="Z34" s="15">
        <v>0</v>
      </c>
      <c r="AA34" s="15" t="s">
        <v>47</v>
      </c>
      <c r="AB34" s="15">
        <v>0</v>
      </c>
      <c r="AC34" s="15">
        <v>0</v>
      </c>
      <c r="AD34" s="15" t="s">
        <v>47</v>
      </c>
      <c r="AE34" s="15">
        <v>0</v>
      </c>
      <c r="AF34" s="15" t="s">
        <v>47</v>
      </c>
      <c r="AG34" s="15">
        <v>0</v>
      </c>
      <c r="AH34" s="15">
        <v>0</v>
      </c>
      <c r="AI34" s="15" t="s">
        <v>47</v>
      </c>
      <c r="AJ34" s="15">
        <v>0</v>
      </c>
      <c r="AK34" s="15" t="s">
        <v>47</v>
      </c>
      <c r="AL34" s="15">
        <v>0</v>
      </c>
      <c r="AM34" s="15">
        <v>0</v>
      </c>
      <c r="AN34" s="15" t="s">
        <v>47</v>
      </c>
      <c r="AO34" s="15">
        <v>1</v>
      </c>
      <c r="AP34" s="15" t="s">
        <v>47</v>
      </c>
      <c r="AQ34" s="15">
        <v>1</v>
      </c>
      <c r="AR34" s="15">
        <v>0</v>
      </c>
      <c r="AS34" s="15" t="s">
        <v>47</v>
      </c>
      <c r="AT34" s="15">
        <v>0</v>
      </c>
      <c r="AU34" s="15" t="s">
        <v>47</v>
      </c>
      <c r="AV34" s="15">
        <v>1</v>
      </c>
      <c r="AW34" s="15">
        <v>0</v>
      </c>
      <c r="AX34" s="15" t="s">
        <v>47</v>
      </c>
      <c r="AY34" s="15">
        <v>0</v>
      </c>
      <c r="AZ34" s="15" t="s">
        <v>47</v>
      </c>
      <c r="BA34" s="15">
        <v>1</v>
      </c>
      <c r="BB34" s="15">
        <v>0</v>
      </c>
      <c r="BC34" s="15" t="s">
        <v>47</v>
      </c>
      <c r="BD34" s="15">
        <v>0</v>
      </c>
      <c r="BE34" s="15" t="s">
        <v>47</v>
      </c>
      <c r="BF34" s="15">
        <v>1</v>
      </c>
      <c r="BG34" s="15">
        <v>0</v>
      </c>
      <c r="BH34" s="15" t="s">
        <v>47</v>
      </c>
      <c r="BI34" s="15">
        <v>0</v>
      </c>
      <c r="BJ34" s="15" t="s">
        <v>47</v>
      </c>
    </row>
    <row r="35" spans="1:62" x14ac:dyDescent="0.3">
      <c r="A35" s="19">
        <v>26</v>
      </c>
      <c r="B35" s="3" t="s">
        <v>31</v>
      </c>
      <c r="C35" s="8">
        <v>11569</v>
      </c>
      <c r="D35" s="7">
        <v>9463</v>
      </c>
      <c r="E35" s="4">
        <f t="shared" si="0"/>
        <v>2118</v>
      </c>
      <c r="F35" s="14">
        <v>11581</v>
      </c>
      <c r="G35" s="5">
        <f t="shared" ref="G35:G47" si="24">F35/C35</f>
        <v>1.0010372547324746</v>
      </c>
      <c r="H35" s="8">
        <v>11660</v>
      </c>
      <c r="I35" s="7">
        <v>9469</v>
      </c>
      <c r="J35" s="4">
        <f t="shared" ref="J35:J48" si="25">K35-I35</f>
        <v>2137</v>
      </c>
      <c r="K35" s="14">
        <v>11606</v>
      </c>
      <c r="L35" s="5">
        <f t="shared" ref="L35:L48" si="26">K35/H35</f>
        <v>0.99536878216123503</v>
      </c>
      <c r="M35" s="8">
        <v>14448</v>
      </c>
      <c r="N35" s="7">
        <v>11691</v>
      </c>
      <c r="O35" s="4">
        <f t="shared" ref="O35:O48" si="27">P35-N35</f>
        <v>2722</v>
      </c>
      <c r="P35" s="14">
        <v>14413</v>
      </c>
      <c r="Q35" s="5">
        <f t="shared" ref="Q35:Q48" si="28">P35/M35</f>
        <v>0.99757751937984496</v>
      </c>
      <c r="R35" s="8">
        <v>11629</v>
      </c>
      <c r="S35" s="7">
        <v>9289</v>
      </c>
      <c r="T35" s="4">
        <f t="shared" ref="T35:T47" si="29">U35-S35</f>
        <v>2334</v>
      </c>
      <c r="U35" s="14">
        <v>11623</v>
      </c>
      <c r="V35" s="5">
        <f t="shared" ref="V35:V48" si="30">U35/R35</f>
        <v>0.99948404849944106</v>
      </c>
      <c r="W35" s="8">
        <v>11769</v>
      </c>
      <c r="X35" s="7">
        <v>9270</v>
      </c>
      <c r="Y35" s="4">
        <f t="shared" ref="Y35:Y48" si="31">Z35-X35</f>
        <v>2389</v>
      </c>
      <c r="Z35" s="14">
        <v>11659</v>
      </c>
      <c r="AA35" s="5">
        <f t="shared" ref="AA35:AA48" si="32">Z35/W35</f>
        <v>0.9906534115048008</v>
      </c>
      <c r="AB35" s="8">
        <v>14510</v>
      </c>
      <c r="AC35" s="7">
        <v>11613</v>
      </c>
      <c r="AD35" s="4">
        <f t="shared" ref="AD35:AD48" si="33">AE35-AC35</f>
        <v>2877</v>
      </c>
      <c r="AE35" s="14">
        <v>14490</v>
      </c>
      <c r="AF35" s="5">
        <f t="shared" ref="AF35:AF48" si="34">AE35/AB35</f>
        <v>0.99862164024810474</v>
      </c>
      <c r="AG35" s="8">
        <v>11749</v>
      </c>
      <c r="AH35" s="7">
        <v>9182</v>
      </c>
      <c r="AI35" s="4">
        <f t="shared" ref="AI35:AI48" si="35">AJ35-AH35</f>
        <v>2546</v>
      </c>
      <c r="AJ35" s="14">
        <v>11728</v>
      </c>
      <c r="AK35" s="5">
        <f t="shared" ref="AK35:AK48" si="36">AJ35/AG35</f>
        <v>0.99821261383947568</v>
      </c>
      <c r="AL35" s="8">
        <v>11839</v>
      </c>
      <c r="AM35" s="7">
        <v>9646</v>
      </c>
      <c r="AN35" s="4">
        <f t="shared" ref="AN35:AN48" si="37">AO35-AM35</f>
        <v>2113</v>
      </c>
      <c r="AO35" s="14">
        <v>11759</v>
      </c>
      <c r="AP35" s="5">
        <f t="shared" ref="AP35:AP48" si="38">AO35/AL35</f>
        <v>0.99324267252301712</v>
      </c>
      <c r="AQ35" s="8">
        <v>14639</v>
      </c>
      <c r="AR35" s="7">
        <v>11898</v>
      </c>
      <c r="AS35" s="4">
        <f t="shared" ref="AS35:AS48" si="39">AT35-AR35</f>
        <v>2697</v>
      </c>
      <c r="AT35" s="14">
        <v>14595</v>
      </c>
      <c r="AU35" s="5">
        <f t="shared" ref="AU35:AU48" si="40">AT35/AQ35</f>
        <v>0.99699433021381245</v>
      </c>
      <c r="AV35" s="8">
        <v>11843</v>
      </c>
      <c r="AW35" s="7">
        <v>9730</v>
      </c>
      <c r="AX35" s="4">
        <f t="shared" ref="AX35:AX48" si="41">AY35-AW35</f>
        <v>2101</v>
      </c>
      <c r="AY35" s="14">
        <v>11831</v>
      </c>
      <c r="AZ35" s="5">
        <f t="shared" ref="AZ35:AZ48" si="42">AY35/AV35</f>
        <v>0.99898674322384529</v>
      </c>
      <c r="BA35" s="8">
        <v>11921</v>
      </c>
      <c r="BB35" s="7">
        <v>9883</v>
      </c>
      <c r="BC35" s="4">
        <f t="shared" ref="BC35:BC48" si="43">BD35-BB35</f>
        <v>1973</v>
      </c>
      <c r="BD35" s="14">
        <v>11856</v>
      </c>
      <c r="BE35" s="5">
        <f t="shared" ref="BE35:BE48" si="44">BD35/BA35</f>
        <v>0.99454743729552886</v>
      </c>
      <c r="BF35" s="8">
        <v>14735</v>
      </c>
      <c r="BG35" s="7">
        <v>11744</v>
      </c>
      <c r="BH35" s="4">
        <f t="shared" ref="BH35:BH48" si="45">BI35-BG35</f>
        <v>2953</v>
      </c>
      <c r="BI35" s="14">
        <v>14697</v>
      </c>
      <c r="BJ35" s="5">
        <f t="shared" ref="BJ35:BJ48" si="46">BI35/BF35</f>
        <v>0.99742110620970481</v>
      </c>
    </row>
    <row r="36" spans="1:62" x14ac:dyDescent="0.3">
      <c r="A36" s="19">
        <v>27</v>
      </c>
      <c r="B36" s="3" t="s">
        <v>32</v>
      </c>
      <c r="C36" s="8">
        <v>836037</v>
      </c>
      <c r="D36" s="7">
        <v>659178</v>
      </c>
      <c r="E36" s="4">
        <f t="shared" si="0"/>
        <v>175078</v>
      </c>
      <c r="F36" s="14">
        <v>834256</v>
      </c>
      <c r="G36" s="5">
        <f t="shared" si="24"/>
        <v>0.99786971150798354</v>
      </c>
      <c r="H36" s="8">
        <v>854298</v>
      </c>
      <c r="I36" s="7">
        <v>674005</v>
      </c>
      <c r="J36" s="4">
        <f t="shared" si="25"/>
        <v>170063</v>
      </c>
      <c r="K36" s="14">
        <v>844068</v>
      </c>
      <c r="L36" s="5">
        <f t="shared" si="26"/>
        <v>0.98802525582408007</v>
      </c>
      <c r="M36" s="8">
        <v>1510524</v>
      </c>
      <c r="N36" s="7">
        <v>1186998</v>
      </c>
      <c r="O36" s="4">
        <f t="shared" si="27"/>
        <v>314006</v>
      </c>
      <c r="P36" s="14">
        <v>1501004</v>
      </c>
      <c r="Q36" s="5">
        <f t="shared" si="28"/>
        <v>0.99369755131331905</v>
      </c>
      <c r="R36" s="8">
        <v>845008</v>
      </c>
      <c r="S36" s="7">
        <v>662065</v>
      </c>
      <c r="T36" s="4">
        <f t="shared" si="29"/>
        <v>178634</v>
      </c>
      <c r="U36" s="14">
        <v>840699</v>
      </c>
      <c r="V36" s="5">
        <f t="shared" si="30"/>
        <v>0.99490063999394085</v>
      </c>
      <c r="W36" s="8">
        <v>865288</v>
      </c>
      <c r="X36" s="7">
        <v>662910</v>
      </c>
      <c r="Y36" s="4">
        <f t="shared" si="31"/>
        <v>186883</v>
      </c>
      <c r="Z36" s="14">
        <v>849793</v>
      </c>
      <c r="AA36" s="5">
        <f t="shared" si="32"/>
        <v>0.98209266741246848</v>
      </c>
      <c r="AB36" s="8">
        <v>1522408</v>
      </c>
      <c r="AC36" s="7">
        <v>1187346</v>
      </c>
      <c r="AD36" s="4">
        <f t="shared" si="33"/>
        <v>327773</v>
      </c>
      <c r="AE36" s="14">
        <v>1515119</v>
      </c>
      <c r="AF36" s="5">
        <f t="shared" si="34"/>
        <v>0.99521219016190143</v>
      </c>
      <c r="AG36" s="8">
        <v>860909</v>
      </c>
      <c r="AH36" s="7">
        <v>660435</v>
      </c>
      <c r="AI36" s="4">
        <f t="shared" si="35"/>
        <v>196506</v>
      </c>
      <c r="AJ36" s="14">
        <v>856941</v>
      </c>
      <c r="AK36" s="5">
        <f t="shared" si="36"/>
        <v>0.99539091820389847</v>
      </c>
      <c r="AL36" s="8">
        <v>879793</v>
      </c>
      <c r="AM36" s="7">
        <v>704595</v>
      </c>
      <c r="AN36" s="4">
        <f t="shared" si="37"/>
        <v>162072</v>
      </c>
      <c r="AO36" s="14">
        <v>866667</v>
      </c>
      <c r="AP36" s="5">
        <f t="shared" si="38"/>
        <v>0.98508058145495592</v>
      </c>
      <c r="AQ36" s="8">
        <v>1539776</v>
      </c>
      <c r="AR36" s="7">
        <v>1236611</v>
      </c>
      <c r="AS36" s="4">
        <f t="shared" si="39"/>
        <v>300114</v>
      </c>
      <c r="AT36" s="14">
        <v>1536725</v>
      </c>
      <c r="AU36" s="5">
        <f t="shared" si="40"/>
        <v>0.99801854295689763</v>
      </c>
      <c r="AV36" s="8">
        <v>875330</v>
      </c>
      <c r="AW36" s="7">
        <v>712837</v>
      </c>
      <c r="AX36" s="4">
        <f t="shared" si="41"/>
        <v>161030</v>
      </c>
      <c r="AY36" s="14">
        <v>873867</v>
      </c>
      <c r="AZ36" s="5">
        <f t="shared" si="42"/>
        <v>0.99832863034512698</v>
      </c>
      <c r="BA36" s="8">
        <v>893595</v>
      </c>
      <c r="BB36" s="7">
        <v>732267</v>
      </c>
      <c r="BC36" s="4">
        <f t="shared" si="43"/>
        <v>151839</v>
      </c>
      <c r="BD36" s="14">
        <v>884106</v>
      </c>
      <c r="BE36" s="5">
        <f t="shared" si="44"/>
        <v>0.98938109546270958</v>
      </c>
      <c r="BF36" s="8">
        <v>1566403</v>
      </c>
      <c r="BG36" s="7">
        <v>1191797</v>
      </c>
      <c r="BH36" s="4">
        <f t="shared" si="45"/>
        <v>365378</v>
      </c>
      <c r="BI36" s="14">
        <v>1557175</v>
      </c>
      <c r="BJ36" s="5">
        <f t="shared" si="46"/>
        <v>0.99410879575690292</v>
      </c>
    </row>
    <row r="37" spans="1:62" x14ac:dyDescent="0.3">
      <c r="A37" s="19">
        <v>29</v>
      </c>
      <c r="B37" s="3" t="s">
        <v>33</v>
      </c>
      <c r="C37" s="8">
        <v>675549</v>
      </c>
      <c r="D37" s="7">
        <v>536439</v>
      </c>
      <c r="E37" s="4">
        <f t="shared" si="0"/>
        <v>131206</v>
      </c>
      <c r="F37" s="14">
        <v>667645</v>
      </c>
      <c r="G37" s="5">
        <f t="shared" si="24"/>
        <v>0.98829988646271405</v>
      </c>
      <c r="H37" s="8">
        <v>681828</v>
      </c>
      <c r="I37" s="7">
        <v>548665</v>
      </c>
      <c r="J37" s="4">
        <f t="shared" si="25"/>
        <v>121662</v>
      </c>
      <c r="K37" s="14">
        <v>670327</v>
      </c>
      <c r="L37" s="5">
        <f t="shared" si="26"/>
        <v>0.98313210956428898</v>
      </c>
      <c r="M37" s="8">
        <v>856106</v>
      </c>
      <c r="N37" s="7">
        <v>692206</v>
      </c>
      <c r="O37" s="4">
        <f t="shared" si="27"/>
        <v>152398</v>
      </c>
      <c r="P37" s="14">
        <v>844604</v>
      </c>
      <c r="Q37" s="5">
        <f t="shared" si="28"/>
        <v>0.98656474782328352</v>
      </c>
      <c r="R37" s="8">
        <v>679636</v>
      </c>
      <c r="S37" s="7">
        <v>541963</v>
      </c>
      <c r="T37" s="4">
        <f t="shared" si="29"/>
        <v>129385</v>
      </c>
      <c r="U37" s="14">
        <v>671348</v>
      </c>
      <c r="V37" s="5">
        <f t="shared" si="30"/>
        <v>0.98780523692094002</v>
      </c>
      <c r="W37" s="8">
        <v>687189</v>
      </c>
      <c r="X37" s="7">
        <v>545134</v>
      </c>
      <c r="Y37" s="4">
        <f t="shared" si="31"/>
        <v>131010</v>
      </c>
      <c r="Z37" s="14">
        <v>676144</v>
      </c>
      <c r="AA37" s="5">
        <f t="shared" si="32"/>
        <v>0.98392727473809971</v>
      </c>
      <c r="AB37" s="8">
        <v>863912</v>
      </c>
      <c r="AC37" s="7">
        <v>690123</v>
      </c>
      <c r="AD37" s="4">
        <f t="shared" si="33"/>
        <v>163671</v>
      </c>
      <c r="AE37" s="14">
        <v>853794</v>
      </c>
      <c r="AF37" s="5">
        <f t="shared" si="34"/>
        <v>0.98828815897915523</v>
      </c>
      <c r="AG37" s="8">
        <v>690763</v>
      </c>
      <c r="AH37" s="7">
        <v>550567</v>
      </c>
      <c r="AI37" s="4">
        <f t="shared" si="35"/>
        <v>132034</v>
      </c>
      <c r="AJ37" s="14">
        <v>682601</v>
      </c>
      <c r="AK37" s="5">
        <f t="shared" si="36"/>
        <v>0.98818408050228512</v>
      </c>
      <c r="AL37" s="8">
        <v>697437</v>
      </c>
      <c r="AM37" s="7">
        <v>571971</v>
      </c>
      <c r="AN37" s="4">
        <f t="shared" si="37"/>
        <v>116243</v>
      </c>
      <c r="AO37" s="14">
        <v>688214</v>
      </c>
      <c r="AP37" s="5">
        <f t="shared" si="38"/>
        <v>0.98677586649403459</v>
      </c>
      <c r="AQ37" s="8">
        <v>873380</v>
      </c>
      <c r="AR37" s="7">
        <v>717289</v>
      </c>
      <c r="AS37" s="4">
        <f t="shared" si="39"/>
        <v>150094</v>
      </c>
      <c r="AT37" s="14">
        <v>867383</v>
      </c>
      <c r="AU37" s="5">
        <f t="shared" si="40"/>
        <v>0.99313357301518235</v>
      </c>
      <c r="AV37" s="8">
        <v>700086</v>
      </c>
      <c r="AW37" s="7">
        <v>577412</v>
      </c>
      <c r="AX37" s="4">
        <f t="shared" si="41"/>
        <v>117165</v>
      </c>
      <c r="AY37" s="14">
        <v>694577</v>
      </c>
      <c r="AZ37" s="5">
        <f t="shared" si="42"/>
        <v>0.99213096676694001</v>
      </c>
      <c r="BA37" s="8">
        <v>708485</v>
      </c>
      <c r="BB37" s="7">
        <v>585872</v>
      </c>
      <c r="BC37" s="4">
        <f t="shared" si="43"/>
        <v>113218</v>
      </c>
      <c r="BD37" s="14">
        <v>699090</v>
      </c>
      <c r="BE37" s="5">
        <f t="shared" si="44"/>
        <v>0.98673930993599013</v>
      </c>
      <c r="BF37" s="8">
        <v>887779</v>
      </c>
      <c r="BG37" s="7">
        <v>689835</v>
      </c>
      <c r="BH37" s="4">
        <f t="shared" si="45"/>
        <v>186726</v>
      </c>
      <c r="BI37" s="14">
        <v>876561</v>
      </c>
      <c r="BJ37" s="5">
        <f t="shared" si="46"/>
        <v>0.98736397233996298</v>
      </c>
    </row>
    <row r="38" spans="1:62" x14ac:dyDescent="0.3">
      <c r="A38" s="19">
        <v>30</v>
      </c>
      <c r="B38" s="3" t="s">
        <v>34</v>
      </c>
      <c r="C38" s="8">
        <v>22737</v>
      </c>
      <c r="D38" s="7">
        <v>16834</v>
      </c>
      <c r="E38" s="4">
        <f t="shared" si="0"/>
        <v>6082</v>
      </c>
      <c r="F38" s="14">
        <v>22916</v>
      </c>
      <c r="G38" s="5">
        <f t="shared" si="24"/>
        <v>1.0078726305141399</v>
      </c>
      <c r="H38" s="8">
        <v>23122</v>
      </c>
      <c r="I38" s="7">
        <v>17364</v>
      </c>
      <c r="J38" s="4">
        <f t="shared" si="25"/>
        <v>5826</v>
      </c>
      <c r="K38" s="14">
        <v>23190</v>
      </c>
      <c r="L38" s="5">
        <f t="shared" si="26"/>
        <v>1.0029409220655652</v>
      </c>
      <c r="M38" s="8">
        <v>35582</v>
      </c>
      <c r="N38" s="7">
        <v>26622</v>
      </c>
      <c r="O38" s="4">
        <f t="shared" si="27"/>
        <v>9161</v>
      </c>
      <c r="P38" s="14">
        <v>35783</v>
      </c>
      <c r="Q38" s="5">
        <f t="shared" si="28"/>
        <v>1.0056489236130628</v>
      </c>
      <c r="R38" s="8">
        <v>22911</v>
      </c>
      <c r="S38" s="7">
        <v>17030</v>
      </c>
      <c r="T38" s="4">
        <f t="shared" si="29"/>
        <v>6112</v>
      </c>
      <c r="U38" s="14">
        <v>23142</v>
      </c>
      <c r="V38" s="5">
        <f t="shared" si="30"/>
        <v>1.010082493125573</v>
      </c>
      <c r="W38" s="8">
        <v>23450</v>
      </c>
      <c r="X38" s="7">
        <v>17022</v>
      </c>
      <c r="Y38" s="4">
        <f t="shared" si="31"/>
        <v>6344</v>
      </c>
      <c r="Z38" s="14">
        <v>23366</v>
      </c>
      <c r="AA38" s="5">
        <f t="shared" si="32"/>
        <v>0.99641791044776118</v>
      </c>
      <c r="AB38" s="8">
        <v>35915</v>
      </c>
      <c r="AC38" s="7">
        <v>27137</v>
      </c>
      <c r="AD38" s="4">
        <f t="shared" si="33"/>
        <v>9135</v>
      </c>
      <c r="AE38" s="14">
        <v>36272</v>
      </c>
      <c r="AF38" s="5">
        <f t="shared" si="34"/>
        <v>1.0099401364332452</v>
      </c>
      <c r="AG38" s="8">
        <v>23414</v>
      </c>
      <c r="AH38" s="7">
        <v>17672</v>
      </c>
      <c r="AI38" s="4">
        <f t="shared" si="35"/>
        <v>5996</v>
      </c>
      <c r="AJ38" s="14">
        <v>23668</v>
      </c>
      <c r="AK38" s="5">
        <f t="shared" si="36"/>
        <v>1.0108482104723671</v>
      </c>
      <c r="AL38" s="8">
        <v>23927</v>
      </c>
      <c r="AM38" s="7">
        <v>18045</v>
      </c>
      <c r="AN38" s="4">
        <f t="shared" si="37"/>
        <v>5876</v>
      </c>
      <c r="AO38" s="14">
        <v>23921</v>
      </c>
      <c r="AP38" s="5">
        <f t="shared" si="38"/>
        <v>0.99974923726334264</v>
      </c>
      <c r="AQ38" s="8">
        <v>36551</v>
      </c>
      <c r="AR38" s="7">
        <v>28314</v>
      </c>
      <c r="AS38" s="4">
        <f t="shared" si="39"/>
        <v>8728</v>
      </c>
      <c r="AT38" s="14">
        <v>37042</v>
      </c>
      <c r="AU38" s="5">
        <f t="shared" si="40"/>
        <v>1.0134332849990424</v>
      </c>
      <c r="AV38" s="8">
        <v>23833</v>
      </c>
      <c r="AW38" s="7">
        <v>18593</v>
      </c>
      <c r="AX38" s="4">
        <f t="shared" si="41"/>
        <v>5582</v>
      </c>
      <c r="AY38" s="14">
        <v>24175</v>
      </c>
      <c r="AZ38" s="5">
        <f t="shared" si="42"/>
        <v>1.0143498510468678</v>
      </c>
      <c r="BA38" s="8">
        <v>24292</v>
      </c>
      <c r="BB38" s="7">
        <v>19106</v>
      </c>
      <c r="BC38" s="4">
        <f t="shared" si="43"/>
        <v>5309</v>
      </c>
      <c r="BD38" s="14">
        <v>24415</v>
      </c>
      <c r="BE38" s="5">
        <f t="shared" si="44"/>
        <v>1.005063395356496</v>
      </c>
      <c r="BF38" s="8">
        <v>37393</v>
      </c>
      <c r="BG38" s="7">
        <v>27236</v>
      </c>
      <c r="BH38" s="4">
        <f t="shared" si="45"/>
        <v>10305</v>
      </c>
      <c r="BI38" s="14">
        <v>37541</v>
      </c>
      <c r="BJ38" s="5">
        <f t="shared" si="46"/>
        <v>1.003957960045998</v>
      </c>
    </row>
    <row r="39" spans="1:62" x14ac:dyDescent="0.3">
      <c r="A39" s="19">
        <v>31</v>
      </c>
      <c r="B39" s="3" t="s">
        <v>35</v>
      </c>
      <c r="C39" s="8">
        <v>184</v>
      </c>
      <c r="D39" s="7">
        <v>127</v>
      </c>
      <c r="E39" s="4">
        <f t="shared" si="0"/>
        <v>59</v>
      </c>
      <c r="F39" s="14">
        <v>186</v>
      </c>
      <c r="G39" s="5">
        <f t="shared" si="24"/>
        <v>1.0108695652173914</v>
      </c>
      <c r="H39" s="8">
        <v>185</v>
      </c>
      <c r="I39" s="7">
        <v>131</v>
      </c>
      <c r="J39" s="4">
        <f t="shared" si="25"/>
        <v>57</v>
      </c>
      <c r="K39" s="14">
        <v>188</v>
      </c>
      <c r="L39" s="5">
        <f t="shared" si="26"/>
        <v>1.0162162162162163</v>
      </c>
      <c r="M39" s="8">
        <v>225</v>
      </c>
      <c r="N39" s="7">
        <v>171</v>
      </c>
      <c r="O39" s="4">
        <f t="shared" si="27"/>
        <v>57</v>
      </c>
      <c r="P39" s="14">
        <v>228</v>
      </c>
      <c r="Q39" s="5">
        <f t="shared" si="28"/>
        <v>1.0133333333333334</v>
      </c>
      <c r="R39" s="8">
        <v>185</v>
      </c>
      <c r="S39" s="7">
        <v>139</v>
      </c>
      <c r="T39" s="4">
        <f t="shared" si="29"/>
        <v>50</v>
      </c>
      <c r="U39" s="14">
        <v>189</v>
      </c>
      <c r="V39" s="5">
        <f t="shared" si="30"/>
        <v>1.0216216216216216</v>
      </c>
      <c r="W39" s="8">
        <v>190</v>
      </c>
      <c r="X39" s="7">
        <v>139</v>
      </c>
      <c r="Y39" s="4">
        <f t="shared" si="31"/>
        <v>53</v>
      </c>
      <c r="Z39" s="14">
        <v>192</v>
      </c>
      <c r="AA39" s="5">
        <f t="shared" si="32"/>
        <v>1.0105263157894737</v>
      </c>
      <c r="AB39" s="8">
        <v>229</v>
      </c>
      <c r="AC39" s="7">
        <v>176</v>
      </c>
      <c r="AD39" s="4">
        <f t="shared" si="33"/>
        <v>55</v>
      </c>
      <c r="AE39" s="14">
        <v>231</v>
      </c>
      <c r="AF39" s="5">
        <f t="shared" si="34"/>
        <v>1.0087336244541485</v>
      </c>
      <c r="AG39" s="8">
        <v>192</v>
      </c>
      <c r="AH39" s="7">
        <v>136</v>
      </c>
      <c r="AI39" s="4">
        <f t="shared" si="35"/>
        <v>52</v>
      </c>
      <c r="AJ39" s="14">
        <v>188</v>
      </c>
      <c r="AK39" s="5">
        <f t="shared" si="36"/>
        <v>0.97916666666666663</v>
      </c>
      <c r="AL39" s="8">
        <v>193</v>
      </c>
      <c r="AM39" s="7">
        <v>148</v>
      </c>
      <c r="AN39" s="4">
        <f t="shared" si="37"/>
        <v>46</v>
      </c>
      <c r="AO39" s="14">
        <v>194</v>
      </c>
      <c r="AP39" s="5">
        <f t="shared" si="38"/>
        <v>1.0051813471502591</v>
      </c>
      <c r="AQ39" s="8">
        <v>241</v>
      </c>
      <c r="AR39" s="7">
        <v>183</v>
      </c>
      <c r="AS39" s="4">
        <f t="shared" si="39"/>
        <v>58</v>
      </c>
      <c r="AT39" s="14">
        <v>241</v>
      </c>
      <c r="AU39" s="5">
        <f t="shared" si="40"/>
        <v>1</v>
      </c>
      <c r="AV39" s="8">
        <v>200</v>
      </c>
      <c r="AW39" s="7">
        <v>160</v>
      </c>
      <c r="AX39" s="4">
        <f t="shared" si="41"/>
        <v>39</v>
      </c>
      <c r="AY39" s="14">
        <v>199</v>
      </c>
      <c r="AZ39" s="5">
        <f t="shared" si="42"/>
        <v>0.995</v>
      </c>
      <c r="BA39" s="8">
        <v>207</v>
      </c>
      <c r="BB39" s="7">
        <v>165</v>
      </c>
      <c r="BC39" s="4">
        <f t="shared" si="43"/>
        <v>38</v>
      </c>
      <c r="BD39" s="14">
        <v>203</v>
      </c>
      <c r="BE39" s="5">
        <f t="shared" si="44"/>
        <v>0.98067632850241548</v>
      </c>
      <c r="BF39" s="8">
        <v>257</v>
      </c>
      <c r="BG39" s="7">
        <v>188</v>
      </c>
      <c r="BH39" s="4">
        <f t="shared" si="45"/>
        <v>63</v>
      </c>
      <c r="BI39" s="14">
        <v>251</v>
      </c>
      <c r="BJ39" s="5">
        <f t="shared" si="46"/>
        <v>0.97665369649805445</v>
      </c>
    </row>
    <row r="40" spans="1:62" x14ac:dyDescent="0.3">
      <c r="A40" s="19">
        <v>32</v>
      </c>
      <c r="B40" s="3" t="s">
        <v>36</v>
      </c>
      <c r="C40" s="8">
        <v>277722</v>
      </c>
      <c r="D40" s="7">
        <v>217117</v>
      </c>
      <c r="E40" s="4">
        <f t="shared" si="0"/>
        <v>58596</v>
      </c>
      <c r="F40" s="14">
        <v>275713</v>
      </c>
      <c r="G40" s="5">
        <f t="shared" si="24"/>
        <v>0.99276614744240643</v>
      </c>
      <c r="H40" s="8">
        <v>279588</v>
      </c>
      <c r="I40" s="7">
        <v>220747</v>
      </c>
      <c r="J40" s="4">
        <f t="shared" si="25"/>
        <v>56631</v>
      </c>
      <c r="K40" s="14">
        <v>277378</v>
      </c>
      <c r="L40" s="5">
        <f t="shared" si="26"/>
        <v>0.99209551196760948</v>
      </c>
      <c r="M40" s="8">
        <v>339205</v>
      </c>
      <c r="N40" s="7">
        <v>264859</v>
      </c>
      <c r="O40" s="4">
        <f t="shared" si="27"/>
        <v>71981</v>
      </c>
      <c r="P40" s="14">
        <v>336840</v>
      </c>
      <c r="Q40" s="5">
        <f t="shared" si="28"/>
        <v>0.99302781503810378</v>
      </c>
      <c r="R40" s="8">
        <v>280405</v>
      </c>
      <c r="S40" s="7">
        <v>216873</v>
      </c>
      <c r="T40" s="4">
        <f t="shared" si="29"/>
        <v>61863</v>
      </c>
      <c r="U40" s="14">
        <v>278736</v>
      </c>
      <c r="V40" s="5">
        <f t="shared" si="30"/>
        <v>0.99404789500900481</v>
      </c>
      <c r="W40" s="8">
        <v>283529</v>
      </c>
      <c r="X40" s="7">
        <v>223158</v>
      </c>
      <c r="Y40" s="4">
        <f t="shared" si="31"/>
        <v>57472</v>
      </c>
      <c r="Z40" s="14">
        <v>280630</v>
      </c>
      <c r="AA40" s="5">
        <f t="shared" si="32"/>
        <v>0.98977529635416484</v>
      </c>
      <c r="AB40" s="8">
        <v>342699</v>
      </c>
      <c r="AC40" s="7">
        <v>267439</v>
      </c>
      <c r="AD40" s="4">
        <f t="shared" si="33"/>
        <v>73667</v>
      </c>
      <c r="AE40" s="14">
        <v>341106</v>
      </c>
      <c r="AF40" s="5">
        <f t="shared" si="34"/>
        <v>0.99535160592823435</v>
      </c>
      <c r="AG40" s="8">
        <v>284836</v>
      </c>
      <c r="AH40" s="7">
        <v>222092</v>
      </c>
      <c r="AI40" s="4">
        <f t="shared" si="35"/>
        <v>61262</v>
      </c>
      <c r="AJ40" s="14">
        <v>283354</v>
      </c>
      <c r="AK40" s="5">
        <f t="shared" si="36"/>
        <v>0.99479700599643306</v>
      </c>
      <c r="AL40" s="8">
        <v>287465</v>
      </c>
      <c r="AM40" s="7">
        <v>227867</v>
      </c>
      <c r="AN40" s="4">
        <f t="shared" si="37"/>
        <v>57581</v>
      </c>
      <c r="AO40" s="14">
        <v>285448</v>
      </c>
      <c r="AP40" s="5">
        <f t="shared" si="38"/>
        <v>0.99298349364270433</v>
      </c>
      <c r="AQ40" s="8">
        <v>346543</v>
      </c>
      <c r="AR40" s="7">
        <v>276490</v>
      </c>
      <c r="AS40" s="4">
        <f t="shared" si="39"/>
        <v>69376</v>
      </c>
      <c r="AT40" s="14">
        <v>345866</v>
      </c>
      <c r="AU40" s="5">
        <f t="shared" si="40"/>
        <v>0.99804641848197773</v>
      </c>
      <c r="AV40" s="8">
        <v>288959</v>
      </c>
      <c r="AW40" s="7">
        <v>227306</v>
      </c>
      <c r="AX40" s="4">
        <f t="shared" si="41"/>
        <v>60377</v>
      </c>
      <c r="AY40" s="14">
        <v>287683</v>
      </c>
      <c r="AZ40" s="5">
        <f t="shared" si="42"/>
        <v>0.99558414861623967</v>
      </c>
      <c r="BA40" s="8">
        <v>291465</v>
      </c>
      <c r="BB40" s="7">
        <v>232847</v>
      </c>
      <c r="BC40" s="4">
        <f t="shared" si="43"/>
        <v>55990</v>
      </c>
      <c r="BD40" s="14">
        <v>288837</v>
      </c>
      <c r="BE40" s="5">
        <f t="shared" si="44"/>
        <v>0.99098348000617564</v>
      </c>
      <c r="BF40" s="8">
        <v>351557</v>
      </c>
      <c r="BG40" s="7">
        <v>263592</v>
      </c>
      <c r="BH40" s="4">
        <f t="shared" si="45"/>
        <v>85177</v>
      </c>
      <c r="BI40" s="14">
        <v>348769</v>
      </c>
      <c r="BJ40" s="5">
        <f t="shared" si="46"/>
        <v>0.99206956482163633</v>
      </c>
    </row>
    <row r="41" spans="1:62" x14ac:dyDescent="0.3">
      <c r="A41" s="19">
        <v>33</v>
      </c>
      <c r="B41" s="3" t="s">
        <v>37</v>
      </c>
      <c r="C41" s="8">
        <v>912114</v>
      </c>
      <c r="D41" s="7">
        <v>761287</v>
      </c>
      <c r="E41" s="4">
        <f t="shared" si="0"/>
        <v>143418</v>
      </c>
      <c r="F41" s="14">
        <v>904705</v>
      </c>
      <c r="G41" s="5">
        <f t="shared" si="24"/>
        <v>0.99187711185224658</v>
      </c>
      <c r="H41" s="8">
        <v>920596</v>
      </c>
      <c r="I41" s="7">
        <v>770694</v>
      </c>
      <c r="J41" s="4">
        <f t="shared" si="25"/>
        <v>139041</v>
      </c>
      <c r="K41" s="14">
        <v>909735</v>
      </c>
      <c r="L41" s="5">
        <f t="shared" si="26"/>
        <v>0.98820220813473014</v>
      </c>
      <c r="M41" s="8">
        <v>1028922</v>
      </c>
      <c r="N41" s="7">
        <v>860137</v>
      </c>
      <c r="O41" s="4">
        <f t="shared" si="27"/>
        <v>156613</v>
      </c>
      <c r="P41" s="14">
        <v>1016750</v>
      </c>
      <c r="Q41" s="5">
        <f t="shared" si="28"/>
        <v>0.9881701431206642</v>
      </c>
      <c r="R41" s="8">
        <v>924082</v>
      </c>
      <c r="S41" s="7">
        <v>756869</v>
      </c>
      <c r="T41" s="4">
        <f t="shared" si="29"/>
        <v>157543</v>
      </c>
      <c r="U41" s="14">
        <v>914412</v>
      </c>
      <c r="V41" s="5">
        <f t="shared" si="30"/>
        <v>0.98953556069699444</v>
      </c>
      <c r="W41" s="8">
        <v>929406</v>
      </c>
      <c r="X41" s="7">
        <v>771903</v>
      </c>
      <c r="Y41" s="4">
        <f t="shared" si="31"/>
        <v>146288</v>
      </c>
      <c r="Z41" s="14">
        <v>918191</v>
      </c>
      <c r="AA41" s="5">
        <f t="shared" si="32"/>
        <v>0.98793315300310092</v>
      </c>
      <c r="AB41" s="8">
        <v>1036539</v>
      </c>
      <c r="AC41" s="7">
        <v>859358</v>
      </c>
      <c r="AD41" s="4">
        <f t="shared" si="33"/>
        <v>166562</v>
      </c>
      <c r="AE41" s="14">
        <v>1025920</v>
      </c>
      <c r="AF41" s="5">
        <f t="shared" si="34"/>
        <v>0.98975532999723115</v>
      </c>
      <c r="AG41" s="8">
        <v>935526</v>
      </c>
      <c r="AH41" s="7">
        <v>774463</v>
      </c>
      <c r="AI41" s="4">
        <f t="shared" si="35"/>
        <v>150541</v>
      </c>
      <c r="AJ41" s="14">
        <v>925004</v>
      </c>
      <c r="AK41" s="5">
        <f t="shared" si="36"/>
        <v>0.98875285133710877</v>
      </c>
      <c r="AL41" s="8">
        <v>940174</v>
      </c>
      <c r="AM41" s="7">
        <v>786206</v>
      </c>
      <c r="AN41" s="4">
        <f t="shared" si="37"/>
        <v>143275</v>
      </c>
      <c r="AO41" s="14">
        <v>929481</v>
      </c>
      <c r="AP41" s="5">
        <f t="shared" si="38"/>
        <v>0.98862657337897031</v>
      </c>
      <c r="AQ41" s="8">
        <v>1046219</v>
      </c>
      <c r="AR41" s="7">
        <v>871887</v>
      </c>
      <c r="AS41" s="4">
        <f t="shared" si="39"/>
        <v>165683</v>
      </c>
      <c r="AT41" s="14">
        <v>1037570</v>
      </c>
      <c r="AU41" s="5">
        <f t="shared" si="40"/>
        <v>0.99173308838780405</v>
      </c>
      <c r="AV41" s="8">
        <v>945246</v>
      </c>
      <c r="AW41" s="7">
        <v>797710</v>
      </c>
      <c r="AX41" s="4">
        <f t="shared" si="41"/>
        <v>138814</v>
      </c>
      <c r="AY41" s="14">
        <v>936524</v>
      </c>
      <c r="AZ41" s="5">
        <f t="shared" si="42"/>
        <v>0.99077277237883044</v>
      </c>
      <c r="BA41" s="8">
        <v>950318</v>
      </c>
      <c r="BB41" s="7">
        <v>805805</v>
      </c>
      <c r="BC41" s="4">
        <f t="shared" si="43"/>
        <v>134317</v>
      </c>
      <c r="BD41" s="14">
        <v>940122</v>
      </c>
      <c r="BE41" s="5">
        <f t="shared" si="44"/>
        <v>0.98927095982607927</v>
      </c>
      <c r="BF41" s="8">
        <v>1056723</v>
      </c>
      <c r="BG41" s="7">
        <v>847976</v>
      </c>
      <c r="BH41" s="4">
        <f t="shared" si="45"/>
        <v>199568</v>
      </c>
      <c r="BI41" s="14">
        <v>1047544</v>
      </c>
      <c r="BJ41" s="5">
        <f t="shared" si="46"/>
        <v>0.99131371229735699</v>
      </c>
    </row>
    <row r="42" spans="1:62" x14ac:dyDescent="0.3">
      <c r="A42" s="19">
        <v>34</v>
      </c>
      <c r="B42" s="3" t="s">
        <v>38</v>
      </c>
      <c r="C42" s="8">
        <v>18445</v>
      </c>
      <c r="D42" s="7">
        <v>14555</v>
      </c>
      <c r="E42" s="4">
        <f t="shared" si="0"/>
        <v>3674</v>
      </c>
      <c r="F42" s="14">
        <v>18229</v>
      </c>
      <c r="G42" s="5">
        <f t="shared" si="24"/>
        <v>0.98828950935212789</v>
      </c>
      <c r="H42" s="8">
        <v>18615</v>
      </c>
      <c r="I42" s="7">
        <v>14675</v>
      </c>
      <c r="J42" s="4">
        <f t="shared" si="25"/>
        <v>3661</v>
      </c>
      <c r="K42" s="14">
        <v>18336</v>
      </c>
      <c r="L42" s="5">
        <f t="shared" si="26"/>
        <v>0.98501208702659149</v>
      </c>
      <c r="M42" s="8">
        <v>20702</v>
      </c>
      <c r="N42" s="7">
        <v>16283</v>
      </c>
      <c r="O42" s="4">
        <f t="shared" si="27"/>
        <v>4078</v>
      </c>
      <c r="P42" s="14">
        <v>20361</v>
      </c>
      <c r="Q42" s="5">
        <f t="shared" si="28"/>
        <v>0.98352816153028688</v>
      </c>
      <c r="R42" s="8">
        <v>18543</v>
      </c>
      <c r="S42" s="7">
        <v>14217</v>
      </c>
      <c r="T42" s="4">
        <f t="shared" si="29"/>
        <v>4116</v>
      </c>
      <c r="U42" s="14">
        <v>18333</v>
      </c>
      <c r="V42" s="5">
        <f t="shared" si="30"/>
        <v>0.98867497168742924</v>
      </c>
      <c r="W42" s="8">
        <v>18720</v>
      </c>
      <c r="X42" s="7">
        <v>14496</v>
      </c>
      <c r="Y42" s="4">
        <f t="shared" si="31"/>
        <v>3883</v>
      </c>
      <c r="Z42" s="14">
        <v>18379</v>
      </c>
      <c r="AA42" s="5">
        <f t="shared" si="32"/>
        <v>0.98178418803418799</v>
      </c>
      <c r="AB42" s="8">
        <v>20718</v>
      </c>
      <c r="AC42" s="7">
        <v>15953</v>
      </c>
      <c r="AD42" s="4">
        <f t="shared" si="33"/>
        <v>4361</v>
      </c>
      <c r="AE42" s="14">
        <v>20314</v>
      </c>
      <c r="AF42" s="5">
        <f t="shared" si="34"/>
        <v>0.98050004826720727</v>
      </c>
      <c r="AG42" s="8">
        <v>18665</v>
      </c>
      <c r="AH42" s="7">
        <v>14564</v>
      </c>
      <c r="AI42" s="4">
        <f t="shared" si="35"/>
        <v>3827</v>
      </c>
      <c r="AJ42" s="14">
        <v>18391</v>
      </c>
      <c r="AK42" s="5">
        <f t="shared" si="36"/>
        <v>0.98532011786766671</v>
      </c>
      <c r="AL42" s="8">
        <v>18792</v>
      </c>
      <c r="AM42" s="7">
        <v>15082</v>
      </c>
      <c r="AN42" s="4">
        <f t="shared" si="37"/>
        <v>3432</v>
      </c>
      <c r="AO42" s="14">
        <v>18514</v>
      </c>
      <c r="AP42" s="5">
        <f t="shared" si="38"/>
        <v>0.98520647083865476</v>
      </c>
      <c r="AQ42" s="8">
        <v>20796</v>
      </c>
      <c r="AR42" s="7">
        <v>16318</v>
      </c>
      <c r="AS42" s="4">
        <f t="shared" si="39"/>
        <v>4236</v>
      </c>
      <c r="AT42" s="14">
        <v>20554</v>
      </c>
      <c r="AU42" s="5">
        <f t="shared" si="40"/>
        <v>0.98836314675899206</v>
      </c>
      <c r="AV42" s="8">
        <v>18829</v>
      </c>
      <c r="AW42" s="7">
        <v>14915</v>
      </c>
      <c r="AX42" s="4">
        <f t="shared" si="41"/>
        <v>3675</v>
      </c>
      <c r="AY42" s="14">
        <v>18590</v>
      </c>
      <c r="AZ42" s="5">
        <f t="shared" si="42"/>
        <v>0.98730681395719366</v>
      </c>
      <c r="BA42" s="8">
        <v>18938</v>
      </c>
      <c r="BB42" s="7">
        <v>15182</v>
      </c>
      <c r="BC42" s="4">
        <f t="shared" si="43"/>
        <v>3514</v>
      </c>
      <c r="BD42" s="14">
        <v>18696</v>
      </c>
      <c r="BE42" s="5">
        <f t="shared" si="44"/>
        <v>0.9872214594994192</v>
      </c>
      <c r="BF42" s="8">
        <v>21042</v>
      </c>
      <c r="BG42" s="7">
        <v>15930</v>
      </c>
      <c r="BH42" s="4">
        <f t="shared" si="45"/>
        <v>4849</v>
      </c>
      <c r="BI42" s="14">
        <v>20779</v>
      </c>
      <c r="BJ42" s="5">
        <f t="shared" si="46"/>
        <v>0.98750118809999055</v>
      </c>
    </row>
    <row r="43" spans="1:62" x14ac:dyDescent="0.3">
      <c r="A43" s="19">
        <v>35</v>
      </c>
      <c r="B43" s="3" t="s">
        <v>39</v>
      </c>
      <c r="C43" s="8">
        <v>3455</v>
      </c>
      <c r="D43" s="7">
        <v>2297</v>
      </c>
      <c r="E43" s="4">
        <f t="shared" si="0"/>
        <v>1157</v>
      </c>
      <c r="F43" s="14">
        <v>3454</v>
      </c>
      <c r="G43" s="5">
        <f t="shared" si="24"/>
        <v>0.99971056439942108</v>
      </c>
      <c r="H43" s="8">
        <v>3541</v>
      </c>
      <c r="I43" s="7">
        <v>2331</v>
      </c>
      <c r="J43" s="4">
        <f t="shared" si="25"/>
        <v>1147</v>
      </c>
      <c r="K43" s="14">
        <v>3478</v>
      </c>
      <c r="L43" s="5">
        <f t="shared" si="26"/>
        <v>0.98220841570177919</v>
      </c>
      <c r="M43" s="8">
        <v>4395</v>
      </c>
      <c r="N43" s="7">
        <v>2954</v>
      </c>
      <c r="O43" s="4">
        <f t="shared" si="27"/>
        <v>1388</v>
      </c>
      <c r="P43" s="14">
        <v>4342</v>
      </c>
      <c r="Q43" s="5">
        <f t="shared" si="28"/>
        <v>0.98794084186575659</v>
      </c>
      <c r="R43" s="8">
        <v>3498</v>
      </c>
      <c r="S43" s="7">
        <v>2296</v>
      </c>
      <c r="T43" s="4">
        <f t="shared" si="29"/>
        <v>1191</v>
      </c>
      <c r="U43" s="14">
        <v>3487</v>
      </c>
      <c r="V43" s="5">
        <f t="shared" si="30"/>
        <v>0.99685534591194969</v>
      </c>
      <c r="W43" s="8">
        <v>3551</v>
      </c>
      <c r="X43" s="7">
        <v>2355</v>
      </c>
      <c r="Y43" s="4">
        <f t="shared" si="31"/>
        <v>1160</v>
      </c>
      <c r="Z43" s="14">
        <v>3515</v>
      </c>
      <c r="AA43" s="5">
        <f t="shared" si="32"/>
        <v>0.98986201070121094</v>
      </c>
      <c r="AB43" s="8">
        <v>4429</v>
      </c>
      <c r="AC43" s="7">
        <v>2983</v>
      </c>
      <c r="AD43" s="4">
        <f t="shared" si="33"/>
        <v>1400</v>
      </c>
      <c r="AE43" s="14">
        <v>4383</v>
      </c>
      <c r="AF43" s="5">
        <f t="shared" si="34"/>
        <v>0.9896139083314518</v>
      </c>
      <c r="AG43" s="8">
        <v>3560</v>
      </c>
      <c r="AH43" s="7">
        <v>2373</v>
      </c>
      <c r="AI43" s="4">
        <f t="shared" si="35"/>
        <v>1175</v>
      </c>
      <c r="AJ43" s="14">
        <v>3548</v>
      </c>
      <c r="AK43" s="5">
        <f t="shared" si="36"/>
        <v>0.99662921348314604</v>
      </c>
      <c r="AL43" s="8">
        <v>3588</v>
      </c>
      <c r="AM43" s="7">
        <v>2490</v>
      </c>
      <c r="AN43" s="4">
        <f t="shared" si="37"/>
        <v>1095</v>
      </c>
      <c r="AO43" s="14">
        <v>3585</v>
      </c>
      <c r="AP43" s="5">
        <f t="shared" si="38"/>
        <v>0.99916387959866215</v>
      </c>
      <c r="AQ43" s="8">
        <v>4449</v>
      </c>
      <c r="AR43" s="7">
        <v>3117</v>
      </c>
      <c r="AS43" s="4">
        <f t="shared" si="39"/>
        <v>1349</v>
      </c>
      <c r="AT43" s="14">
        <v>4466</v>
      </c>
      <c r="AU43" s="5">
        <f t="shared" si="40"/>
        <v>1.0038210833895258</v>
      </c>
      <c r="AV43" s="8">
        <v>3616</v>
      </c>
      <c r="AW43" s="7">
        <v>2581</v>
      </c>
      <c r="AX43" s="4">
        <f t="shared" si="41"/>
        <v>1056</v>
      </c>
      <c r="AY43" s="14">
        <v>3637</v>
      </c>
      <c r="AZ43" s="5">
        <f t="shared" si="42"/>
        <v>1.0058075221238938</v>
      </c>
      <c r="BA43" s="8">
        <v>3655</v>
      </c>
      <c r="BB43" s="7">
        <v>2613</v>
      </c>
      <c r="BC43" s="4">
        <f t="shared" si="43"/>
        <v>1039</v>
      </c>
      <c r="BD43" s="14">
        <v>3652</v>
      </c>
      <c r="BE43" s="5">
        <f t="shared" si="44"/>
        <v>0.99917920656634751</v>
      </c>
      <c r="BF43" s="8">
        <v>4544</v>
      </c>
      <c r="BG43" s="7">
        <v>2851</v>
      </c>
      <c r="BH43" s="4">
        <f t="shared" si="45"/>
        <v>1690</v>
      </c>
      <c r="BI43" s="14">
        <v>4541</v>
      </c>
      <c r="BJ43" s="5">
        <f t="shared" si="46"/>
        <v>0.99933978873239437</v>
      </c>
    </row>
    <row r="44" spans="1:62" x14ac:dyDescent="0.3">
      <c r="A44" s="19">
        <v>36</v>
      </c>
      <c r="B44" s="3" t="s">
        <v>40</v>
      </c>
      <c r="C44" s="8">
        <v>336228</v>
      </c>
      <c r="D44" s="7">
        <v>256701</v>
      </c>
      <c r="E44" s="4">
        <f t="shared" si="0"/>
        <v>76627</v>
      </c>
      <c r="F44" s="14">
        <v>333328</v>
      </c>
      <c r="G44" s="5">
        <f t="shared" si="24"/>
        <v>0.99137490036522835</v>
      </c>
      <c r="H44" s="8">
        <v>340996</v>
      </c>
      <c r="I44" s="7">
        <v>261613</v>
      </c>
      <c r="J44" s="4">
        <f t="shared" si="25"/>
        <v>75677</v>
      </c>
      <c r="K44" s="14">
        <v>337290</v>
      </c>
      <c r="L44" s="5">
        <f t="shared" si="26"/>
        <v>0.98913183732360499</v>
      </c>
      <c r="M44" s="8">
        <v>408512</v>
      </c>
      <c r="N44" s="7">
        <v>316711</v>
      </c>
      <c r="O44" s="4">
        <f t="shared" si="27"/>
        <v>87291</v>
      </c>
      <c r="P44" s="14">
        <v>404002</v>
      </c>
      <c r="Q44" s="5">
        <f t="shared" si="28"/>
        <v>0.98895993263355786</v>
      </c>
      <c r="R44" s="8">
        <v>342556</v>
      </c>
      <c r="S44" s="7">
        <v>259088</v>
      </c>
      <c r="T44" s="4">
        <f t="shared" si="29"/>
        <v>80314</v>
      </c>
      <c r="U44" s="14">
        <v>339402</v>
      </c>
      <c r="V44" s="5">
        <f t="shared" si="30"/>
        <v>0.99079274629549619</v>
      </c>
      <c r="W44" s="8">
        <v>347597</v>
      </c>
      <c r="X44" s="7">
        <v>264143</v>
      </c>
      <c r="Y44" s="4">
        <f t="shared" si="31"/>
        <v>79028</v>
      </c>
      <c r="Z44" s="14">
        <v>343171</v>
      </c>
      <c r="AA44" s="5">
        <f t="shared" si="32"/>
        <v>0.9872668636380636</v>
      </c>
      <c r="AB44" s="8">
        <v>416340</v>
      </c>
      <c r="AC44" s="7">
        <v>320300</v>
      </c>
      <c r="AD44" s="4">
        <f t="shared" si="33"/>
        <v>92074</v>
      </c>
      <c r="AE44" s="14">
        <v>412374</v>
      </c>
      <c r="AF44" s="5">
        <f t="shared" si="34"/>
        <v>0.9904741317192679</v>
      </c>
      <c r="AG44" s="8">
        <v>350469</v>
      </c>
      <c r="AH44" s="7">
        <v>267772</v>
      </c>
      <c r="AI44" s="4">
        <f t="shared" si="35"/>
        <v>79590</v>
      </c>
      <c r="AJ44" s="14">
        <v>347362</v>
      </c>
      <c r="AK44" s="5">
        <f t="shared" si="36"/>
        <v>0.99113473659581874</v>
      </c>
      <c r="AL44" s="8">
        <v>355186</v>
      </c>
      <c r="AM44" s="7">
        <v>278281</v>
      </c>
      <c r="AN44" s="4">
        <f t="shared" si="37"/>
        <v>72549</v>
      </c>
      <c r="AO44" s="14">
        <v>350830</v>
      </c>
      <c r="AP44" s="5">
        <f t="shared" si="38"/>
        <v>0.98773600310823062</v>
      </c>
      <c r="AQ44" s="8">
        <v>424208</v>
      </c>
      <c r="AR44" s="7">
        <v>335236</v>
      </c>
      <c r="AS44" s="4">
        <f t="shared" si="39"/>
        <v>85740</v>
      </c>
      <c r="AT44" s="14">
        <v>420976</v>
      </c>
      <c r="AU44" s="5">
        <f t="shared" si="40"/>
        <v>0.99238109606608083</v>
      </c>
      <c r="AV44" s="8">
        <v>358114</v>
      </c>
      <c r="AW44" s="7">
        <v>282115</v>
      </c>
      <c r="AX44" s="4">
        <f t="shared" si="41"/>
        <v>72334</v>
      </c>
      <c r="AY44" s="14">
        <v>354449</v>
      </c>
      <c r="AZ44" s="5">
        <f t="shared" si="42"/>
        <v>0.9897658287584401</v>
      </c>
      <c r="BA44" s="8">
        <v>361984</v>
      </c>
      <c r="BB44" s="7">
        <v>286188</v>
      </c>
      <c r="BC44" s="4">
        <f t="shared" si="43"/>
        <v>71220</v>
      </c>
      <c r="BD44" s="14">
        <v>357408</v>
      </c>
      <c r="BE44" s="5">
        <f t="shared" si="44"/>
        <v>0.98735855728429989</v>
      </c>
      <c r="BF44" s="8">
        <v>432310</v>
      </c>
      <c r="BG44" s="7">
        <v>320177</v>
      </c>
      <c r="BH44" s="4">
        <f t="shared" si="45"/>
        <v>106896</v>
      </c>
      <c r="BI44" s="14">
        <v>427073</v>
      </c>
      <c r="BJ44" s="5">
        <f t="shared" si="46"/>
        <v>0.98788600772593738</v>
      </c>
    </row>
    <row r="45" spans="1:62" x14ac:dyDescent="0.3">
      <c r="A45" s="19">
        <v>37</v>
      </c>
      <c r="B45" s="3" t="s">
        <v>41</v>
      </c>
      <c r="C45" s="8">
        <v>255558</v>
      </c>
      <c r="D45" s="7">
        <v>198994</v>
      </c>
      <c r="E45" s="4">
        <f t="shared" si="0"/>
        <v>52306</v>
      </c>
      <c r="F45" s="14">
        <v>251300</v>
      </c>
      <c r="G45" s="5">
        <f t="shared" si="24"/>
        <v>0.98333842024119766</v>
      </c>
      <c r="H45" s="8">
        <v>257610</v>
      </c>
      <c r="I45" s="7">
        <v>203383</v>
      </c>
      <c r="J45" s="4">
        <f t="shared" si="25"/>
        <v>49790</v>
      </c>
      <c r="K45" s="14">
        <v>253173</v>
      </c>
      <c r="L45" s="5">
        <f t="shared" si="26"/>
        <v>0.98277628974030506</v>
      </c>
      <c r="M45" s="8">
        <v>310366</v>
      </c>
      <c r="N45" s="7">
        <v>245272</v>
      </c>
      <c r="O45" s="4">
        <f t="shared" si="27"/>
        <v>59543</v>
      </c>
      <c r="P45" s="14">
        <v>304815</v>
      </c>
      <c r="Q45" s="5">
        <f t="shared" si="28"/>
        <v>0.98211466462176911</v>
      </c>
      <c r="R45" s="8">
        <v>257356</v>
      </c>
      <c r="S45" s="7">
        <v>200421</v>
      </c>
      <c r="T45" s="4">
        <f t="shared" si="29"/>
        <v>53304</v>
      </c>
      <c r="U45" s="14">
        <v>253725</v>
      </c>
      <c r="V45" s="5">
        <f t="shared" si="30"/>
        <v>0.98589113912246074</v>
      </c>
      <c r="W45" s="8">
        <v>260553</v>
      </c>
      <c r="X45" s="7">
        <v>200344</v>
      </c>
      <c r="Y45" s="4">
        <f t="shared" si="31"/>
        <v>55342</v>
      </c>
      <c r="Z45" s="14">
        <v>255686</v>
      </c>
      <c r="AA45" s="5">
        <f t="shared" si="32"/>
        <v>0.98132049909231522</v>
      </c>
      <c r="AB45" s="8">
        <v>313911</v>
      </c>
      <c r="AC45" s="7">
        <v>243407</v>
      </c>
      <c r="AD45" s="4">
        <f t="shared" si="33"/>
        <v>65041</v>
      </c>
      <c r="AE45" s="14">
        <v>308448</v>
      </c>
      <c r="AF45" s="5">
        <f t="shared" si="34"/>
        <v>0.98259697812437286</v>
      </c>
      <c r="AG45" s="8">
        <v>261210</v>
      </c>
      <c r="AH45" s="7">
        <v>203330</v>
      </c>
      <c r="AI45" s="4">
        <f t="shared" si="35"/>
        <v>53757</v>
      </c>
      <c r="AJ45" s="14">
        <v>257087</v>
      </c>
      <c r="AK45" s="5">
        <f t="shared" si="36"/>
        <v>0.98421576509322006</v>
      </c>
      <c r="AL45" s="8">
        <v>264020</v>
      </c>
      <c r="AM45" s="7">
        <v>210409</v>
      </c>
      <c r="AN45" s="4">
        <f t="shared" si="37"/>
        <v>48999</v>
      </c>
      <c r="AO45" s="14">
        <v>259408</v>
      </c>
      <c r="AP45" s="5">
        <f t="shared" si="38"/>
        <v>0.98253162639194003</v>
      </c>
      <c r="AQ45" s="8">
        <v>317407</v>
      </c>
      <c r="AR45" s="7">
        <v>248190</v>
      </c>
      <c r="AS45" s="4">
        <f t="shared" si="39"/>
        <v>63315</v>
      </c>
      <c r="AT45" s="14">
        <v>311505</v>
      </c>
      <c r="AU45" s="5">
        <f t="shared" si="40"/>
        <v>0.98140557706666831</v>
      </c>
      <c r="AV45" s="8">
        <v>263886</v>
      </c>
      <c r="AW45" s="7">
        <v>208426</v>
      </c>
      <c r="AX45" s="4">
        <f t="shared" si="41"/>
        <v>51129</v>
      </c>
      <c r="AY45" s="14">
        <v>259555</v>
      </c>
      <c r="AZ45" s="5">
        <f t="shared" si="42"/>
        <v>0.98358760980120208</v>
      </c>
      <c r="BA45" s="8">
        <v>265781</v>
      </c>
      <c r="BB45" s="7">
        <v>211688</v>
      </c>
      <c r="BC45" s="4">
        <f t="shared" si="43"/>
        <v>49582</v>
      </c>
      <c r="BD45" s="14">
        <v>261270</v>
      </c>
      <c r="BE45" s="5">
        <f t="shared" si="44"/>
        <v>0.98302737968477805</v>
      </c>
      <c r="BF45" s="8">
        <v>319799</v>
      </c>
      <c r="BG45" s="7">
        <v>234809</v>
      </c>
      <c r="BH45" s="4">
        <f t="shared" si="45"/>
        <v>79772</v>
      </c>
      <c r="BI45" s="14">
        <v>314581</v>
      </c>
      <c r="BJ45" s="5">
        <f t="shared" si="46"/>
        <v>0.98368350119919079</v>
      </c>
    </row>
    <row r="46" spans="1:62" x14ac:dyDescent="0.3">
      <c r="A46" s="19">
        <v>38</v>
      </c>
      <c r="B46" s="3" t="s">
        <v>42</v>
      </c>
      <c r="C46" s="8">
        <v>2214</v>
      </c>
      <c r="D46" s="7">
        <v>1599</v>
      </c>
      <c r="E46" s="4">
        <f t="shared" si="0"/>
        <v>775</v>
      </c>
      <c r="F46" s="14">
        <v>2374</v>
      </c>
      <c r="G46" s="5">
        <f t="shared" si="24"/>
        <v>1.0722673893405601</v>
      </c>
      <c r="H46" s="8">
        <v>2377</v>
      </c>
      <c r="I46" s="7">
        <v>1693</v>
      </c>
      <c r="J46" s="4">
        <f t="shared" si="25"/>
        <v>825</v>
      </c>
      <c r="K46" s="14">
        <v>2518</v>
      </c>
      <c r="L46" s="5">
        <f t="shared" si="26"/>
        <v>1.0593184686579722</v>
      </c>
      <c r="M46" s="8">
        <v>6689</v>
      </c>
      <c r="N46" s="7">
        <v>4965</v>
      </c>
      <c r="O46" s="4">
        <f t="shared" si="27"/>
        <v>1905</v>
      </c>
      <c r="P46" s="14">
        <v>6870</v>
      </c>
      <c r="Q46" s="5">
        <f t="shared" si="28"/>
        <v>1.0270593511735686</v>
      </c>
      <c r="R46" s="8">
        <v>2186</v>
      </c>
      <c r="S46" s="7">
        <v>1465</v>
      </c>
      <c r="T46" s="4">
        <f t="shared" si="29"/>
        <v>879</v>
      </c>
      <c r="U46" s="14">
        <v>2344</v>
      </c>
      <c r="V46" s="5">
        <f t="shared" si="30"/>
        <v>1.0722781335773102</v>
      </c>
      <c r="W46" s="8">
        <v>2396</v>
      </c>
      <c r="X46" s="7">
        <v>1588</v>
      </c>
      <c r="Y46" s="4">
        <f t="shared" si="31"/>
        <v>869</v>
      </c>
      <c r="Z46" s="14">
        <v>2457</v>
      </c>
      <c r="AA46" s="5">
        <f t="shared" si="32"/>
        <v>1.0254590984974958</v>
      </c>
      <c r="AB46" s="8">
        <v>6920</v>
      </c>
      <c r="AC46" s="7">
        <v>5103</v>
      </c>
      <c r="AD46" s="4">
        <f t="shared" si="33"/>
        <v>2055</v>
      </c>
      <c r="AE46" s="14">
        <v>7158</v>
      </c>
      <c r="AF46" s="5">
        <f t="shared" si="34"/>
        <v>1.034393063583815</v>
      </c>
      <c r="AG46" s="8">
        <v>2260</v>
      </c>
      <c r="AH46" s="7">
        <v>1548</v>
      </c>
      <c r="AI46" s="4">
        <f t="shared" si="35"/>
        <v>823</v>
      </c>
      <c r="AJ46" s="14">
        <v>2371</v>
      </c>
      <c r="AK46" s="5">
        <f t="shared" si="36"/>
        <v>1.0491150442477877</v>
      </c>
      <c r="AL46" s="8">
        <v>2436</v>
      </c>
      <c r="AM46" s="7">
        <v>1693</v>
      </c>
      <c r="AN46" s="4">
        <f t="shared" si="37"/>
        <v>770</v>
      </c>
      <c r="AO46" s="14">
        <v>2463</v>
      </c>
      <c r="AP46" s="5">
        <f t="shared" si="38"/>
        <v>1.0110837438423645</v>
      </c>
      <c r="AQ46" s="8">
        <v>7143</v>
      </c>
      <c r="AR46" s="7">
        <v>5632</v>
      </c>
      <c r="AS46" s="4">
        <f t="shared" si="39"/>
        <v>1729</v>
      </c>
      <c r="AT46" s="14">
        <v>7361</v>
      </c>
      <c r="AU46" s="5">
        <f t="shared" si="40"/>
        <v>1.0305193896122078</v>
      </c>
      <c r="AV46" s="8">
        <v>2225</v>
      </c>
      <c r="AW46" s="7">
        <v>1717</v>
      </c>
      <c r="AX46" s="4">
        <f t="shared" si="41"/>
        <v>650</v>
      </c>
      <c r="AY46" s="14">
        <v>2367</v>
      </c>
      <c r="AZ46" s="5">
        <f t="shared" si="42"/>
        <v>1.0638202247191011</v>
      </c>
      <c r="BA46" s="8">
        <v>2388</v>
      </c>
      <c r="BB46" s="7">
        <v>1804</v>
      </c>
      <c r="BC46" s="4">
        <f t="shared" si="43"/>
        <v>629</v>
      </c>
      <c r="BD46" s="14">
        <v>2433</v>
      </c>
      <c r="BE46" s="5">
        <f t="shared" si="44"/>
        <v>1.0188442211055277</v>
      </c>
      <c r="BF46" s="8">
        <v>7407</v>
      </c>
      <c r="BG46" s="7">
        <v>5758</v>
      </c>
      <c r="BH46" s="4">
        <f t="shared" si="45"/>
        <v>1794</v>
      </c>
      <c r="BI46" s="14">
        <v>7552</v>
      </c>
      <c r="BJ46" s="5">
        <f t="shared" si="46"/>
        <v>1.0195760766842177</v>
      </c>
    </row>
    <row r="47" spans="1:62" x14ac:dyDescent="0.3">
      <c r="A47" s="19">
        <v>97</v>
      </c>
      <c r="B47" s="3" t="s">
        <v>43</v>
      </c>
      <c r="C47" s="8">
        <v>84</v>
      </c>
      <c r="D47" s="7">
        <v>65</v>
      </c>
      <c r="E47" s="4">
        <f t="shared" si="0"/>
        <v>3</v>
      </c>
      <c r="F47" s="14">
        <v>68</v>
      </c>
      <c r="G47" s="5">
        <f t="shared" si="24"/>
        <v>0.80952380952380953</v>
      </c>
      <c r="H47" s="8">
        <v>81</v>
      </c>
      <c r="I47" s="7">
        <v>61</v>
      </c>
      <c r="J47" s="4">
        <f t="shared" si="25"/>
        <v>7</v>
      </c>
      <c r="K47" s="14">
        <v>68</v>
      </c>
      <c r="L47" s="5">
        <f t="shared" si="26"/>
        <v>0.83950617283950613</v>
      </c>
      <c r="M47" s="8">
        <v>86</v>
      </c>
      <c r="N47" s="7">
        <v>68</v>
      </c>
      <c r="O47" s="4">
        <f t="shared" si="27"/>
        <v>6</v>
      </c>
      <c r="P47" s="14">
        <v>74</v>
      </c>
      <c r="Q47" s="5">
        <f t="shared" si="28"/>
        <v>0.86046511627906974</v>
      </c>
      <c r="R47" s="8">
        <v>80</v>
      </c>
      <c r="S47" s="7">
        <v>61</v>
      </c>
      <c r="T47" s="4">
        <f t="shared" si="29"/>
        <v>6</v>
      </c>
      <c r="U47" s="14">
        <v>67</v>
      </c>
      <c r="V47" s="5">
        <f t="shared" si="30"/>
        <v>0.83750000000000002</v>
      </c>
      <c r="W47" s="8">
        <v>81</v>
      </c>
      <c r="X47" s="7">
        <v>62</v>
      </c>
      <c r="Y47" s="4">
        <f t="shared" si="31"/>
        <v>5</v>
      </c>
      <c r="Z47" s="14">
        <v>67</v>
      </c>
      <c r="AA47" s="5">
        <f t="shared" si="32"/>
        <v>0.8271604938271605</v>
      </c>
      <c r="AB47" s="8">
        <v>87</v>
      </c>
      <c r="AC47" s="7">
        <v>66</v>
      </c>
      <c r="AD47" s="4">
        <f t="shared" si="33"/>
        <v>7</v>
      </c>
      <c r="AE47" s="14">
        <v>73</v>
      </c>
      <c r="AF47" s="5">
        <f t="shared" si="34"/>
        <v>0.83908045977011492</v>
      </c>
      <c r="AG47" s="8">
        <v>81</v>
      </c>
      <c r="AH47" s="7">
        <v>58</v>
      </c>
      <c r="AI47" s="4">
        <f t="shared" si="35"/>
        <v>8</v>
      </c>
      <c r="AJ47" s="14">
        <v>66</v>
      </c>
      <c r="AK47" s="5">
        <f t="shared" si="36"/>
        <v>0.81481481481481477</v>
      </c>
      <c r="AL47" s="8">
        <v>81</v>
      </c>
      <c r="AM47" s="7">
        <v>63</v>
      </c>
      <c r="AN47" s="4">
        <f t="shared" si="37"/>
        <v>3</v>
      </c>
      <c r="AO47" s="14">
        <v>66</v>
      </c>
      <c r="AP47" s="5">
        <f t="shared" si="38"/>
        <v>0.81481481481481477</v>
      </c>
      <c r="AQ47" s="8">
        <v>87</v>
      </c>
      <c r="AR47" s="7">
        <v>67</v>
      </c>
      <c r="AS47" s="4">
        <f t="shared" si="39"/>
        <v>3</v>
      </c>
      <c r="AT47" s="14">
        <v>70</v>
      </c>
      <c r="AU47" s="5">
        <f t="shared" si="40"/>
        <v>0.8045977011494253</v>
      </c>
      <c r="AV47" s="8">
        <v>81</v>
      </c>
      <c r="AW47" s="7">
        <v>61</v>
      </c>
      <c r="AX47" s="4">
        <f t="shared" si="41"/>
        <v>5</v>
      </c>
      <c r="AY47" s="14">
        <v>66</v>
      </c>
      <c r="AZ47" s="5">
        <f t="shared" si="42"/>
        <v>0.81481481481481477</v>
      </c>
      <c r="BA47" s="8">
        <v>80</v>
      </c>
      <c r="BB47" s="7">
        <v>63</v>
      </c>
      <c r="BC47" s="4">
        <f t="shared" si="43"/>
        <v>2</v>
      </c>
      <c r="BD47" s="14">
        <v>65</v>
      </c>
      <c r="BE47" s="5">
        <f t="shared" si="44"/>
        <v>0.8125</v>
      </c>
      <c r="BF47" s="8">
        <v>85</v>
      </c>
      <c r="BG47" s="7">
        <v>65</v>
      </c>
      <c r="BH47" s="4">
        <f t="shared" si="45"/>
        <v>4</v>
      </c>
      <c r="BI47" s="14">
        <v>69</v>
      </c>
      <c r="BJ47" s="5">
        <f t="shared" si="46"/>
        <v>0.81176470588235294</v>
      </c>
    </row>
    <row r="48" spans="1:62" x14ac:dyDescent="0.3">
      <c r="A48" s="22" t="s">
        <v>44</v>
      </c>
      <c r="B48" s="22"/>
      <c r="C48" s="10">
        <f>SUM(C10:C47)</f>
        <v>7712416</v>
      </c>
      <c r="D48" s="10">
        <f>SUM(D10:D47)</f>
        <v>6227695</v>
      </c>
      <c r="E48" s="12">
        <f t="shared" ref="E48" si="47">F48-D48</f>
        <v>1450047</v>
      </c>
      <c r="F48" s="11">
        <f>SUM(F10:F47)</f>
        <v>7677742</v>
      </c>
      <c r="G48" s="13">
        <f t="shared" ref="G48" si="48">F48/C48</f>
        <v>0.99550413255716497</v>
      </c>
      <c r="H48" s="10">
        <f>SUM(H10:H47)</f>
        <v>7867344</v>
      </c>
      <c r="I48" s="10">
        <f>SUM(I10:I47)</f>
        <v>6356635</v>
      </c>
      <c r="J48" s="12">
        <f t="shared" si="25"/>
        <v>1416427</v>
      </c>
      <c r="K48" s="11">
        <f>SUM(K10:K47)</f>
        <v>7773062</v>
      </c>
      <c r="L48" s="13">
        <f t="shared" si="26"/>
        <v>0.98801603183997044</v>
      </c>
      <c r="M48" s="10">
        <f>SUM(M10:M47)</f>
        <v>12152252</v>
      </c>
      <c r="N48" s="10">
        <f>SUM(N10:N47)</f>
        <v>9857057</v>
      </c>
      <c r="O48" s="12">
        <f t="shared" si="27"/>
        <v>2193292</v>
      </c>
      <c r="P48" s="11">
        <f>SUM(P10:P47)</f>
        <v>12050349</v>
      </c>
      <c r="Q48" s="13">
        <f t="shared" si="28"/>
        <v>0.99161447606583542</v>
      </c>
      <c r="R48" s="10">
        <f>SUM(R10:R47)</f>
        <v>7805893</v>
      </c>
      <c r="S48" s="10">
        <f>SUM(S10:S47)</f>
        <v>6254452</v>
      </c>
      <c r="T48" s="12">
        <f t="shared" ref="T48" si="49">U48-S48</f>
        <v>1489436</v>
      </c>
      <c r="U48" s="11">
        <f>SUM(U10:U47)</f>
        <v>7743888</v>
      </c>
      <c r="V48" s="13">
        <f t="shared" si="30"/>
        <v>0.99205664233419544</v>
      </c>
      <c r="W48" s="10">
        <f>SUM(W10:W47)</f>
        <v>7947831</v>
      </c>
      <c r="X48" s="10">
        <f>SUM(X10:X47)</f>
        <v>6343444</v>
      </c>
      <c r="Y48" s="12">
        <f t="shared" si="31"/>
        <v>1485013</v>
      </c>
      <c r="Z48" s="11">
        <f>SUM(Z10:Z47)</f>
        <v>7828457</v>
      </c>
      <c r="AA48" s="13">
        <f t="shared" si="32"/>
        <v>0.98498030468941777</v>
      </c>
      <c r="AB48" s="10">
        <f>SUM(AB10:AB47)</f>
        <v>12284179</v>
      </c>
      <c r="AC48" s="10">
        <f>SUM(AC10:AC47)</f>
        <v>9866847</v>
      </c>
      <c r="AD48" s="12">
        <f t="shared" si="33"/>
        <v>2329653</v>
      </c>
      <c r="AE48" s="11">
        <f>SUM(AE10:AE47)</f>
        <v>12196500</v>
      </c>
      <c r="AF48" s="13">
        <f t="shared" si="34"/>
        <v>0.99286244526394474</v>
      </c>
      <c r="AG48" s="10">
        <f>SUM(AG10:AG47)</f>
        <v>7934386</v>
      </c>
      <c r="AH48" s="10">
        <f>SUM(AH10:AH47)</f>
        <v>6266178</v>
      </c>
      <c r="AI48" s="12">
        <f t="shared" si="35"/>
        <v>1609247</v>
      </c>
      <c r="AJ48" s="11">
        <f>SUM(AJ10:AJ47)</f>
        <v>7875425</v>
      </c>
      <c r="AK48" s="13">
        <f t="shared" si="36"/>
        <v>0.99256892719865153</v>
      </c>
      <c r="AL48" s="10">
        <f>SUM(AL10:AL47)</f>
        <v>8078477</v>
      </c>
      <c r="AM48" s="10">
        <f>SUM(AM10:AM47)</f>
        <v>6574379</v>
      </c>
      <c r="AN48" s="12">
        <f t="shared" si="37"/>
        <v>1383305</v>
      </c>
      <c r="AO48" s="11">
        <f>SUM(AO10:AO47)</f>
        <v>7957684</v>
      </c>
      <c r="AP48" s="13">
        <f t="shared" si="38"/>
        <v>0.98504755289889423</v>
      </c>
      <c r="AQ48" s="10">
        <f>SUM(AQ10:AQ47)</f>
        <v>12445246</v>
      </c>
      <c r="AR48" s="10">
        <f>SUM(AR10:AR47)</f>
        <v>10248717</v>
      </c>
      <c r="AS48" s="12">
        <f t="shared" si="39"/>
        <v>2140144</v>
      </c>
      <c r="AT48" s="11">
        <f>SUM(AT10:AT47)</f>
        <v>12388861</v>
      </c>
      <c r="AU48" s="13">
        <f t="shared" si="40"/>
        <v>0.99546935432212424</v>
      </c>
      <c r="AV48" s="10">
        <f>SUM(AV10:AV47)</f>
        <v>8061336</v>
      </c>
      <c r="AW48" s="10">
        <f>SUM(AW10:AW47)</f>
        <v>6641215</v>
      </c>
      <c r="AX48" s="12">
        <f t="shared" si="41"/>
        <v>1373438</v>
      </c>
      <c r="AY48" s="11">
        <f>SUM(AY10:AY47)</f>
        <v>8014653</v>
      </c>
      <c r="AZ48" s="13">
        <f t="shared" si="42"/>
        <v>0.99420902440984971</v>
      </c>
      <c r="BA48" s="10">
        <f>SUM(BA10:BA47)</f>
        <v>8202455</v>
      </c>
      <c r="BB48" s="10">
        <f>SUM(BB10:BB47)</f>
        <v>6777178</v>
      </c>
      <c r="BC48" s="12">
        <f t="shared" si="43"/>
        <v>1321722</v>
      </c>
      <c r="BD48" s="11">
        <f>SUM(BD10:BD47)</f>
        <v>8098900</v>
      </c>
      <c r="BE48" s="13">
        <f t="shared" si="44"/>
        <v>0.9873751212289491</v>
      </c>
      <c r="BF48" s="10">
        <f>SUM(BF10:BF47)</f>
        <v>12656060</v>
      </c>
      <c r="BG48" s="10">
        <f>SUM(BG10:BG47)</f>
        <v>9846481</v>
      </c>
      <c r="BH48" s="12">
        <f t="shared" si="45"/>
        <v>2710950</v>
      </c>
      <c r="BI48" s="11">
        <f>SUM(BI10:BI47)</f>
        <v>12557431</v>
      </c>
      <c r="BJ48" s="13">
        <f t="shared" si="46"/>
        <v>0.99220697436643002</v>
      </c>
    </row>
    <row r="49" spans="1:62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</row>
    <row r="50" spans="1:62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</row>
    <row r="51" spans="1:62" x14ac:dyDescent="0.3">
      <c r="A51" s="1"/>
      <c r="B51" s="1"/>
      <c r="C51" s="1"/>
      <c r="D51" s="1"/>
      <c r="E51" s="1"/>
      <c r="F51" s="1"/>
      <c r="G51" s="1"/>
    </row>
    <row r="52" spans="1:62" x14ac:dyDescent="0.3">
      <c r="A52" s="1"/>
      <c r="B52" s="1"/>
      <c r="C52" s="1"/>
      <c r="D52" s="1"/>
      <c r="E52" s="1"/>
      <c r="F52" s="1"/>
      <c r="G52" s="1"/>
    </row>
    <row r="53" spans="1:62" x14ac:dyDescent="0.3">
      <c r="A53" s="21" t="s">
        <v>45</v>
      </c>
      <c r="B53" s="21"/>
      <c r="C53" s="21"/>
      <c r="D53" s="21"/>
      <c r="E53" s="21"/>
      <c r="F53" s="6"/>
      <c r="G53" s="1"/>
    </row>
  </sheetData>
  <mergeCells count="18">
    <mergeCell ref="A3:B3"/>
    <mergeCell ref="A1:D1"/>
    <mergeCell ref="AV8:AZ8"/>
    <mergeCell ref="BA8:BE8"/>
    <mergeCell ref="BF8:BJ8"/>
    <mergeCell ref="AQ8:AU8"/>
    <mergeCell ref="AB8:AF8"/>
    <mergeCell ref="R8:V8"/>
    <mergeCell ref="AL8:AP8"/>
    <mergeCell ref="H8:L8"/>
    <mergeCell ref="M8:Q8"/>
    <mergeCell ref="W8:AA8"/>
    <mergeCell ref="AG8:AK8"/>
    <mergeCell ref="A53:E53"/>
    <mergeCell ref="A48:B48"/>
    <mergeCell ref="A8:A9"/>
    <mergeCell ref="B8:B9"/>
    <mergeCell ref="C8:G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GSTR-3B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Mandal</dc:creator>
  <cp:lastModifiedBy>Krishan Pal Singh</cp:lastModifiedBy>
  <dcterms:created xsi:type="dcterms:W3CDTF">2021-12-17T09:07:06Z</dcterms:created>
  <dcterms:modified xsi:type="dcterms:W3CDTF">2026-09-09T11:41:52Z</dcterms:modified>
</cp:coreProperties>
</file>