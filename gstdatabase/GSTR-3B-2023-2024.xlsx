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l-26\GST Statistics Downloads 31st Jul 26\Downloads\GSTR 3B\"/>
    </mc:Choice>
  </mc:AlternateContent>
  <xr:revisionPtr revIDLastSave="0" documentId="13_ncr:1_{976BE507-149D-4303-AF47-0A39A49B64B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BI48" i="1"/>
  <c r="BG48" i="1"/>
  <c r="BF48" i="1"/>
  <c r="BJ47" i="1"/>
  <c r="BH47" i="1"/>
  <c r="BJ46" i="1"/>
  <c r="BH46" i="1"/>
  <c r="BJ45" i="1"/>
  <c r="BH45" i="1"/>
  <c r="BJ44" i="1"/>
  <c r="BH44" i="1"/>
  <c r="BJ43" i="1"/>
  <c r="BH43" i="1"/>
  <c r="BJ42" i="1"/>
  <c r="BH42" i="1"/>
  <c r="BJ41" i="1"/>
  <c r="BH41" i="1"/>
  <c r="BJ40" i="1"/>
  <c r="BH40" i="1"/>
  <c r="BJ39" i="1"/>
  <c r="BH39" i="1"/>
  <c r="BJ38" i="1"/>
  <c r="BH38" i="1"/>
  <c r="BJ37" i="1"/>
  <c r="BH37" i="1"/>
  <c r="BJ36" i="1"/>
  <c r="BH36" i="1"/>
  <c r="BJ35" i="1"/>
  <c r="BH35" i="1"/>
  <c r="BJ33" i="1"/>
  <c r="BH33" i="1"/>
  <c r="BJ32" i="1"/>
  <c r="BH32" i="1"/>
  <c r="BJ31" i="1"/>
  <c r="BH31" i="1"/>
  <c r="BJ30" i="1"/>
  <c r="BH30" i="1"/>
  <c r="BJ29" i="1"/>
  <c r="BH29" i="1"/>
  <c r="BJ28" i="1"/>
  <c r="BH28" i="1"/>
  <c r="BJ27" i="1"/>
  <c r="BH27" i="1"/>
  <c r="BJ26" i="1"/>
  <c r="BH26" i="1"/>
  <c r="BJ25" i="1"/>
  <c r="BH25" i="1"/>
  <c r="BJ24" i="1"/>
  <c r="BH24" i="1"/>
  <c r="BJ23" i="1"/>
  <c r="BH23" i="1"/>
  <c r="BJ22" i="1"/>
  <c r="BH22" i="1"/>
  <c r="BJ21" i="1"/>
  <c r="BH21" i="1"/>
  <c r="BJ20" i="1"/>
  <c r="BH20" i="1"/>
  <c r="BJ19" i="1"/>
  <c r="BH19" i="1"/>
  <c r="BJ18" i="1"/>
  <c r="BH18" i="1"/>
  <c r="BJ17" i="1"/>
  <c r="BH17" i="1"/>
  <c r="BJ16" i="1"/>
  <c r="BH16" i="1"/>
  <c r="BJ15" i="1"/>
  <c r="BH15" i="1"/>
  <c r="BJ14" i="1"/>
  <c r="BH14" i="1"/>
  <c r="BJ13" i="1"/>
  <c r="BH13" i="1"/>
  <c r="BJ12" i="1"/>
  <c r="BH12" i="1"/>
  <c r="BJ11" i="1"/>
  <c r="BH11" i="1"/>
  <c r="BJ10" i="1"/>
  <c r="BH10" i="1"/>
  <c r="BD48" i="1"/>
  <c r="BB48" i="1"/>
  <c r="BA48" i="1"/>
  <c r="BE47" i="1"/>
  <c r="BC47" i="1"/>
  <c r="BE46" i="1"/>
  <c r="BC46" i="1"/>
  <c r="BE45" i="1"/>
  <c r="BC45" i="1"/>
  <c r="BE44" i="1"/>
  <c r="BC44" i="1"/>
  <c r="BE43" i="1"/>
  <c r="BC43" i="1"/>
  <c r="BE42" i="1"/>
  <c r="BC42" i="1"/>
  <c r="BE41" i="1"/>
  <c r="BC41" i="1"/>
  <c r="BE40" i="1"/>
  <c r="BC40" i="1"/>
  <c r="BE39" i="1"/>
  <c r="BC39" i="1"/>
  <c r="BE38" i="1"/>
  <c r="BC38" i="1"/>
  <c r="BE37" i="1"/>
  <c r="BC37" i="1"/>
  <c r="BE36" i="1"/>
  <c r="BC36" i="1"/>
  <c r="BE35" i="1"/>
  <c r="BC35" i="1"/>
  <c r="BE33" i="1"/>
  <c r="BC33" i="1"/>
  <c r="BE32" i="1"/>
  <c r="BC32" i="1"/>
  <c r="BE31" i="1"/>
  <c r="BC31" i="1"/>
  <c r="BE30" i="1"/>
  <c r="BC30" i="1"/>
  <c r="BE29" i="1"/>
  <c r="BC29" i="1"/>
  <c r="BE28" i="1"/>
  <c r="BC28" i="1"/>
  <c r="BE27" i="1"/>
  <c r="BC27" i="1"/>
  <c r="BE26" i="1"/>
  <c r="BC26" i="1"/>
  <c r="BE25" i="1"/>
  <c r="BC25" i="1"/>
  <c r="BE24" i="1"/>
  <c r="BC24" i="1"/>
  <c r="BE23" i="1"/>
  <c r="BC23" i="1"/>
  <c r="BE22" i="1"/>
  <c r="BC22" i="1"/>
  <c r="BE21" i="1"/>
  <c r="BC21" i="1"/>
  <c r="BE20" i="1"/>
  <c r="BC20" i="1"/>
  <c r="BE19" i="1"/>
  <c r="BC19" i="1"/>
  <c r="BE18" i="1"/>
  <c r="BC18" i="1"/>
  <c r="BE17" i="1"/>
  <c r="BC17" i="1"/>
  <c r="BE16" i="1"/>
  <c r="BC16" i="1"/>
  <c r="BE15" i="1"/>
  <c r="BC15" i="1"/>
  <c r="BE14" i="1"/>
  <c r="BC14" i="1"/>
  <c r="BE13" i="1"/>
  <c r="BC13" i="1"/>
  <c r="BE12" i="1"/>
  <c r="BC12" i="1"/>
  <c r="BE11" i="1"/>
  <c r="BC11" i="1"/>
  <c r="BE10" i="1"/>
  <c r="BC10" i="1"/>
  <c r="AY48" i="1"/>
  <c r="AW48" i="1"/>
  <c r="AV48" i="1"/>
  <c r="AZ47" i="1"/>
  <c r="AX47" i="1"/>
  <c r="AZ46" i="1"/>
  <c r="AX46" i="1"/>
  <c r="AZ45" i="1"/>
  <c r="AX45" i="1"/>
  <c r="AZ44" i="1"/>
  <c r="AX44" i="1"/>
  <c r="AZ43" i="1"/>
  <c r="AX43" i="1"/>
  <c r="AZ42" i="1"/>
  <c r="AX42" i="1"/>
  <c r="AZ41" i="1"/>
  <c r="AX41" i="1"/>
  <c r="AZ40" i="1"/>
  <c r="AX40" i="1"/>
  <c r="AZ39" i="1"/>
  <c r="AX39" i="1"/>
  <c r="AZ38" i="1"/>
  <c r="AX38" i="1"/>
  <c r="AZ37" i="1"/>
  <c r="AX37" i="1"/>
  <c r="AZ36" i="1"/>
  <c r="AX36" i="1"/>
  <c r="AZ35" i="1"/>
  <c r="AX35" i="1"/>
  <c r="AZ33" i="1"/>
  <c r="AX33" i="1"/>
  <c r="AZ32" i="1"/>
  <c r="AX32" i="1"/>
  <c r="AZ31" i="1"/>
  <c r="AX31" i="1"/>
  <c r="AZ30" i="1"/>
  <c r="AX30" i="1"/>
  <c r="AZ29" i="1"/>
  <c r="AX29" i="1"/>
  <c r="AZ28" i="1"/>
  <c r="AX28" i="1"/>
  <c r="AZ27" i="1"/>
  <c r="AX27" i="1"/>
  <c r="AZ26" i="1"/>
  <c r="AX26" i="1"/>
  <c r="AZ25" i="1"/>
  <c r="AX25" i="1"/>
  <c r="AZ24" i="1"/>
  <c r="AX24" i="1"/>
  <c r="AZ23" i="1"/>
  <c r="AX23" i="1"/>
  <c r="AZ22" i="1"/>
  <c r="AX22" i="1"/>
  <c r="AZ21" i="1"/>
  <c r="AX21" i="1"/>
  <c r="AZ20" i="1"/>
  <c r="AX20" i="1"/>
  <c r="AZ19" i="1"/>
  <c r="AX19" i="1"/>
  <c r="AZ18" i="1"/>
  <c r="AX18" i="1"/>
  <c r="AZ17" i="1"/>
  <c r="AX17" i="1"/>
  <c r="AZ16" i="1"/>
  <c r="AX16" i="1"/>
  <c r="AZ15" i="1"/>
  <c r="AX15" i="1"/>
  <c r="AZ14" i="1"/>
  <c r="AX14" i="1"/>
  <c r="AZ13" i="1"/>
  <c r="AX13" i="1"/>
  <c r="AZ12" i="1"/>
  <c r="AX12" i="1"/>
  <c r="AZ11" i="1"/>
  <c r="AX11" i="1"/>
  <c r="AZ10" i="1"/>
  <c r="AX10" i="1"/>
  <c r="AT48" i="1"/>
  <c r="AR48" i="1"/>
  <c r="AQ48" i="1"/>
  <c r="AU47" i="1"/>
  <c r="AS47" i="1"/>
  <c r="AU46" i="1"/>
  <c r="AS46" i="1"/>
  <c r="AU45" i="1"/>
  <c r="AS45" i="1"/>
  <c r="AU44" i="1"/>
  <c r="AS44" i="1"/>
  <c r="AU43" i="1"/>
  <c r="AS43" i="1"/>
  <c r="AU42" i="1"/>
  <c r="AS42" i="1"/>
  <c r="AU41" i="1"/>
  <c r="AS41" i="1"/>
  <c r="AU40" i="1"/>
  <c r="AS40" i="1"/>
  <c r="AU39" i="1"/>
  <c r="AS39" i="1"/>
  <c r="AU38" i="1"/>
  <c r="AS38" i="1"/>
  <c r="AU37" i="1"/>
  <c r="AS37" i="1"/>
  <c r="AU36" i="1"/>
  <c r="AS36" i="1"/>
  <c r="AU35" i="1"/>
  <c r="AS35" i="1"/>
  <c r="AU33" i="1"/>
  <c r="AS33" i="1"/>
  <c r="AU32" i="1"/>
  <c r="AS32" i="1"/>
  <c r="AU31" i="1"/>
  <c r="AS31" i="1"/>
  <c r="AU30" i="1"/>
  <c r="AS30" i="1"/>
  <c r="AU29" i="1"/>
  <c r="AS29" i="1"/>
  <c r="AU28" i="1"/>
  <c r="AS28" i="1"/>
  <c r="AU27" i="1"/>
  <c r="AS27" i="1"/>
  <c r="AU26" i="1"/>
  <c r="AS26" i="1"/>
  <c r="AU25" i="1"/>
  <c r="AS25" i="1"/>
  <c r="AU24" i="1"/>
  <c r="AS24" i="1"/>
  <c r="AU23" i="1"/>
  <c r="AS23" i="1"/>
  <c r="AU22" i="1"/>
  <c r="AS22" i="1"/>
  <c r="AU21" i="1"/>
  <c r="AS21" i="1"/>
  <c r="AU20" i="1"/>
  <c r="AS20" i="1"/>
  <c r="AU19" i="1"/>
  <c r="AS19" i="1"/>
  <c r="AU18" i="1"/>
  <c r="AS18" i="1"/>
  <c r="AU17" i="1"/>
  <c r="AS17" i="1"/>
  <c r="AU16" i="1"/>
  <c r="AS16" i="1"/>
  <c r="AU15" i="1"/>
  <c r="AS15" i="1"/>
  <c r="AU14" i="1"/>
  <c r="AS14" i="1"/>
  <c r="AU13" i="1"/>
  <c r="AS13" i="1"/>
  <c r="AU12" i="1"/>
  <c r="AS12" i="1"/>
  <c r="AU11" i="1"/>
  <c r="AS11" i="1"/>
  <c r="AU10" i="1"/>
  <c r="AS10" i="1"/>
  <c r="AO48" i="1"/>
  <c r="AM48" i="1"/>
  <c r="AL48" i="1"/>
  <c r="AP47" i="1"/>
  <c r="AN47" i="1"/>
  <c r="AP46" i="1"/>
  <c r="AN46" i="1"/>
  <c r="AP45" i="1"/>
  <c r="AN45" i="1"/>
  <c r="AP44" i="1"/>
  <c r="AN44" i="1"/>
  <c r="AP43" i="1"/>
  <c r="AN43" i="1"/>
  <c r="AP42" i="1"/>
  <c r="AN42" i="1"/>
  <c r="AP41" i="1"/>
  <c r="AN41" i="1"/>
  <c r="AP40" i="1"/>
  <c r="AN40" i="1"/>
  <c r="AP39" i="1"/>
  <c r="AN39" i="1"/>
  <c r="AP38" i="1"/>
  <c r="AN38" i="1"/>
  <c r="AP37" i="1"/>
  <c r="AN37" i="1"/>
  <c r="AP36" i="1"/>
  <c r="AN36" i="1"/>
  <c r="AP35" i="1"/>
  <c r="AN35" i="1"/>
  <c r="AP33" i="1"/>
  <c r="AN33" i="1"/>
  <c r="AP32" i="1"/>
  <c r="AN32" i="1"/>
  <c r="AP31" i="1"/>
  <c r="AN31" i="1"/>
  <c r="AP30" i="1"/>
  <c r="AN30" i="1"/>
  <c r="AP29" i="1"/>
  <c r="AN29" i="1"/>
  <c r="AP28" i="1"/>
  <c r="AN28" i="1"/>
  <c r="AP27" i="1"/>
  <c r="AN27" i="1"/>
  <c r="AP26" i="1"/>
  <c r="AN26" i="1"/>
  <c r="AP25" i="1"/>
  <c r="AN25" i="1"/>
  <c r="AP24" i="1"/>
  <c r="AN24" i="1"/>
  <c r="AP23" i="1"/>
  <c r="AN23" i="1"/>
  <c r="AP22" i="1"/>
  <c r="AN22" i="1"/>
  <c r="AP21" i="1"/>
  <c r="AN21" i="1"/>
  <c r="AP20" i="1"/>
  <c r="AN20" i="1"/>
  <c r="AP19" i="1"/>
  <c r="AN19" i="1"/>
  <c r="AP18" i="1"/>
  <c r="AN18" i="1"/>
  <c r="AP17" i="1"/>
  <c r="AN17" i="1"/>
  <c r="AP16" i="1"/>
  <c r="AN16" i="1"/>
  <c r="AP15" i="1"/>
  <c r="AN15" i="1"/>
  <c r="AP14" i="1"/>
  <c r="AN14" i="1"/>
  <c r="AP13" i="1"/>
  <c r="AN13" i="1"/>
  <c r="AP12" i="1"/>
  <c r="AN12" i="1"/>
  <c r="AP11" i="1"/>
  <c r="AN11" i="1"/>
  <c r="AP10" i="1"/>
  <c r="AN10" i="1"/>
  <c r="BJ48" i="1" l="1"/>
  <c r="BH48" i="1"/>
  <c r="BE48" i="1"/>
  <c r="BC48" i="1"/>
  <c r="AZ48" i="1"/>
  <c r="AX48" i="1"/>
  <c r="AU48" i="1"/>
  <c r="AS48" i="1"/>
  <c r="AN48" i="1"/>
  <c r="AP48" i="1"/>
  <c r="AJ48" i="1"/>
  <c r="AH48" i="1"/>
  <c r="AG48" i="1"/>
  <c r="AK47" i="1"/>
  <c r="AI47" i="1"/>
  <c r="AK46" i="1"/>
  <c r="AI46" i="1"/>
  <c r="AK45" i="1"/>
  <c r="AI45" i="1"/>
  <c r="AK44" i="1"/>
  <c r="AI44" i="1"/>
  <c r="AK43" i="1"/>
  <c r="AI43" i="1"/>
  <c r="AK42" i="1"/>
  <c r="AI42" i="1"/>
  <c r="AK41" i="1"/>
  <c r="AI41" i="1"/>
  <c r="AK40" i="1"/>
  <c r="AI40" i="1"/>
  <c r="AK39" i="1"/>
  <c r="AI39" i="1"/>
  <c r="AK38" i="1"/>
  <c r="AI38" i="1"/>
  <c r="AK37" i="1"/>
  <c r="AI37" i="1"/>
  <c r="AK36" i="1"/>
  <c r="AI36" i="1"/>
  <c r="AK35" i="1"/>
  <c r="AI35" i="1"/>
  <c r="AK33" i="1"/>
  <c r="AI33" i="1"/>
  <c r="AK32" i="1"/>
  <c r="AI32" i="1"/>
  <c r="AK31" i="1"/>
  <c r="AI31" i="1"/>
  <c r="AK30" i="1"/>
  <c r="AI30" i="1"/>
  <c r="AK29" i="1"/>
  <c r="AI29" i="1"/>
  <c r="AK28" i="1"/>
  <c r="AI28" i="1"/>
  <c r="AK27" i="1"/>
  <c r="AI27" i="1"/>
  <c r="AK26" i="1"/>
  <c r="AI26" i="1"/>
  <c r="AK25" i="1"/>
  <c r="AI25" i="1"/>
  <c r="AK24" i="1"/>
  <c r="AI24" i="1"/>
  <c r="AK23" i="1"/>
  <c r="AI23" i="1"/>
  <c r="AK22" i="1"/>
  <c r="AI22" i="1"/>
  <c r="AK21" i="1"/>
  <c r="AI21" i="1"/>
  <c r="AK20" i="1"/>
  <c r="AI20" i="1"/>
  <c r="AK19" i="1"/>
  <c r="AI19" i="1"/>
  <c r="AK18" i="1"/>
  <c r="AI18" i="1"/>
  <c r="AK17" i="1"/>
  <c r="AI17" i="1"/>
  <c r="AK16" i="1"/>
  <c r="AI16" i="1"/>
  <c r="AK15" i="1"/>
  <c r="AI15" i="1"/>
  <c r="AK14" i="1"/>
  <c r="AI14" i="1"/>
  <c r="AK13" i="1"/>
  <c r="AI13" i="1"/>
  <c r="AK12" i="1"/>
  <c r="AI12" i="1"/>
  <c r="AK11" i="1"/>
  <c r="AI11" i="1"/>
  <c r="AK10" i="1"/>
  <c r="AI10" i="1"/>
  <c r="AK48" i="1" l="1"/>
  <c r="AI48" i="1"/>
  <c r="Z48" i="1" l="1"/>
  <c r="X48" i="1"/>
  <c r="W48" i="1"/>
  <c r="AA47" i="1"/>
  <c r="Y47" i="1"/>
  <c r="AA46" i="1"/>
  <c r="Y46" i="1"/>
  <c r="AA45" i="1"/>
  <c r="Y45" i="1"/>
  <c r="AA44" i="1"/>
  <c r="Y44" i="1"/>
  <c r="AA43" i="1"/>
  <c r="Y43" i="1"/>
  <c r="AA42" i="1"/>
  <c r="Y42" i="1"/>
  <c r="AA41" i="1"/>
  <c r="Y41" i="1"/>
  <c r="AA40" i="1"/>
  <c r="Y40" i="1"/>
  <c r="AA39" i="1"/>
  <c r="Y39" i="1"/>
  <c r="AA38" i="1"/>
  <c r="Y38" i="1"/>
  <c r="AA37" i="1"/>
  <c r="Y37" i="1"/>
  <c r="AA36" i="1"/>
  <c r="Y36" i="1"/>
  <c r="AA35" i="1"/>
  <c r="Y35" i="1"/>
  <c r="AA33" i="1"/>
  <c r="Y33" i="1"/>
  <c r="AA32" i="1"/>
  <c r="Y32" i="1"/>
  <c r="AA31" i="1"/>
  <c r="Y31" i="1"/>
  <c r="AA30" i="1"/>
  <c r="Y30" i="1"/>
  <c r="AA29" i="1"/>
  <c r="Y29" i="1"/>
  <c r="AA28" i="1"/>
  <c r="Y28" i="1"/>
  <c r="AA27" i="1"/>
  <c r="Y27" i="1"/>
  <c r="AA26" i="1"/>
  <c r="Y26" i="1"/>
  <c r="AA25" i="1"/>
  <c r="Y25" i="1"/>
  <c r="AA24" i="1"/>
  <c r="Y24" i="1"/>
  <c r="AA23" i="1"/>
  <c r="Y23" i="1"/>
  <c r="AA22" i="1"/>
  <c r="Y22" i="1"/>
  <c r="AA21" i="1"/>
  <c r="Y21" i="1"/>
  <c r="AA20" i="1"/>
  <c r="Y20" i="1"/>
  <c r="AA19" i="1"/>
  <c r="Y19" i="1"/>
  <c r="AA18" i="1"/>
  <c r="Y18" i="1"/>
  <c r="AA17" i="1"/>
  <c r="Y17" i="1"/>
  <c r="AA16" i="1"/>
  <c r="Y16" i="1"/>
  <c r="AA15" i="1"/>
  <c r="Y15" i="1"/>
  <c r="AA14" i="1"/>
  <c r="Y14" i="1"/>
  <c r="AA13" i="1"/>
  <c r="Y13" i="1"/>
  <c r="AA12" i="1"/>
  <c r="Y12" i="1"/>
  <c r="AA11" i="1"/>
  <c r="Y11" i="1"/>
  <c r="AA10" i="1"/>
  <c r="Y10" i="1"/>
  <c r="AA48" i="1" l="1"/>
  <c r="Y48" i="1"/>
  <c r="AE48" i="1"/>
  <c r="AC48" i="1"/>
  <c r="AB48" i="1"/>
  <c r="AF47" i="1"/>
  <c r="AD47" i="1"/>
  <c r="AF46" i="1"/>
  <c r="AD46" i="1"/>
  <c r="AF45" i="1"/>
  <c r="AD45" i="1"/>
  <c r="AF44" i="1"/>
  <c r="AD44" i="1"/>
  <c r="AF43" i="1"/>
  <c r="AD43" i="1"/>
  <c r="AF42" i="1"/>
  <c r="AD42" i="1"/>
  <c r="AF41" i="1"/>
  <c r="AD41" i="1"/>
  <c r="AF40" i="1"/>
  <c r="AD40" i="1"/>
  <c r="AF39" i="1"/>
  <c r="AD39" i="1"/>
  <c r="AF38" i="1"/>
  <c r="AD38" i="1"/>
  <c r="AF37" i="1"/>
  <c r="AD37" i="1"/>
  <c r="AF36" i="1"/>
  <c r="AD36" i="1"/>
  <c r="AF35" i="1"/>
  <c r="AD35" i="1"/>
  <c r="AF33" i="1"/>
  <c r="AD33" i="1"/>
  <c r="AF32" i="1"/>
  <c r="AD32" i="1"/>
  <c r="AF31" i="1"/>
  <c r="AD31" i="1"/>
  <c r="AF30" i="1"/>
  <c r="AD30" i="1"/>
  <c r="AF29" i="1"/>
  <c r="AD29" i="1"/>
  <c r="AF28" i="1"/>
  <c r="AD28" i="1"/>
  <c r="AF27" i="1"/>
  <c r="AD27" i="1"/>
  <c r="AF26" i="1"/>
  <c r="AD26" i="1"/>
  <c r="AF25" i="1"/>
  <c r="AD25" i="1"/>
  <c r="AF24" i="1"/>
  <c r="AD24" i="1"/>
  <c r="AF23" i="1"/>
  <c r="AD23" i="1"/>
  <c r="AF22" i="1"/>
  <c r="AD22" i="1"/>
  <c r="AF21" i="1"/>
  <c r="AD21" i="1"/>
  <c r="AF20" i="1"/>
  <c r="AD20" i="1"/>
  <c r="AF19" i="1"/>
  <c r="AD19" i="1"/>
  <c r="AF18" i="1"/>
  <c r="AD18" i="1"/>
  <c r="AF17" i="1"/>
  <c r="AD17" i="1"/>
  <c r="AF16" i="1"/>
  <c r="AD16" i="1"/>
  <c r="AF15" i="1"/>
  <c r="AD15" i="1"/>
  <c r="AF14" i="1"/>
  <c r="AD14" i="1"/>
  <c r="AF13" i="1"/>
  <c r="AD13" i="1"/>
  <c r="AF12" i="1"/>
  <c r="AD12" i="1"/>
  <c r="AF11" i="1"/>
  <c r="AD11" i="1"/>
  <c r="AF10" i="1"/>
  <c r="AD10" i="1"/>
  <c r="AD48" i="1" l="1"/>
  <c r="AF48" i="1"/>
  <c r="T47" i="1"/>
  <c r="T46" i="1"/>
  <c r="T45" i="1"/>
  <c r="T44" i="1"/>
  <c r="T43" i="1"/>
  <c r="T42" i="1"/>
  <c r="T41" i="1"/>
  <c r="T40" i="1"/>
  <c r="T39" i="1"/>
  <c r="T38" i="1"/>
  <c r="T37" i="1"/>
  <c r="T36" i="1"/>
  <c r="T35" i="1"/>
  <c r="T33" i="1"/>
  <c r="T32" i="1"/>
  <c r="T31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P48" i="1" l="1"/>
  <c r="N48" i="1"/>
  <c r="M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48" i="1" l="1"/>
  <c r="O48" i="1"/>
  <c r="K48" i="1"/>
  <c r="I48" i="1"/>
  <c r="H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J48" i="1" l="1"/>
  <c r="L48" i="1"/>
  <c r="U48" i="1"/>
  <c r="S48" i="1"/>
  <c r="R48" i="1"/>
  <c r="V47" i="1"/>
  <c r="V46" i="1"/>
  <c r="V45" i="1"/>
  <c r="V44" i="1"/>
  <c r="V43" i="1"/>
  <c r="V42" i="1"/>
  <c r="V41" i="1"/>
  <c r="V40" i="1"/>
  <c r="V39" i="1"/>
  <c r="V38" i="1"/>
  <c r="V37" i="1"/>
  <c r="V36" i="1"/>
  <c r="V35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48" i="1" l="1"/>
  <c r="T48" i="1"/>
  <c r="G47" i="1"/>
  <c r="E47" i="1"/>
  <c r="G46" i="1"/>
  <c r="E46" i="1"/>
  <c r="G45" i="1"/>
  <c r="E45" i="1"/>
  <c r="G44" i="1"/>
  <c r="E44" i="1"/>
  <c r="G43" i="1"/>
  <c r="E43" i="1"/>
  <c r="G42" i="1"/>
  <c r="E42" i="1"/>
  <c r="G41" i="1"/>
  <c r="E41" i="1"/>
  <c r="G40" i="1"/>
  <c r="E40" i="1"/>
  <c r="G39" i="1"/>
  <c r="E39" i="1"/>
  <c r="G38" i="1"/>
  <c r="E38" i="1"/>
  <c r="G37" i="1"/>
  <c r="E37" i="1"/>
  <c r="G36" i="1"/>
  <c r="E36" i="1"/>
  <c r="G35" i="1"/>
  <c r="E35" i="1"/>
  <c r="G33" i="1"/>
  <c r="E33" i="1"/>
  <c r="G32" i="1"/>
  <c r="E32" i="1"/>
  <c r="G31" i="1"/>
  <c r="E31" i="1"/>
  <c r="G30" i="1"/>
  <c r="E30" i="1"/>
  <c r="G29" i="1"/>
  <c r="E29" i="1"/>
  <c r="G28" i="1"/>
  <c r="E28" i="1"/>
  <c r="G27" i="1"/>
  <c r="E27" i="1"/>
  <c r="G26" i="1"/>
  <c r="E26" i="1"/>
  <c r="G25" i="1"/>
  <c r="E25" i="1"/>
  <c r="G24" i="1"/>
  <c r="E24" i="1"/>
  <c r="G23" i="1"/>
  <c r="E23" i="1"/>
  <c r="G22" i="1"/>
  <c r="E22" i="1"/>
  <c r="G21" i="1"/>
  <c r="E21" i="1"/>
  <c r="G20" i="1"/>
  <c r="E20" i="1"/>
  <c r="G19" i="1"/>
  <c r="E19" i="1"/>
  <c r="G18" i="1"/>
  <c r="E18" i="1"/>
  <c r="G17" i="1"/>
  <c r="E17" i="1"/>
  <c r="G16" i="1"/>
  <c r="E16" i="1"/>
  <c r="G15" i="1"/>
  <c r="E15" i="1"/>
  <c r="G14" i="1"/>
  <c r="E14" i="1"/>
  <c r="G13" i="1"/>
  <c r="E13" i="1"/>
  <c r="G12" i="1"/>
  <c r="E12" i="1"/>
  <c r="G11" i="1"/>
  <c r="E11" i="1"/>
  <c r="G10" i="1"/>
  <c r="E10" i="1"/>
  <c r="F48" i="1" l="1"/>
  <c r="D48" i="1"/>
  <c r="C48" i="1"/>
  <c r="G48" i="1" l="1"/>
  <c r="E48" i="1"/>
</calcChain>
</file>

<file path=xl/sharedStrings.xml><?xml version="1.0" encoding="utf-8"?>
<sst xmlns="http://schemas.openxmlformats.org/spreadsheetml/2006/main" count="129" uniqueCount="51">
  <si>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</si>
  <si>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</si>
  <si>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</si>
  <si>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</si>
  <si>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</si>
  <si>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</si>
  <si>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</si>
  <si>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</si>
  <si>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</si>
  <si>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</si>
  <si>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</si>
  <si>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</si>
  <si>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</si>
  <si>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</si>
  <si>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</si>
  <si>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</si>
  <si>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</si>
  <si>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</si>
  <si>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</si>
  <si>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</si>
  <si>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</si>
  <si>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</si>
  <si>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</si>
  <si>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</si>
  <si>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</si>
  <si>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</si>
  <si>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</si>
  <si>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</si>
  <si>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</si>
  <si>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</si>
  <si>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</si>
  <si>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</si>
  <si>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</si>
  <si>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</si>
  <si>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</si>
  <si>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</si>
  <si>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</si>
  <si>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</si>
  <si>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</si>
  <si>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</si>
  <si>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</si>
  <si>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</si>
  <si>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</si>
  <si>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</si>
  <si>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</si>
  <si>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</si>
  <si>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STATE WISE RETURN PERIOD WISE GSTR-3B FILING SUMMARY</t>
  </si>
  <si>
    <t>-</t>
  </si>
  <si>
    <t>FINANCIAL YEAR 2023-2024</t>
  </si>
  <si>
    <t>Data Considered upto 31st Jul 2026</t>
  </si>
  <si>
    <t>Filing %age as on 31st Jul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</si>
</sst>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0" borderId="0"/>
    <xf numFmtId="9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</cellStyleXfs>
  <cellXfs count="3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3" borderId="1" xfId="0" applyNumberFormat="1" applyFont="1" applyFill="1" applyBorder="1"/>
    <xf numFmtId="10" fontId="3" fillId="3" borderId="1" xfId="1" applyNumberFormat="1" applyFont="1" applyFill="1" applyBorder="1"/>
    <xf numFmtId="0" fontId="5" fillId="2" borderId="0" xfId="0" applyFont="1" applyFill="1" applyAlignment="1">
      <alignment horizontal="left"/>
    </xf>
    <xf numFmtId="165" fontId="0" fillId="0" borderId="1" xfId="0" applyNumberFormat="1" applyBorder="1"/>
    <xf numFmtId="165" fontId="0" fillId="0" borderId="1" xfId="0" applyNumberFormat="1" applyBorder="1" applyAlignment="1">
      <alignment horizontal="right" vertical="center" wrapText="1"/>
    </xf>
    <xf numFmtId="165" fontId="2" fillId="2" borderId="1" xfId="2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5" fontId="6" fillId="5" borderId="1" xfId="0" applyNumberFormat="1" applyFont="1" applyFill="1" applyBorder="1" applyAlignment="1">
      <alignment horizontal="right" vertical="center" wrapText="1"/>
    </xf>
    <xf numFmtId="165" fontId="7" fillId="4" borderId="1" xfId="0" applyNumberFormat="1" applyFont="1" applyFill="1" applyBorder="1"/>
    <xf numFmtId="10" fontId="7" fillId="4" borderId="1" xfId="1" applyNumberFormat="1" applyFont="1" applyFill="1" applyBorder="1"/>
    <xf numFmtId="165" fontId="1" fillId="0" borderId="1" xfId="0" applyNumberFormat="1" applyFont="1" applyBorder="1"/>
    <xf numFmtId="166" fontId="0" fillId="0" borderId="1" xfId="10" applyNumberFormat="1" applyFont="1" applyBorder="1" applyAlignment="1">
      <alignment horizontal="right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0" xfId="0" applyFont="1" applyFill="1"/>
    <xf numFmtId="0" fontId="5" fillId="2" borderId="0" xfId="0" applyFont="1" applyFill="1" applyAlignment="1">
      <alignment horizontal="left"/>
    </xf>
    <xf numFmtId="0" fontId="5" fillId="4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11">
    <cellStyle name="Comma" xfId="10" builtinId="3"/>
    <cellStyle name="Comma 2" xfId="2" xr:uid="{00000000-0005-0000-0000-000001000000}"/>
    <cellStyle name="Comma 2 2" xfId="8" xr:uid="{00000000-0005-0000-0000-000002000000}"/>
    <cellStyle name="Comma 2 3" xfId="5" xr:uid="{00000000-0005-0000-0000-000003000000}"/>
    <cellStyle name="Comma 3" xfId="7" xr:uid="{00000000-0005-0000-0000-000004000000}"/>
    <cellStyle name="Normal" xfId="0" builtinId="0"/>
    <cellStyle name="Normal 2" xfId="6" xr:uid="{00000000-0005-0000-0000-000006000000}"/>
    <cellStyle name="Normal 2 2" xfId="9" xr:uid="{00000000-0005-0000-0000-000007000000}"/>
    <cellStyle name="Normal 3" xfId="3" xr:uid="{00000000-0005-0000-0000-000008000000}"/>
    <cellStyle name="Percent" xfId="1" builtinId="5"/>
    <cellStyle name="Percent 2" xfId="4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J53"/>
  <sheetViews>
    <sheetView tabSelected="1" topLeftCell="A2" zoomScale="60" zoomScaleNormal="60" workbookViewId="0">
      <selection activeCell="C50" sqref="C50"/>
    </sheetView>
  </sheetViews>
  <sheetFormatPr defaultColWidth="8.77734375" defaultRowHeight="14.4" x14ac:dyDescent="0.3"/>
  <cols>
    <col min="2" max="2" width="26.21875" bestFit="1" customWidth="1"/>
    <col min="3" max="62" width="18.44140625" customWidth="1"/>
  </cols>
  <sheetData>
    <row r="1" spans="1:62" ht="15.6" x14ac:dyDescent="0.3">
      <c r="A1" s="29" t="s">
        <v>46</v>
      </c>
      <c r="B1" s="29"/>
      <c r="C1" s="29"/>
      <c r="D1" s="29"/>
    </row>
    <row r="2" spans="1:62" ht="15.6" x14ac:dyDescent="0.3">
      <c r="A2" s="2"/>
      <c r="B2" s="2"/>
      <c r="C2" s="2"/>
      <c r="D2" s="2"/>
      <c r="E2" s="2"/>
      <c r="F2" s="2"/>
      <c r="G2" s="2"/>
    </row>
    <row r="3" spans="1:62" ht="15.6" x14ac:dyDescent="0.3">
      <c r="A3" s="28" t="s">
        <v>48</v>
      </c>
      <c r="B3" s="28"/>
      <c r="C3" s="2"/>
      <c r="D3" s="2"/>
      <c r="E3" s="2"/>
      <c r="F3" s="2"/>
      <c r="G3" s="2"/>
    </row>
    <row r="4" spans="1:62" ht="15.6" x14ac:dyDescent="0.3">
      <c r="A4" s="2"/>
      <c r="B4" s="2"/>
      <c r="C4" s="2"/>
      <c r="D4" s="2"/>
      <c r="E4" s="2"/>
      <c r="F4" s="2"/>
      <c r="G4" s="2"/>
    </row>
    <row r="5" spans="1:62" ht="15.6" x14ac:dyDescent="0.3">
      <c r="A5" s="20" t="s">
        <v>49</v>
      </c>
      <c r="B5" s="20"/>
      <c r="C5" s="2"/>
      <c r="D5" s="1"/>
      <c r="E5" s="1"/>
      <c r="F5" s="1"/>
      <c r="G5" s="1"/>
    </row>
    <row r="6" spans="1:62" x14ac:dyDescent="0.3">
      <c r="A6" s="1"/>
      <c r="B6" s="1"/>
      <c r="C6" s="1"/>
      <c r="D6" s="1"/>
      <c r="E6" s="1"/>
      <c r="F6" s="1"/>
      <c r="G6" s="1"/>
    </row>
    <row r="7" spans="1:62" x14ac:dyDescent="0.3">
      <c r="A7" s="1"/>
      <c r="B7" s="1"/>
      <c r="C7" s="1"/>
      <c r="D7" s="1"/>
      <c r="E7" s="1"/>
      <c r="F7" s="1"/>
      <c r="G7" s="1"/>
    </row>
    <row r="8" spans="1:62" s="16" customFormat="1" ht="15.6" x14ac:dyDescent="0.3">
      <c r="A8" s="23" t="s">
        <v>0</v>
      </c>
      <c r="B8" s="24" t="s">
        <v>1</v>
      </c>
      <c r="C8" s="25">
        <v>45017</v>
      </c>
      <c r="D8" s="26"/>
      <c r="E8" s="26"/>
      <c r="F8" s="26"/>
      <c r="G8" s="27"/>
      <c r="H8" s="25">
        <v>45047</v>
      </c>
      <c r="I8" s="26"/>
      <c r="J8" s="26"/>
      <c r="K8" s="26"/>
      <c r="L8" s="27"/>
      <c r="M8" s="25">
        <v>45078</v>
      </c>
      <c r="N8" s="26"/>
      <c r="O8" s="26"/>
      <c r="P8" s="26"/>
      <c r="Q8" s="27"/>
      <c r="R8" s="25">
        <v>45108</v>
      </c>
      <c r="S8" s="26"/>
      <c r="T8" s="26"/>
      <c r="U8" s="26"/>
      <c r="V8" s="27"/>
      <c r="W8" s="25">
        <v>45139</v>
      </c>
      <c r="X8" s="26"/>
      <c r="Y8" s="26"/>
      <c r="Z8" s="26"/>
      <c r="AA8" s="27"/>
      <c r="AB8" s="25">
        <v>45170</v>
      </c>
      <c r="AC8" s="26"/>
      <c r="AD8" s="26"/>
      <c r="AE8" s="26"/>
      <c r="AF8" s="27"/>
      <c r="AG8" s="25">
        <v>45200</v>
      </c>
      <c r="AH8" s="26"/>
      <c r="AI8" s="26"/>
      <c r="AJ8" s="26"/>
      <c r="AK8" s="27"/>
      <c r="AL8" s="25">
        <v>45231</v>
      </c>
      <c r="AM8" s="26"/>
      <c r="AN8" s="26"/>
      <c r="AO8" s="26"/>
      <c r="AP8" s="27"/>
      <c r="AQ8" s="25">
        <v>45261</v>
      </c>
      <c r="AR8" s="26"/>
      <c r="AS8" s="26"/>
      <c r="AT8" s="26"/>
      <c r="AU8" s="27"/>
      <c r="AV8" s="25">
        <v>45292</v>
      </c>
      <c r="AW8" s="26"/>
      <c r="AX8" s="26"/>
      <c r="AY8" s="26"/>
      <c r="AZ8" s="27"/>
      <c r="BA8" s="25">
        <v>45323</v>
      </c>
      <c r="BB8" s="26"/>
      <c r="BC8" s="26"/>
      <c r="BD8" s="26"/>
      <c r="BE8" s="27"/>
      <c r="BF8" s="25">
        <v>45352</v>
      </c>
      <c r="BG8" s="26"/>
      <c r="BH8" s="26"/>
      <c r="BI8" s="26"/>
      <c r="BJ8" s="27"/>
    </row>
    <row r="9" spans="1:62" s="16" customFormat="1" ht="31.2" customHeight="1" x14ac:dyDescent="0.3">
      <c r="A9" s="23"/>
      <c r="B9" s="24"/>
      <c r="C9" s="17" t="s">
        <v>2</v>
      </c>
      <c r="D9" s="17" t="s">
        <v>3</v>
      </c>
      <c r="E9" s="17" t="s">
        <v>4</v>
      </c>
      <c r="F9" s="9" t="s">
        <v>5</v>
      </c>
      <c r="G9" s="17" t="s">
        <v>50</v>
      </c>
      <c r="H9" s="17" t="s">
        <v>2</v>
      </c>
      <c r="I9" s="17" t="s">
        <v>3</v>
      </c>
      <c r="J9" s="17" t="s">
        <v>4</v>
      </c>
      <c r="K9" s="9" t="s">
        <v>5</v>
      </c>
      <c r="L9" s="17" t="s">
        <v>50</v>
      </c>
      <c r="M9" s="17" t="s">
        <v>2</v>
      </c>
      <c r="N9" s="17" t="s">
        <v>3</v>
      </c>
      <c r="O9" s="17" t="s">
        <v>4</v>
      </c>
      <c r="P9" s="9" t="s">
        <v>5</v>
      </c>
      <c r="Q9" s="17" t="s">
        <v>50</v>
      </c>
      <c r="R9" s="17" t="s">
        <v>2</v>
      </c>
      <c r="S9" s="17" t="s">
        <v>3</v>
      </c>
      <c r="T9" s="17" t="s">
        <v>4</v>
      </c>
      <c r="U9" s="9" t="s">
        <v>5</v>
      </c>
      <c r="V9" s="17" t="s">
        <v>50</v>
      </c>
      <c r="W9" s="17" t="s">
        <v>2</v>
      </c>
      <c r="X9" s="17" t="s">
        <v>3</v>
      </c>
      <c r="Y9" s="17" t="s">
        <v>4</v>
      </c>
      <c r="Z9" s="9" t="s">
        <v>5</v>
      </c>
      <c r="AA9" s="17" t="s">
        <v>50</v>
      </c>
      <c r="AB9" s="17" t="s">
        <v>2</v>
      </c>
      <c r="AC9" s="17" t="s">
        <v>3</v>
      </c>
      <c r="AD9" s="17" t="s">
        <v>4</v>
      </c>
      <c r="AE9" s="9" t="s">
        <v>5</v>
      </c>
      <c r="AF9" s="17" t="s">
        <v>50</v>
      </c>
      <c r="AG9" s="17" t="s">
        <v>2</v>
      </c>
      <c r="AH9" s="17" t="s">
        <v>3</v>
      </c>
      <c r="AI9" s="17" t="s">
        <v>4</v>
      </c>
      <c r="AJ9" s="9" t="s">
        <v>5</v>
      </c>
      <c r="AK9" s="17" t="s">
        <v>50</v>
      </c>
      <c r="AL9" s="17" t="s">
        <v>2</v>
      </c>
      <c r="AM9" s="17" t="s">
        <v>3</v>
      </c>
      <c r="AN9" s="17" t="s">
        <v>4</v>
      </c>
      <c r="AO9" s="9" t="s">
        <v>5</v>
      </c>
      <c r="AP9" s="17" t="s">
        <v>50</v>
      </c>
      <c r="AQ9" s="17" t="s">
        <v>2</v>
      </c>
      <c r="AR9" s="17" t="s">
        <v>3</v>
      </c>
      <c r="AS9" s="17" t="s">
        <v>4</v>
      </c>
      <c r="AT9" s="9" t="s">
        <v>5</v>
      </c>
      <c r="AU9" s="17" t="s">
        <v>50</v>
      </c>
      <c r="AV9" s="17" t="s">
        <v>2</v>
      </c>
      <c r="AW9" s="17" t="s">
        <v>3</v>
      </c>
      <c r="AX9" s="17" t="s">
        <v>4</v>
      </c>
      <c r="AY9" s="9" t="s">
        <v>5</v>
      </c>
      <c r="AZ9" s="17" t="s">
        <v>50</v>
      </c>
      <c r="BA9" s="17" t="s">
        <v>2</v>
      </c>
      <c r="BB9" s="17" t="s">
        <v>3</v>
      </c>
      <c r="BC9" s="17" t="s">
        <v>4</v>
      </c>
      <c r="BD9" s="9" t="s">
        <v>5</v>
      </c>
      <c r="BE9" s="17" t="s">
        <v>50</v>
      </c>
      <c r="BF9" s="17" t="s">
        <v>2</v>
      </c>
      <c r="BG9" s="17" t="s">
        <v>3</v>
      </c>
      <c r="BH9" s="17" t="s">
        <v>4</v>
      </c>
      <c r="BI9" s="9" t="s">
        <v>5</v>
      </c>
      <c r="BJ9" s="17" t="s">
        <v>50</v>
      </c>
    </row>
    <row r="10" spans="1:62" x14ac:dyDescent="0.3">
      <c r="A10" s="18">
        <v>1</v>
      </c>
      <c r="B10" s="3" t="s">
        <v>6</v>
      </c>
      <c r="C10" s="8">
        <v>70249</v>
      </c>
      <c r="D10" s="7">
        <v>55211</v>
      </c>
      <c r="E10" s="4">
        <f>F10-D10</f>
        <v>15396</v>
      </c>
      <c r="F10" s="14">
        <v>70607</v>
      </c>
      <c r="G10" s="5">
        <f>F10/C10</f>
        <v>1.0050961579524265</v>
      </c>
      <c r="H10" s="8">
        <v>72254</v>
      </c>
      <c r="I10" s="7">
        <v>57600</v>
      </c>
      <c r="J10" s="4">
        <f>K10-I10</f>
        <v>14614</v>
      </c>
      <c r="K10" s="14">
        <v>72214</v>
      </c>
      <c r="L10" s="5">
        <f>K10/H10</f>
        <v>0.99944639743128405</v>
      </c>
      <c r="M10" s="8">
        <v>120466</v>
      </c>
      <c r="N10" s="7">
        <v>96353</v>
      </c>
      <c r="O10" s="4">
        <f>P10-N10</f>
        <v>23854</v>
      </c>
      <c r="P10" s="14">
        <v>120207</v>
      </c>
      <c r="Q10" s="5">
        <f>P10/M10</f>
        <v>0.9978500157720851</v>
      </c>
      <c r="R10" s="8">
        <v>70979</v>
      </c>
      <c r="S10" s="7">
        <v>55987</v>
      </c>
      <c r="T10" s="4">
        <f>U10-S10</f>
        <v>15292</v>
      </c>
      <c r="U10" s="14">
        <v>71279</v>
      </c>
      <c r="V10" s="5">
        <f>U10/R10</f>
        <v>1.0042266022344637</v>
      </c>
      <c r="W10" s="8">
        <v>73348</v>
      </c>
      <c r="X10" s="7">
        <v>58028</v>
      </c>
      <c r="Y10" s="4">
        <f>Z10-X10</f>
        <v>14964</v>
      </c>
      <c r="Z10" s="14">
        <v>72992</v>
      </c>
      <c r="AA10" s="5">
        <f>Z10/W10</f>
        <v>0.99514642526040242</v>
      </c>
      <c r="AB10" s="8">
        <v>123554</v>
      </c>
      <c r="AC10" s="7">
        <v>98004</v>
      </c>
      <c r="AD10" s="4">
        <f>AE10-AC10</f>
        <v>25351</v>
      </c>
      <c r="AE10" s="14">
        <v>123355</v>
      </c>
      <c r="AF10" s="5">
        <f>AE10/AB10</f>
        <v>0.99838936821147028</v>
      </c>
      <c r="AG10" s="8">
        <v>71950</v>
      </c>
      <c r="AH10" s="7">
        <v>56948</v>
      </c>
      <c r="AI10" s="4">
        <f>AJ10-AH10</f>
        <v>15070</v>
      </c>
      <c r="AJ10" s="14">
        <v>72018</v>
      </c>
      <c r="AK10" s="5">
        <f>AJ10/AG10</f>
        <v>1.0009451007644197</v>
      </c>
      <c r="AL10" s="8">
        <v>73532</v>
      </c>
      <c r="AM10" s="7">
        <v>58535</v>
      </c>
      <c r="AN10" s="4">
        <f>AO10-AM10</f>
        <v>14453</v>
      </c>
      <c r="AO10" s="14">
        <v>72988</v>
      </c>
      <c r="AP10" s="5">
        <f>AO10/AL10</f>
        <v>0.99260186041451337</v>
      </c>
      <c r="AQ10" s="8">
        <v>125499</v>
      </c>
      <c r="AR10" s="7">
        <v>103639</v>
      </c>
      <c r="AS10" s="4">
        <f>AT10-AR10</f>
        <v>22109</v>
      </c>
      <c r="AT10" s="14">
        <v>125748</v>
      </c>
      <c r="AU10" s="5">
        <f>AT10/AQ10</f>
        <v>1.0019840795544188</v>
      </c>
      <c r="AV10" s="8">
        <v>72481</v>
      </c>
      <c r="AW10" s="7">
        <v>58372</v>
      </c>
      <c r="AX10" s="4">
        <f>AY10-AW10</f>
        <v>14009</v>
      </c>
      <c r="AY10" s="14">
        <v>72381</v>
      </c>
      <c r="AZ10" s="5">
        <f>AY10/AV10</f>
        <v>0.99862032808598111</v>
      </c>
      <c r="BA10" s="8">
        <v>73790</v>
      </c>
      <c r="BB10" s="7">
        <v>60154</v>
      </c>
      <c r="BC10" s="4">
        <f>BD10-BB10</f>
        <v>13151</v>
      </c>
      <c r="BD10" s="14">
        <v>73305</v>
      </c>
      <c r="BE10" s="5">
        <f>BD10/BA10</f>
        <v>0.99342729367122917</v>
      </c>
      <c r="BF10" s="8">
        <v>128129</v>
      </c>
      <c r="BG10" s="7">
        <v>97200</v>
      </c>
      <c r="BH10" s="4">
        <f>BI10-BG10</f>
        <v>30707</v>
      </c>
      <c r="BI10" s="14">
        <v>127907</v>
      </c>
      <c r="BJ10" s="5">
        <f>BI10/BF10</f>
        <v>0.99826737116499775</v>
      </c>
    </row>
    <row r="11" spans="1:62" x14ac:dyDescent="0.3">
      <c r="A11" s="18">
        <v>2</v>
      </c>
      <c r="B11" s="3" t="s">
        <v>7</v>
      </c>
      <c r="C11" s="8">
        <v>44514</v>
      </c>
      <c r="D11" s="7">
        <v>36718</v>
      </c>
      <c r="E11" s="4">
        <f t="shared" ref="E11:E47" si="0">F11-D11</f>
        <v>8354</v>
      </c>
      <c r="F11" s="14">
        <v>45072</v>
      </c>
      <c r="G11" s="5">
        <f t="shared" ref="G11:G33" si="1">F11/C11</f>
        <v>1.0125353821269714</v>
      </c>
      <c r="H11" s="8">
        <v>46110</v>
      </c>
      <c r="I11" s="7">
        <v>37682</v>
      </c>
      <c r="J11" s="4">
        <f t="shared" ref="J11:J33" si="2">K11-I11</f>
        <v>8440</v>
      </c>
      <c r="K11" s="14">
        <v>46122</v>
      </c>
      <c r="L11" s="5">
        <f t="shared" ref="L11:L33" si="3">K11/H11</f>
        <v>1.0002602472348732</v>
      </c>
      <c r="M11" s="8">
        <v>102242</v>
      </c>
      <c r="N11" s="7">
        <v>84466</v>
      </c>
      <c r="O11" s="4">
        <f t="shared" ref="O11:O33" si="4">P11-N11</f>
        <v>17901</v>
      </c>
      <c r="P11" s="14">
        <v>102367</v>
      </c>
      <c r="Q11" s="5">
        <f t="shared" ref="Q11:Q33" si="5">P11/M11</f>
        <v>1.001222589542458</v>
      </c>
      <c r="R11" s="8">
        <v>44890</v>
      </c>
      <c r="S11" s="7">
        <v>36437</v>
      </c>
      <c r="T11" s="4">
        <f t="shared" ref="T11:T33" si="6">U11-S11</f>
        <v>8660</v>
      </c>
      <c r="U11" s="14">
        <v>45097</v>
      </c>
      <c r="V11" s="5">
        <f t="shared" ref="V11:V33" si="7">U11/R11</f>
        <v>1.0046112719982179</v>
      </c>
      <c r="W11" s="8">
        <v>46425</v>
      </c>
      <c r="X11" s="7">
        <v>37204</v>
      </c>
      <c r="Y11" s="4">
        <f t="shared" ref="Y11:Y33" si="8">Z11-X11</f>
        <v>8819</v>
      </c>
      <c r="Z11" s="14">
        <v>46023</v>
      </c>
      <c r="AA11" s="5">
        <f t="shared" ref="AA11:AA33" si="9">Z11/W11</f>
        <v>0.99134087237479807</v>
      </c>
      <c r="AB11" s="8">
        <v>103964</v>
      </c>
      <c r="AC11" s="7">
        <v>86885</v>
      </c>
      <c r="AD11" s="4">
        <f t="shared" ref="AD11:AD33" si="10">AE11-AC11</f>
        <v>17253</v>
      </c>
      <c r="AE11" s="14">
        <v>104138</v>
      </c>
      <c r="AF11" s="5">
        <f t="shared" ref="AF11:AF33" si="11">AE11/AB11</f>
        <v>1.0016736562656303</v>
      </c>
      <c r="AG11" s="8">
        <v>45569</v>
      </c>
      <c r="AH11" s="7">
        <v>36989</v>
      </c>
      <c r="AI11" s="4">
        <f t="shared" ref="AI11:AI33" si="12">AJ11-AH11</f>
        <v>8689</v>
      </c>
      <c r="AJ11" s="14">
        <v>45678</v>
      </c>
      <c r="AK11" s="5">
        <f t="shared" ref="AK11:AK33" si="13">AJ11/AG11</f>
        <v>1.0023919770019092</v>
      </c>
      <c r="AL11" s="8">
        <v>46951</v>
      </c>
      <c r="AM11" s="7">
        <v>38585</v>
      </c>
      <c r="AN11" s="4">
        <f t="shared" ref="AN11:AN33" si="14">AO11-AM11</f>
        <v>7787</v>
      </c>
      <c r="AO11" s="14">
        <v>46372</v>
      </c>
      <c r="AP11" s="5">
        <f t="shared" ref="AP11:AP33" si="15">AO11/AL11</f>
        <v>0.98766799429192131</v>
      </c>
      <c r="AQ11" s="8">
        <v>105644</v>
      </c>
      <c r="AR11" s="7">
        <v>90714</v>
      </c>
      <c r="AS11" s="4">
        <f t="shared" ref="AS11:AS33" si="16">AT11-AR11</f>
        <v>15143</v>
      </c>
      <c r="AT11" s="14">
        <v>105857</v>
      </c>
      <c r="AU11" s="5">
        <f t="shared" ref="AU11:AU33" si="17">AT11/AQ11</f>
        <v>1.002016205368975</v>
      </c>
      <c r="AV11" s="8">
        <v>46072</v>
      </c>
      <c r="AW11" s="7">
        <v>38650</v>
      </c>
      <c r="AX11" s="4">
        <f t="shared" ref="AX11:AX33" si="18">AY11-AW11</f>
        <v>7556</v>
      </c>
      <c r="AY11" s="14">
        <v>46206</v>
      </c>
      <c r="AZ11" s="5">
        <f t="shared" ref="AZ11:AZ33" si="19">AY11/AV11</f>
        <v>1.0029084910574753</v>
      </c>
      <c r="BA11" s="8">
        <v>47252</v>
      </c>
      <c r="BB11" s="7">
        <v>39815</v>
      </c>
      <c r="BC11" s="4">
        <f t="shared" ref="BC11:BC33" si="20">BD11-BB11</f>
        <v>7191</v>
      </c>
      <c r="BD11" s="14">
        <v>47006</v>
      </c>
      <c r="BE11" s="5">
        <f t="shared" ref="BE11:BE33" si="21">BD11/BA11</f>
        <v>0.99479387115889273</v>
      </c>
      <c r="BF11" s="8">
        <v>107665</v>
      </c>
      <c r="BG11" s="7">
        <v>87890</v>
      </c>
      <c r="BH11" s="4">
        <f t="shared" ref="BH11:BH33" si="22">BI11-BG11</f>
        <v>19654</v>
      </c>
      <c r="BI11" s="14">
        <v>107544</v>
      </c>
      <c r="BJ11" s="5">
        <f t="shared" ref="BJ11:BJ33" si="23">BI11/BF11</f>
        <v>0.99887614359355403</v>
      </c>
    </row>
    <row r="12" spans="1:62" x14ac:dyDescent="0.3">
      <c r="A12" s="18">
        <v>3</v>
      </c>
      <c r="B12" s="3" t="s">
        <v>8</v>
      </c>
      <c r="C12" s="8">
        <v>165970</v>
      </c>
      <c r="D12" s="7">
        <v>141211</v>
      </c>
      <c r="E12" s="4">
        <f t="shared" si="0"/>
        <v>24309</v>
      </c>
      <c r="F12" s="14">
        <v>165520</v>
      </c>
      <c r="G12" s="5">
        <f t="shared" si="1"/>
        <v>0.99728866662649873</v>
      </c>
      <c r="H12" s="8">
        <v>170538</v>
      </c>
      <c r="I12" s="7">
        <v>143825</v>
      </c>
      <c r="J12" s="4">
        <f t="shared" si="2"/>
        <v>24748</v>
      </c>
      <c r="K12" s="14">
        <v>168573</v>
      </c>
      <c r="L12" s="5">
        <f t="shared" si="3"/>
        <v>0.98847764134679661</v>
      </c>
      <c r="M12" s="8">
        <v>344875</v>
      </c>
      <c r="N12" s="7">
        <v>289002</v>
      </c>
      <c r="O12" s="4">
        <f t="shared" si="4"/>
        <v>54202</v>
      </c>
      <c r="P12" s="14">
        <v>343204</v>
      </c>
      <c r="Q12" s="5">
        <f t="shared" si="5"/>
        <v>0.99515476621964483</v>
      </c>
      <c r="R12" s="8">
        <v>167705</v>
      </c>
      <c r="S12" s="7">
        <v>140142</v>
      </c>
      <c r="T12" s="4">
        <f t="shared" si="6"/>
        <v>27009</v>
      </c>
      <c r="U12" s="14">
        <v>167151</v>
      </c>
      <c r="V12" s="5">
        <f t="shared" si="7"/>
        <v>0.99669658030470176</v>
      </c>
      <c r="W12" s="8">
        <v>171864</v>
      </c>
      <c r="X12" s="7">
        <v>142458</v>
      </c>
      <c r="Y12" s="4">
        <f t="shared" si="8"/>
        <v>27610</v>
      </c>
      <c r="Z12" s="14">
        <v>170068</v>
      </c>
      <c r="AA12" s="5">
        <f t="shared" si="9"/>
        <v>0.98954987664665084</v>
      </c>
      <c r="AB12" s="8">
        <v>349048</v>
      </c>
      <c r="AC12" s="7">
        <v>289469</v>
      </c>
      <c r="AD12" s="4">
        <f t="shared" si="10"/>
        <v>58561</v>
      </c>
      <c r="AE12" s="14">
        <v>348030</v>
      </c>
      <c r="AF12" s="5">
        <f t="shared" si="11"/>
        <v>0.99708349567967725</v>
      </c>
      <c r="AG12" s="8">
        <v>170526</v>
      </c>
      <c r="AH12" s="7">
        <v>142444</v>
      </c>
      <c r="AI12" s="4">
        <f t="shared" si="12"/>
        <v>27747</v>
      </c>
      <c r="AJ12" s="14">
        <v>170191</v>
      </c>
      <c r="AK12" s="5">
        <f t="shared" si="13"/>
        <v>0.99803549018917936</v>
      </c>
      <c r="AL12" s="8">
        <v>174892</v>
      </c>
      <c r="AM12" s="7">
        <v>147326</v>
      </c>
      <c r="AN12" s="4">
        <f t="shared" si="14"/>
        <v>25080</v>
      </c>
      <c r="AO12" s="14">
        <v>172406</v>
      </c>
      <c r="AP12" s="5">
        <f t="shared" si="15"/>
        <v>0.98578551334537889</v>
      </c>
      <c r="AQ12" s="8">
        <v>353589</v>
      </c>
      <c r="AR12" s="7">
        <v>301910</v>
      </c>
      <c r="AS12" s="4">
        <f t="shared" si="16"/>
        <v>50897</v>
      </c>
      <c r="AT12" s="14">
        <v>352807</v>
      </c>
      <c r="AU12" s="5">
        <f t="shared" si="17"/>
        <v>0.99778839273846187</v>
      </c>
      <c r="AV12" s="8">
        <v>172980</v>
      </c>
      <c r="AW12" s="7">
        <v>147717</v>
      </c>
      <c r="AX12" s="4">
        <f t="shared" si="18"/>
        <v>24629</v>
      </c>
      <c r="AY12" s="14">
        <v>172346</v>
      </c>
      <c r="AZ12" s="5">
        <f t="shared" si="19"/>
        <v>0.99633483639727138</v>
      </c>
      <c r="BA12" s="8">
        <v>177212</v>
      </c>
      <c r="BB12" s="7">
        <v>150751</v>
      </c>
      <c r="BC12" s="4">
        <f t="shared" si="20"/>
        <v>24044</v>
      </c>
      <c r="BD12" s="14">
        <v>174795</v>
      </c>
      <c r="BE12" s="5">
        <f t="shared" si="21"/>
        <v>0.98636096878315238</v>
      </c>
      <c r="BF12" s="8">
        <v>359260</v>
      </c>
      <c r="BG12" s="7">
        <v>291706</v>
      </c>
      <c r="BH12" s="4">
        <f t="shared" si="22"/>
        <v>65717</v>
      </c>
      <c r="BI12" s="14">
        <v>357423</v>
      </c>
      <c r="BJ12" s="5">
        <f t="shared" si="23"/>
        <v>0.99488671157379061</v>
      </c>
    </row>
    <row r="13" spans="1:62" x14ac:dyDescent="0.3">
      <c r="A13" s="18">
        <v>4</v>
      </c>
      <c r="B13" s="3" t="s">
        <v>9</v>
      </c>
      <c r="C13" s="8">
        <v>16508</v>
      </c>
      <c r="D13" s="7">
        <v>14192</v>
      </c>
      <c r="E13" s="4">
        <f t="shared" si="0"/>
        <v>2407</v>
      </c>
      <c r="F13" s="14">
        <v>16599</v>
      </c>
      <c r="G13" s="5">
        <f t="shared" si="1"/>
        <v>1.0055124787981584</v>
      </c>
      <c r="H13" s="8">
        <v>16836</v>
      </c>
      <c r="I13" s="7">
        <v>14405</v>
      </c>
      <c r="J13" s="4">
        <f t="shared" si="2"/>
        <v>2389</v>
      </c>
      <c r="K13" s="14">
        <v>16794</v>
      </c>
      <c r="L13" s="5">
        <f t="shared" si="3"/>
        <v>0.9975053456878118</v>
      </c>
      <c r="M13" s="8">
        <v>27790</v>
      </c>
      <c r="N13" s="7">
        <v>23287</v>
      </c>
      <c r="O13" s="4">
        <f t="shared" si="4"/>
        <v>4529</v>
      </c>
      <c r="P13" s="14">
        <v>27816</v>
      </c>
      <c r="Q13" s="5">
        <f t="shared" si="5"/>
        <v>1.0009355883411299</v>
      </c>
      <c r="R13" s="8">
        <v>16731</v>
      </c>
      <c r="S13" s="7">
        <v>14066</v>
      </c>
      <c r="T13" s="4">
        <f t="shared" si="6"/>
        <v>2682</v>
      </c>
      <c r="U13" s="14">
        <v>16748</v>
      </c>
      <c r="V13" s="5">
        <f t="shared" si="7"/>
        <v>1.0010160779391548</v>
      </c>
      <c r="W13" s="8">
        <v>16980</v>
      </c>
      <c r="X13" s="7">
        <v>14392</v>
      </c>
      <c r="Y13" s="4">
        <f t="shared" si="8"/>
        <v>2583</v>
      </c>
      <c r="Z13" s="14">
        <v>16975</v>
      </c>
      <c r="AA13" s="5">
        <f t="shared" si="9"/>
        <v>0.99970553592461719</v>
      </c>
      <c r="AB13" s="8">
        <v>28086</v>
      </c>
      <c r="AC13" s="7">
        <v>23262</v>
      </c>
      <c r="AD13" s="4">
        <f t="shared" si="10"/>
        <v>4831</v>
      </c>
      <c r="AE13" s="14">
        <v>28093</v>
      </c>
      <c r="AF13" s="5">
        <f t="shared" si="11"/>
        <v>1.0002492344940539</v>
      </c>
      <c r="AG13" s="8">
        <v>17018</v>
      </c>
      <c r="AH13" s="7">
        <v>14472</v>
      </c>
      <c r="AI13" s="4">
        <f t="shared" si="12"/>
        <v>2732</v>
      </c>
      <c r="AJ13" s="14">
        <v>17204</v>
      </c>
      <c r="AK13" s="5">
        <f t="shared" si="13"/>
        <v>1.0109296039487601</v>
      </c>
      <c r="AL13" s="8">
        <v>17260</v>
      </c>
      <c r="AM13" s="7">
        <v>14856</v>
      </c>
      <c r="AN13" s="4">
        <f t="shared" si="14"/>
        <v>2429</v>
      </c>
      <c r="AO13" s="14">
        <v>17285</v>
      </c>
      <c r="AP13" s="5">
        <f t="shared" si="15"/>
        <v>1.0014484356894553</v>
      </c>
      <c r="AQ13" s="8">
        <v>28368</v>
      </c>
      <c r="AR13" s="7">
        <v>24427</v>
      </c>
      <c r="AS13" s="4">
        <f t="shared" si="16"/>
        <v>4018</v>
      </c>
      <c r="AT13" s="14">
        <v>28445</v>
      </c>
      <c r="AU13" s="5">
        <f t="shared" si="17"/>
        <v>1.002714326001128</v>
      </c>
      <c r="AV13" s="8">
        <v>17209</v>
      </c>
      <c r="AW13" s="7">
        <v>14995</v>
      </c>
      <c r="AX13" s="4">
        <f t="shared" si="18"/>
        <v>2316</v>
      </c>
      <c r="AY13" s="14">
        <v>17311</v>
      </c>
      <c r="AZ13" s="5">
        <f t="shared" si="19"/>
        <v>1.0059271311523039</v>
      </c>
      <c r="BA13" s="8">
        <v>17487</v>
      </c>
      <c r="BB13" s="7">
        <v>15092</v>
      </c>
      <c r="BC13" s="4">
        <f t="shared" si="20"/>
        <v>2343</v>
      </c>
      <c r="BD13" s="14">
        <v>17435</v>
      </c>
      <c r="BE13" s="5">
        <f t="shared" si="21"/>
        <v>0.99702636244067022</v>
      </c>
      <c r="BF13" s="8">
        <v>28574</v>
      </c>
      <c r="BG13" s="7">
        <v>23743</v>
      </c>
      <c r="BH13" s="4">
        <f t="shared" si="22"/>
        <v>4905</v>
      </c>
      <c r="BI13" s="14">
        <v>28648</v>
      </c>
      <c r="BJ13" s="5">
        <f t="shared" si="23"/>
        <v>1.0025897669209771</v>
      </c>
    </row>
    <row r="14" spans="1:62" x14ac:dyDescent="0.3">
      <c r="A14" s="18">
        <v>5</v>
      </c>
      <c r="B14" s="3" t="s">
        <v>10</v>
      </c>
      <c r="C14" s="8">
        <v>85383</v>
      </c>
      <c r="D14" s="7">
        <v>67159</v>
      </c>
      <c r="E14" s="4">
        <f t="shared" si="0"/>
        <v>18162</v>
      </c>
      <c r="F14" s="14">
        <v>85321</v>
      </c>
      <c r="G14" s="5">
        <f t="shared" si="1"/>
        <v>0.99927386013609265</v>
      </c>
      <c r="H14" s="8">
        <v>88261</v>
      </c>
      <c r="I14" s="7">
        <v>68869</v>
      </c>
      <c r="J14" s="4">
        <f t="shared" si="2"/>
        <v>18275</v>
      </c>
      <c r="K14" s="14">
        <v>87144</v>
      </c>
      <c r="L14" s="5">
        <f t="shared" si="3"/>
        <v>0.98734435367829509</v>
      </c>
      <c r="M14" s="8">
        <v>157146</v>
      </c>
      <c r="N14" s="7">
        <v>123401</v>
      </c>
      <c r="O14" s="4">
        <f t="shared" si="4"/>
        <v>32114</v>
      </c>
      <c r="P14" s="14">
        <v>155515</v>
      </c>
      <c r="Q14" s="5">
        <f t="shared" si="5"/>
        <v>0.98962111666857577</v>
      </c>
      <c r="R14" s="8">
        <v>86469</v>
      </c>
      <c r="S14" s="7">
        <v>67065</v>
      </c>
      <c r="T14" s="4">
        <f t="shared" si="6"/>
        <v>18349</v>
      </c>
      <c r="U14" s="14">
        <v>85414</v>
      </c>
      <c r="V14" s="5">
        <f t="shared" si="7"/>
        <v>0.98779909562964763</v>
      </c>
      <c r="W14" s="8">
        <v>88169</v>
      </c>
      <c r="X14" s="7">
        <v>68708</v>
      </c>
      <c r="Y14" s="4">
        <f t="shared" si="8"/>
        <v>17866</v>
      </c>
      <c r="Z14" s="14">
        <v>86574</v>
      </c>
      <c r="AA14" s="5">
        <f t="shared" si="9"/>
        <v>0.98190974151912802</v>
      </c>
      <c r="AB14" s="8">
        <v>157930</v>
      </c>
      <c r="AC14" s="7">
        <v>123425</v>
      </c>
      <c r="AD14" s="4">
        <f t="shared" si="10"/>
        <v>33762</v>
      </c>
      <c r="AE14" s="14">
        <v>157187</v>
      </c>
      <c r="AF14" s="5">
        <f t="shared" si="11"/>
        <v>0.99529538403089979</v>
      </c>
      <c r="AG14" s="8">
        <v>87312</v>
      </c>
      <c r="AH14" s="7">
        <v>67332</v>
      </c>
      <c r="AI14" s="4">
        <f t="shared" si="12"/>
        <v>19601</v>
      </c>
      <c r="AJ14" s="14">
        <v>86933</v>
      </c>
      <c r="AK14" s="5">
        <f t="shared" si="13"/>
        <v>0.99565924500641378</v>
      </c>
      <c r="AL14" s="8">
        <v>89337</v>
      </c>
      <c r="AM14" s="7">
        <v>70940</v>
      </c>
      <c r="AN14" s="4">
        <f t="shared" si="14"/>
        <v>17003</v>
      </c>
      <c r="AO14" s="14">
        <v>87943</v>
      </c>
      <c r="AP14" s="5">
        <f t="shared" si="15"/>
        <v>0.98439616284406239</v>
      </c>
      <c r="AQ14" s="8">
        <v>160173</v>
      </c>
      <c r="AR14" s="7">
        <v>130441</v>
      </c>
      <c r="AS14" s="4">
        <f t="shared" si="16"/>
        <v>29870</v>
      </c>
      <c r="AT14" s="14">
        <v>160311</v>
      </c>
      <c r="AU14" s="5">
        <f t="shared" si="17"/>
        <v>1.000861568429136</v>
      </c>
      <c r="AV14" s="8">
        <v>88523</v>
      </c>
      <c r="AW14" s="7">
        <v>71360</v>
      </c>
      <c r="AX14" s="4">
        <f t="shared" si="18"/>
        <v>17233</v>
      </c>
      <c r="AY14" s="14">
        <v>88593</v>
      </c>
      <c r="AZ14" s="5">
        <f t="shared" si="19"/>
        <v>1.0007907549450425</v>
      </c>
      <c r="BA14" s="8">
        <v>90782</v>
      </c>
      <c r="BB14" s="7">
        <v>73581</v>
      </c>
      <c r="BC14" s="4">
        <f t="shared" si="20"/>
        <v>16198</v>
      </c>
      <c r="BD14" s="14">
        <v>89779</v>
      </c>
      <c r="BE14" s="5">
        <f t="shared" si="21"/>
        <v>0.98895155427287351</v>
      </c>
      <c r="BF14" s="8">
        <v>163900</v>
      </c>
      <c r="BG14" s="7">
        <v>123360</v>
      </c>
      <c r="BH14" s="4">
        <f t="shared" si="22"/>
        <v>39498</v>
      </c>
      <c r="BI14" s="14">
        <v>162858</v>
      </c>
      <c r="BJ14" s="5">
        <f t="shared" si="23"/>
        <v>0.99364246491763275</v>
      </c>
    </row>
    <row r="15" spans="1:62" x14ac:dyDescent="0.3">
      <c r="A15" s="18">
        <v>6</v>
      </c>
      <c r="B15" s="3" t="s">
        <v>11</v>
      </c>
      <c r="C15" s="8">
        <v>284262</v>
      </c>
      <c r="D15" s="7">
        <v>234795</v>
      </c>
      <c r="E15" s="4">
        <f t="shared" si="0"/>
        <v>48201</v>
      </c>
      <c r="F15" s="14">
        <v>282996</v>
      </c>
      <c r="G15" s="5">
        <f t="shared" si="1"/>
        <v>0.9955463621588535</v>
      </c>
      <c r="H15" s="8">
        <v>290906</v>
      </c>
      <c r="I15" s="7">
        <v>239596</v>
      </c>
      <c r="J15" s="4">
        <f t="shared" si="2"/>
        <v>47677</v>
      </c>
      <c r="K15" s="14">
        <v>287273</v>
      </c>
      <c r="L15" s="5">
        <f t="shared" si="3"/>
        <v>0.98751142980894169</v>
      </c>
      <c r="M15" s="8">
        <v>490131</v>
      </c>
      <c r="N15" s="7">
        <v>404254</v>
      </c>
      <c r="O15" s="4">
        <f t="shared" si="4"/>
        <v>81161</v>
      </c>
      <c r="P15" s="14">
        <v>485415</v>
      </c>
      <c r="Q15" s="5">
        <f t="shared" si="5"/>
        <v>0.9903780825942452</v>
      </c>
      <c r="R15" s="8">
        <v>287010</v>
      </c>
      <c r="S15" s="7">
        <v>232157</v>
      </c>
      <c r="T15" s="4">
        <f t="shared" si="6"/>
        <v>51981</v>
      </c>
      <c r="U15" s="14">
        <v>284138</v>
      </c>
      <c r="V15" s="5">
        <f t="shared" si="7"/>
        <v>0.98999338002160209</v>
      </c>
      <c r="W15" s="8">
        <v>292338</v>
      </c>
      <c r="X15" s="7">
        <v>238270</v>
      </c>
      <c r="Y15" s="4">
        <f t="shared" si="8"/>
        <v>49402</v>
      </c>
      <c r="Z15" s="14">
        <v>287672</v>
      </c>
      <c r="AA15" s="5">
        <f t="shared" si="9"/>
        <v>0.98403902332231874</v>
      </c>
      <c r="AB15" s="8">
        <v>495688</v>
      </c>
      <c r="AC15" s="7">
        <v>404292</v>
      </c>
      <c r="AD15" s="4">
        <f t="shared" si="10"/>
        <v>86723</v>
      </c>
      <c r="AE15" s="14">
        <v>491015</v>
      </c>
      <c r="AF15" s="5">
        <f t="shared" si="11"/>
        <v>0.99057269895579481</v>
      </c>
      <c r="AG15" s="8">
        <v>292071</v>
      </c>
      <c r="AH15" s="7">
        <v>234918</v>
      </c>
      <c r="AI15" s="4">
        <f t="shared" si="12"/>
        <v>54942</v>
      </c>
      <c r="AJ15" s="14">
        <v>289860</v>
      </c>
      <c r="AK15" s="5">
        <f t="shared" si="13"/>
        <v>0.99242992286122211</v>
      </c>
      <c r="AL15" s="8">
        <v>298411</v>
      </c>
      <c r="AM15" s="7">
        <v>246094</v>
      </c>
      <c r="AN15" s="4">
        <f t="shared" si="14"/>
        <v>47365</v>
      </c>
      <c r="AO15" s="14">
        <v>293459</v>
      </c>
      <c r="AP15" s="5">
        <f t="shared" si="15"/>
        <v>0.9834054374671175</v>
      </c>
      <c r="AQ15" s="8">
        <v>502913</v>
      </c>
      <c r="AR15" s="7">
        <v>423559</v>
      </c>
      <c r="AS15" s="4">
        <f t="shared" si="16"/>
        <v>75301</v>
      </c>
      <c r="AT15" s="14">
        <v>498860</v>
      </c>
      <c r="AU15" s="5">
        <f t="shared" si="17"/>
        <v>0.99194095201356891</v>
      </c>
      <c r="AV15" s="8">
        <v>298012</v>
      </c>
      <c r="AW15" s="7">
        <v>247267</v>
      </c>
      <c r="AX15" s="4">
        <f t="shared" si="18"/>
        <v>47952</v>
      </c>
      <c r="AY15" s="14">
        <v>295219</v>
      </c>
      <c r="AZ15" s="5">
        <f t="shared" si="19"/>
        <v>0.99062789417875785</v>
      </c>
      <c r="BA15" s="8">
        <v>303376</v>
      </c>
      <c r="BB15" s="7">
        <v>253578</v>
      </c>
      <c r="BC15" s="4">
        <f t="shared" si="20"/>
        <v>45519</v>
      </c>
      <c r="BD15" s="14">
        <v>299097</v>
      </c>
      <c r="BE15" s="5">
        <f t="shared" si="21"/>
        <v>0.98589539053847375</v>
      </c>
      <c r="BF15" s="8">
        <v>511329</v>
      </c>
      <c r="BG15" s="7">
        <v>414266</v>
      </c>
      <c r="BH15" s="4">
        <f t="shared" si="22"/>
        <v>92303</v>
      </c>
      <c r="BI15" s="14">
        <v>506569</v>
      </c>
      <c r="BJ15" s="5">
        <f t="shared" si="23"/>
        <v>0.99069092502087697</v>
      </c>
    </row>
    <row r="16" spans="1:62" x14ac:dyDescent="0.3">
      <c r="A16" s="18">
        <v>7</v>
      </c>
      <c r="B16" s="3" t="s">
        <v>12</v>
      </c>
      <c r="C16" s="8">
        <v>430635</v>
      </c>
      <c r="D16" s="7">
        <v>354767</v>
      </c>
      <c r="E16" s="4">
        <f t="shared" si="0"/>
        <v>73115</v>
      </c>
      <c r="F16" s="14">
        <v>427882</v>
      </c>
      <c r="G16" s="5">
        <f t="shared" si="1"/>
        <v>0.99360711507425081</v>
      </c>
      <c r="H16" s="8">
        <v>441093</v>
      </c>
      <c r="I16" s="7">
        <v>358385</v>
      </c>
      <c r="J16" s="4">
        <f t="shared" si="2"/>
        <v>74315</v>
      </c>
      <c r="K16" s="14">
        <v>432700</v>
      </c>
      <c r="L16" s="5">
        <f t="shared" si="3"/>
        <v>0.98097226661951109</v>
      </c>
      <c r="M16" s="8">
        <v>754668</v>
      </c>
      <c r="N16" s="7">
        <v>623970</v>
      </c>
      <c r="O16" s="4">
        <f t="shared" si="4"/>
        <v>125402</v>
      </c>
      <c r="P16" s="14">
        <v>749372</v>
      </c>
      <c r="Q16" s="5">
        <f t="shared" si="5"/>
        <v>0.99298234455416157</v>
      </c>
      <c r="R16" s="8">
        <v>429537</v>
      </c>
      <c r="S16" s="7">
        <v>346250</v>
      </c>
      <c r="T16" s="4">
        <f t="shared" si="6"/>
        <v>78681</v>
      </c>
      <c r="U16" s="14">
        <v>424931</v>
      </c>
      <c r="V16" s="5">
        <f t="shared" si="7"/>
        <v>0.98927682597773881</v>
      </c>
      <c r="W16" s="8">
        <v>433887</v>
      </c>
      <c r="X16" s="7">
        <v>351126</v>
      </c>
      <c r="Y16" s="4">
        <f t="shared" si="8"/>
        <v>76023</v>
      </c>
      <c r="Z16" s="14">
        <v>427149</v>
      </c>
      <c r="AA16" s="5">
        <f t="shared" si="9"/>
        <v>0.98447061101162281</v>
      </c>
      <c r="AB16" s="8">
        <v>753330</v>
      </c>
      <c r="AC16" s="7">
        <v>614205</v>
      </c>
      <c r="AD16" s="4">
        <f t="shared" si="10"/>
        <v>135918</v>
      </c>
      <c r="AE16" s="14">
        <v>750123</v>
      </c>
      <c r="AF16" s="5">
        <f t="shared" si="11"/>
        <v>0.9957429015172633</v>
      </c>
      <c r="AG16" s="8">
        <v>431686</v>
      </c>
      <c r="AH16" s="7">
        <v>344178</v>
      </c>
      <c r="AI16" s="4">
        <f t="shared" si="12"/>
        <v>82789</v>
      </c>
      <c r="AJ16" s="14">
        <v>426967</v>
      </c>
      <c r="AK16" s="5">
        <f t="shared" si="13"/>
        <v>0.98906844326663357</v>
      </c>
      <c r="AL16" s="8">
        <v>438911</v>
      </c>
      <c r="AM16" s="7">
        <v>356581</v>
      </c>
      <c r="AN16" s="4">
        <f t="shared" si="14"/>
        <v>74035</v>
      </c>
      <c r="AO16" s="14">
        <v>430616</v>
      </c>
      <c r="AP16" s="5">
        <f t="shared" si="15"/>
        <v>0.98110095212924719</v>
      </c>
      <c r="AQ16" s="8">
        <v>759875</v>
      </c>
      <c r="AR16" s="7">
        <v>636895</v>
      </c>
      <c r="AS16" s="4">
        <f t="shared" si="16"/>
        <v>120029</v>
      </c>
      <c r="AT16" s="14">
        <v>756924</v>
      </c>
      <c r="AU16" s="5">
        <f t="shared" si="17"/>
        <v>0.99611646652409935</v>
      </c>
      <c r="AV16" s="8">
        <v>437477</v>
      </c>
      <c r="AW16" s="7">
        <v>362477</v>
      </c>
      <c r="AX16" s="4">
        <f t="shared" si="18"/>
        <v>69897</v>
      </c>
      <c r="AY16" s="14">
        <v>432374</v>
      </c>
      <c r="AZ16" s="5">
        <f t="shared" si="19"/>
        <v>0.98833538677461896</v>
      </c>
      <c r="BA16" s="8">
        <v>445887</v>
      </c>
      <c r="BB16" s="7">
        <v>366665</v>
      </c>
      <c r="BC16" s="4">
        <f t="shared" si="20"/>
        <v>70535</v>
      </c>
      <c r="BD16" s="14">
        <v>437200</v>
      </c>
      <c r="BE16" s="5">
        <f t="shared" si="21"/>
        <v>0.98051748537185435</v>
      </c>
      <c r="BF16" s="8">
        <v>770088</v>
      </c>
      <c r="BG16" s="7">
        <v>623555</v>
      </c>
      <c r="BH16" s="4">
        <f t="shared" si="22"/>
        <v>139436</v>
      </c>
      <c r="BI16" s="14">
        <v>762991</v>
      </c>
      <c r="BJ16" s="5">
        <f t="shared" si="23"/>
        <v>0.99078417012081732</v>
      </c>
    </row>
    <row r="17" spans="1:62" x14ac:dyDescent="0.3">
      <c r="A17" s="18">
        <v>8</v>
      </c>
      <c r="B17" s="3" t="s">
        <v>13</v>
      </c>
      <c r="C17" s="8">
        <v>302574</v>
      </c>
      <c r="D17" s="7">
        <v>251018</v>
      </c>
      <c r="E17" s="4">
        <f t="shared" si="0"/>
        <v>52710</v>
      </c>
      <c r="F17" s="14">
        <v>303728</v>
      </c>
      <c r="G17" s="5">
        <f t="shared" si="1"/>
        <v>1.0038139430354227</v>
      </c>
      <c r="H17" s="8">
        <v>314962</v>
      </c>
      <c r="I17" s="7">
        <v>258627</v>
      </c>
      <c r="J17" s="4">
        <f t="shared" si="2"/>
        <v>52694</v>
      </c>
      <c r="K17" s="14">
        <v>311321</v>
      </c>
      <c r="L17" s="5">
        <f t="shared" si="3"/>
        <v>0.98843987528654254</v>
      </c>
      <c r="M17" s="8">
        <v>695415</v>
      </c>
      <c r="N17" s="7">
        <v>570661</v>
      </c>
      <c r="O17" s="4">
        <f t="shared" si="4"/>
        <v>119323</v>
      </c>
      <c r="P17" s="14">
        <v>689984</v>
      </c>
      <c r="Q17" s="5">
        <f t="shared" si="5"/>
        <v>0.99219027487183908</v>
      </c>
      <c r="R17" s="8">
        <v>305324</v>
      </c>
      <c r="S17" s="7">
        <v>248668</v>
      </c>
      <c r="T17" s="4">
        <f t="shared" si="6"/>
        <v>55830</v>
      </c>
      <c r="U17" s="14">
        <v>304498</v>
      </c>
      <c r="V17" s="5">
        <f t="shared" si="7"/>
        <v>0.99729467712986863</v>
      </c>
      <c r="W17" s="8">
        <v>316716</v>
      </c>
      <c r="X17" s="7">
        <v>254712</v>
      </c>
      <c r="Y17" s="4">
        <f t="shared" si="8"/>
        <v>55820</v>
      </c>
      <c r="Z17" s="14">
        <v>310532</v>
      </c>
      <c r="AA17" s="5">
        <f t="shared" si="9"/>
        <v>0.98047462079591807</v>
      </c>
      <c r="AB17" s="8">
        <v>703511</v>
      </c>
      <c r="AC17" s="7">
        <v>567284</v>
      </c>
      <c r="AD17" s="4">
        <f t="shared" si="10"/>
        <v>130826</v>
      </c>
      <c r="AE17" s="14">
        <v>698110</v>
      </c>
      <c r="AF17" s="5">
        <f t="shared" si="11"/>
        <v>0.99232279239414878</v>
      </c>
      <c r="AG17" s="8">
        <v>311084</v>
      </c>
      <c r="AH17" s="7">
        <v>247679</v>
      </c>
      <c r="AI17" s="4">
        <f t="shared" si="12"/>
        <v>63047</v>
      </c>
      <c r="AJ17" s="14">
        <v>310726</v>
      </c>
      <c r="AK17" s="5">
        <f t="shared" si="13"/>
        <v>0.99884918542901591</v>
      </c>
      <c r="AL17" s="8">
        <v>323550</v>
      </c>
      <c r="AM17" s="7">
        <v>265071</v>
      </c>
      <c r="AN17" s="4">
        <f t="shared" si="14"/>
        <v>52114</v>
      </c>
      <c r="AO17" s="14">
        <v>317185</v>
      </c>
      <c r="AP17" s="5">
        <f t="shared" si="15"/>
        <v>0.98032761551537628</v>
      </c>
      <c r="AQ17" s="8">
        <v>714257</v>
      </c>
      <c r="AR17" s="7">
        <v>599948</v>
      </c>
      <c r="AS17" s="4">
        <f t="shared" si="16"/>
        <v>112895</v>
      </c>
      <c r="AT17" s="14">
        <v>712843</v>
      </c>
      <c r="AU17" s="5">
        <f t="shared" si="17"/>
        <v>0.99802032041688071</v>
      </c>
      <c r="AV17" s="8">
        <v>316308</v>
      </c>
      <c r="AW17" s="7">
        <v>265332</v>
      </c>
      <c r="AX17" s="4">
        <f t="shared" si="18"/>
        <v>51116</v>
      </c>
      <c r="AY17" s="14">
        <v>316448</v>
      </c>
      <c r="AZ17" s="5">
        <f t="shared" si="19"/>
        <v>1.0004426065733398</v>
      </c>
      <c r="BA17" s="8">
        <v>328067</v>
      </c>
      <c r="BB17" s="7">
        <v>275554</v>
      </c>
      <c r="BC17" s="4">
        <f t="shared" si="20"/>
        <v>47175</v>
      </c>
      <c r="BD17" s="14">
        <v>322729</v>
      </c>
      <c r="BE17" s="5">
        <f t="shared" si="21"/>
        <v>0.98372893341908818</v>
      </c>
      <c r="BF17" s="8">
        <v>726752</v>
      </c>
      <c r="BG17" s="7">
        <v>580052</v>
      </c>
      <c r="BH17" s="4">
        <f t="shared" si="22"/>
        <v>143889</v>
      </c>
      <c r="BI17" s="14">
        <v>723941</v>
      </c>
      <c r="BJ17" s="5">
        <f t="shared" si="23"/>
        <v>0.99613210558760068</v>
      </c>
    </row>
    <row r="18" spans="1:62" x14ac:dyDescent="0.3">
      <c r="A18" s="18">
        <v>9</v>
      </c>
      <c r="B18" s="3" t="s">
        <v>14</v>
      </c>
      <c r="C18" s="8">
        <v>921236</v>
      </c>
      <c r="D18" s="7">
        <v>752631</v>
      </c>
      <c r="E18" s="4">
        <f t="shared" si="0"/>
        <v>166644</v>
      </c>
      <c r="F18" s="14">
        <v>919275</v>
      </c>
      <c r="G18" s="5">
        <f t="shared" si="1"/>
        <v>0.99787133807189476</v>
      </c>
      <c r="H18" s="8">
        <v>943261</v>
      </c>
      <c r="I18" s="7">
        <v>769428</v>
      </c>
      <c r="J18" s="4">
        <f t="shared" si="2"/>
        <v>163851</v>
      </c>
      <c r="K18" s="14">
        <v>933279</v>
      </c>
      <c r="L18" s="5">
        <f t="shared" si="3"/>
        <v>0.98941756311349671</v>
      </c>
      <c r="M18" s="8">
        <v>1440086</v>
      </c>
      <c r="N18" s="7">
        <v>1175058</v>
      </c>
      <c r="O18" s="4">
        <f t="shared" si="4"/>
        <v>251765</v>
      </c>
      <c r="P18" s="14">
        <v>1426823</v>
      </c>
      <c r="Q18" s="5">
        <f t="shared" si="5"/>
        <v>0.99079013336703503</v>
      </c>
      <c r="R18" s="8">
        <v>938677</v>
      </c>
      <c r="S18" s="7">
        <v>758668</v>
      </c>
      <c r="T18" s="4">
        <f t="shared" si="6"/>
        <v>170686</v>
      </c>
      <c r="U18" s="14">
        <v>929354</v>
      </c>
      <c r="V18" s="5">
        <f t="shared" si="7"/>
        <v>0.99006793604189725</v>
      </c>
      <c r="W18" s="8">
        <v>958009</v>
      </c>
      <c r="X18" s="7">
        <v>774571</v>
      </c>
      <c r="Y18" s="4">
        <f t="shared" si="8"/>
        <v>169090</v>
      </c>
      <c r="Z18" s="14">
        <v>943661</v>
      </c>
      <c r="AA18" s="5">
        <f t="shared" si="9"/>
        <v>0.98502310521091141</v>
      </c>
      <c r="AB18" s="8">
        <v>1463397</v>
      </c>
      <c r="AC18" s="7">
        <v>1176992</v>
      </c>
      <c r="AD18" s="4">
        <f t="shared" si="10"/>
        <v>274221</v>
      </c>
      <c r="AE18" s="14">
        <v>1451213</v>
      </c>
      <c r="AF18" s="5">
        <f t="shared" si="11"/>
        <v>0.99167416634037109</v>
      </c>
      <c r="AG18" s="8">
        <v>959088</v>
      </c>
      <c r="AH18" s="7">
        <v>756853</v>
      </c>
      <c r="AI18" s="4">
        <f t="shared" si="12"/>
        <v>195140</v>
      </c>
      <c r="AJ18" s="14">
        <v>951993</v>
      </c>
      <c r="AK18" s="5">
        <f t="shared" si="13"/>
        <v>0.9926023472298684</v>
      </c>
      <c r="AL18" s="8">
        <v>980581</v>
      </c>
      <c r="AM18" s="7">
        <v>797542</v>
      </c>
      <c r="AN18" s="4">
        <f t="shared" si="14"/>
        <v>166835</v>
      </c>
      <c r="AO18" s="14">
        <v>964377</v>
      </c>
      <c r="AP18" s="5">
        <f t="shared" si="15"/>
        <v>0.98347510302565522</v>
      </c>
      <c r="AQ18" s="8">
        <v>1490329</v>
      </c>
      <c r="AR18" s="7">
        <v>1236476</v>
      </c>
      <c r="AS18" s="4">
        <f t="shared" si="16"/>
        <v>246133</v>
      </c>
      <c r="AT18" s="14">
        <v>1482609</v>
      </c>
      <c r="AU18" s="5">
        <f t="shared" si="17"/>
        <v>0.99481993573231142</v>
      </c>
      <c r="AV18" s="8">
        <v>983291</v>
      </c>
      <c r="AW18" s="7">
        <v>805756</v>
      </c>
      <c r="AX18" s="4">
        <f t="shared" si="18"/>
        <v>170161</v>
      </c>
      <c r="AY18" s="14">
        <v>975917</v>
      </c>
      <c r="AZ18" s="5">
        <f t="shared" si="19"/>
        <v>0.99250069409767805</v>
      </c>
      <c r="BA18" s="8">
        <v>1002255</v>
      </c>
      <c r="BB18" s="7">
        <v>827601</v>
      </c>
      <c r="BC18" s="4">
        <f t="shared" si="20"/>
        <v>160679</v>
      </c>
      <c r="BD18" s="14">
        <v>988280</v>
      </c>
      <c r="BE18" s="5">
        <f t="shared" si="21"/>
        <v>0.9860564427216626</v>
      </c>
      <c r="BF18" s="8">
        <v>1522890</v>
      </c>
      <c r="BG18" s="7">
        <v>1179741</v>
      </c>
      <c r="BH18" s="4">
        <f t="shared" si="22"/>
        <v>329348</v>
      </c>
      <c r="BI18" s="14">
        <v>1509089</v>
      </c>
      <c r="BJ18" s="5">
        <f t="shared" si="23"/>
        <v>0.9909376251731904</v>
      </c>
    </row>
    <row r="19" spans="1:62" x14ac:dyDescent="0.3">
      <c r="A19" s="19">
        <v>10</v>
      </c>
      <c r="B19" s="3" t="s">
        <v>15</v>
      </c>
      <c r="C19" s="8">
        <v>275195</v>
      </c>
      <c r="D19" s="7">
        <v>207743</v>
      </c>
      <c r="E19" s="4">
        <f t="shared" si="0"/>
        <v>63743</v>
      </c>
      <c r="F19" s="14">
        <v>271486</v>
      </c>
      <c r="G19" s="5">
        <f t="shared" si="1"/>
        <v>0.98652228419847743</v>
      </c>
      <c r="H19" s="8">
        <v>285702</v>
      </c>
      <c r="I19" s="7">
        <v>216762</v>
      </c>
      <c r="J19" s="4">
        <f t="shared" si="2"/>
        <v>60457</v>
      </c>
      <c r="K19" s="14">
        <v>277219</v>
      </c>
      <c r="L19" s="5">
        <f t="shared" si="3"/>
        <v>0.97030822325359989</v>
      </c>
      <c r="M19" s="8">
        <v>479092</v>
      </c>
      <c r="N19" s="7">
        <v>374905</v>
      </c>
      <c r="O19" s="4">
        <f t="shared" si="4"/>
        <v>93787</v>
      </c>
      <c r="P19" s="14">
        <v>468692</v>
      </c>
      <c r="Q19" s="5">
        <f t="shared" si="5"/>
        <v>0.97829226954321924</v>
      </c>
      <c r="R19" s="8">
        <v>279649</v>
      </c>
      <c r="S19" s="7">
        <v>215044</v>
      </c>
      <c r="T19" s="4">
        <f t="shared" si="6"/>
        <v>57751</v>
      </c>
      <c r="U19" s="14">
        <v>272795</v>
      </c>
      <c r="V19" s="5">
        <f t="shared" si="7"/>
        <v>0.97549070441875352</v>
      </c>
      <c r="W19" s="8">
        <v>287758</v>
      </c>
      <c r="X19" s="7">
        <v>217420</v>
      </c>
      <c r="Y19" s="4">
        <f t="shared" si="8"/>
        <v>59227</v>
      </c>
      <c r="Z19" s="14">
        <v>276647</v>
      </c>
      <c r="AA19" s="5">
        <f t="shared" si="9"/>
        <v>0.96138769382606215</v>
      </c>
      <c r="AB19" s="8">
        <v>485015</v>
      </c>
      <c r="AC19" s="7">
        <v>373186</v>
      </c>
      <c r="AD19" s="4">
        <f t="shared" si="10"/>
        <v>101792</v>
      </c>
      <c r="AE19" s="14">
        <v>474978</v>
      </c>
      <c r="AF19" s="5">
        <f t="shared" si="11"/>
        <v>0.97930579466614431</v>
      </c>
      <c r="AG19" s="8">
        <v>283525</v>
      </c>
      <c r="AH19" s="7">
        <v>202103</v>
      </c>
      <c r="AI19" s="4">
        <f t="shared" si="12"/>
        <v>74615</v>
      </c>
      <c r="AJ19" s="14">
        <v>276718</v>
      </c>
      <c r="AK19" s="5">
        <f t="shared" si="13"/>
        <v>0.97599153513799486</v>
      </c>
      <c r="AL19" s="8">
        <v>295027</v>
      </c>
      <c r="AM19" s="7">
        <v>224078</v>
      </c>
      <c r="AN19" s="4">
        <f t="shared" si="14"/>
        <v>58086</v>
      </c>
      <c r="AO19" s="14">
        <v>282164</v>
      </c>
      <c r="AP19" s="5">
        <f t="shared" si="15"/>
        <v>0.95640060062299381</v>
      </c>
      <c r="AQ19" s="8">
        <v>494059</v>
      </c>
      <c r="AR19" s="7">
        <v>394788</v>
      </c>
      <c r="AS19" s="4">
        <f t="shared" si="16"/>
        <v>91602</v>
      </c>
      <c r="AT19" s="14">
        <v>486390</v>
      </c>
      <c r="AU19" s="5">
        <f t="shared" si="17"/>
        <v>0.98447756239639395</v>
      </c>
      <c r="AV19" s="8">
        <v>287237</v>
      </c>
      <c r="AW19" s="7">
        <v>226750</v>
      </c>
      <c r="AX19" s="4">
        <f t="shared" si="18"/>
        <v>56651</v>
      </c>
      <c r="AY19" s="14">
        <v>283401</v>
      </c>
      <c r="AZ19" s="5">
        <f t="shared" si="19"/>
        <v>0.98664517454227696</v>
      </c>
      <c r="BA19" s="8">
        <v>298081</v>
      </c>
      <c r="BB19" s="7">
        <v>232511</v>
      </c>
      <c r="BC19" s="4">
        <f t="shared" si="20"/>
        <v>55006</v>
      </c>
      <c r="BD19" s="14">
        <v>287517</v>
      </c>
      <c r="BE19" s="5">
        <f t="shared" si="21"/>
        <v>0.96455996859913917</v>
      </c>
      <c r="BF19" s="8">
        <v>503654</v>
      </c>
      <c r="BG19" s="7">
        <v>360396</v>
      </c>
      <c r="BH19" s="4">
        <f t="shared" si="22"/>
        <v>132341</v>
      </c>
      <c r="BI19" s="14">
        <v>492737</v>
      </c>
      <c r="BJ19" s="5">
        <f t="shared" si="23"/>
        <v>0.97832440524645892</v>
      </c>
    </row>
    <row r="20" spans="1:62" x14ac:dyDescent="0.3">
      <c r="A20" s="19">
        <v>11</v>
      </c>
      <c r="B20" s="3" t="s">
        <v>16</v>
      </c>
      <c r="C20" s="8">
        <v>5644</v>
      </c>
      <c r="D20" s="7">
        <v>4293</v>
      </c>
      <c r="E20" s="4">
        <f t="shared" si="0"/>
        <v>1510</v>
      </c>
      <c r="F20" s="14">
        <v>5803</v>
      </c>
      <c r="G20" s="5">
        <f t="shared" si="1"/>
        <v>1.0281715095676824</v>
      </c>
      <c r="H20" s="8">
        <v>5914</v>
      </c>
      <c r="I20" s="7">
        <v>4424</v>
      </c>
      <c r="J20" s="4">
        <f t="shared" si="2"/>
        <v>1537</v>
      </c>
      <c r="K20" s="14">
        <v>5961</v>
      </c>
      <c r="L20" s="5">
        <f t="shared" si="3"/>
        <v>1.0079472438282042</v>
      </c>
      <c r="M20" s="8">
        <v>9037</v>
      </c>
      <c r="N20" s="7">
        <v>7070</v>
      </c>
      <c r="O20" s="4">
        <f t="shared" si="4"/>
        <v>2207</v>
      </c>
      <c r="P20" s="14">
        <v>9277</v>
      </c>
      <c r="Q20" s="5">
        <f t="shared" si="5"/>
        <v>1.0265574858913356</v>
      </c>
      <c r="R20" s="8">
        <v>5910</v>
      </c>
      <c r="S20" s="7">
        <v>4525</v>
      </c>
      <c r="T20" s="4">
        <f t="shared" si="6"/>
        <v>1512</v>
      </c>
      <c r="U20" s="14">
        <v>6037</v>
      </c>
      <c r="V20" s="5">
        <f t="shared" si="7"/>
        <v>1.0214890016920475</v>
      </c>
      <c r="W20" s="8">
        <v>6115</v>
      </c>
      <c r="X20" s="7">
        <v>4655</v>
      </c>
      <c r="Y20" s="4">
        <f t="shared" si="8"/>
        <v>1493</v>
      </c>
      <c r="Z20" s="14">
        <v>6148</v>
      </c>
      <c r="AA20" s="5">
        <f t="shared" si="9"/>
        <v>1.0053965658217499</v>
      </c>
      <c r="AB20" s="8">
        <v>9431</v>
      </c>
      <c r="AC20" s="7">
        <v>7221</v>
      </c>
      <c r="AD20" s="4">
        <f t="shared" si="10"/>
        <v>2327</v>
      </c>
      <c r="AE20" s="14">
        <v>9548</v>
      </c>
      <c r="AF20" s="5">
        <f t="shared" si="11"/>
        <v>1.0124058954511717</v>
      </c>
      <c r="AG20" s="8">
        <v>6099</v>
      </c>
      <c r="AH20" s="7">
        <v>4397</v>
      </c>
      <c r="AI20" s="4">
        <f t="shared" si="12"/>
        <v>1759</v>
      </c>
      <c r="AJ20" s="14">
        <v>6156</v>
      </c>
      <c r="AK20" s="5">
        <f t="shared" si="13"/>
        <v>1.0093457943925233</v>
      </c>
      <c r="AL20" s="8">
        <v>6250</v>
      </c>
      <c r="AM20" s="7">
        <v>4737</v>
      </c>
      <c r="AN20" s="4">
        <f t="shared" si="14"/>
        <v>1508</v>
      </c>
      <c r="AO20" s="14">
        <v>6245</v>
      </c>
      <c r="AP20" s="5">
        <f t="shared" si="15"/>
        <v>0.99919999999999998</v>
      </c>
      <c r="AQ20" s="8">
        <v>9632</v>
      </c>
      <c r="AR20" s="7">
        <v>7372</v>
      </c>
      <c r="AS20" s="4">
        <f t="shared" si="16"/>
        <v>2359</v>
      </c>
      <c r="AT20" s="14">
        <v>9731</v>
      </c>
      <c r="AU20" s="5">
        <f t="shared" si="17"/>
        <v>1.0102782392026579</v>
      </c>
      <c r="AV20" s="8">
        <v>6297</v>
      </c>
      <c r="AW20" s="7">
        <v>4603</v>
      </c>
      <c r="AX20" s="4">
        <f t="shared" si="18"/>
        <v>1665</v>
      </c>
      <c r="AY20" s="14">
        <v>6268</v>
      </c>
      <c r="AZ20" s="5">
        <f t="shared" si="19"/>
        <v>0.99539463236461811</v>
      </c>
      <c r="BA20" s="8">
        <v>6366</v>
      </c>
      <c r="BB20" s="7">
        <v>4608</v>
      </c>
      <c r="BC20" s="4">
        <f t="shared" si="20"/>
        <v>1691</v>
      </c>
      <c r="BD20" s="14">
        <v>6299</v>
      </c>
      <c r="BE20" s="5">
        <f t="shared" si="21"/>
        <v>0.9894753377316996</v>
      </c>
      <c r="BF20" s="8">
        <v>9853</v>
      </c>
      <c r="BG20" s="7">
        <v>6635</v>
      </c>
      <c r="BH20" s="4">
        <f t="shared" si="22"/>
        <v>3247</v>
      </c>
      <c r="BI20" s="14">
        <v>9882</v>
      </c>
      <c r="BJ20" s="5">
        <f t="shared" si="23"/>
        <v>1.0029432660103521</v>
      </c>
    </row>
    <row r="21" spans="1:62" x14ac:dyDescent="0.3">
      <c r="A21" s="19">
        <v>12</v>
      </c>
      <c r="B21" s="3" t="s">
        <v>17</v>
      </c>
      <c r="C21" s="8">
        <v>9571</v>
      </c>
      <c r="D21" s="7">
        <v>6134</v>
      </c>
      <c r="E21" s="4">
        <f t="shared" si="0"/>
        <v>3697</v>
      </c>
      <c r="F21" s="14">
        <v>9831</v>
      </c>
      <c r="G21" s="5">
        <f t="shared" si="1"/>
        <v>1.0271653954654687</v>
      </c>
      <c r="H21" s="8">
        <v>10057</v>
      </c>
      <c r="I21" s="7">
        <v>6479</v>
      </c>
      <c r="J21" s="4">
        <f t="shared" si="2"/>
        <v>3495</v>
      </c>
      <c r="K21" s="14">
        <v>9974</v>
      </c>
      <c r="L21" s="5">
        <f t="shared" si="3"/>
        <v>0.99174704186139007</v>
      </c>
      <c r="M21" s="8">
        <v>12982</v>
      </c>
      <c r="N21" s="7">
        <v>8941</v>
      </c>
      <c r="O21" s="4">
        <f t="shared" si="4"/>
        <v>4300</v>
      </c>
      <c r="P21" s="14">
        <v>13241</v>
      </c>
      <c r="Q21" s="5">
        <f t="shared" si="5"/>
        <v>1.0199507009705746</v>
      </c>
      <c r="R21" s="8">
        <v>9811</v>
      </c>
      <c r="S21" s="7">
        <v>6561</v>
      </c>
      <c r="T21" s="4">
        <f t="shared" si="6"/>
        <v>3475</v>
      </c>
      <c r="U21" s="14">
        <v>10036</v>
      </c>
      <c r="V21" s="5">
        <f t="shared" si="7"/>
        <v>1.0229334420548364</v>
      </c>
      <c r="W21" s="8">
        <v>10152</v>
      </c>
      <c r="X21" s="7">
        <v>6886</v>
      </c>
      <c r="Y21" s="4">
        <f t="shared" si="8"/>
        <v>3294</v>
      </c>
      <c r="Z21" s="14">
        <v>10180</v>
      </c>
      <c r="AA21" s="5">
        <f t="shared" si="9"/>
        <v>1.0027580772261624</v>
      </c>
      <c r="AB21" s="8">
        <v>13231</v>
      </c>
      <c r="AC21" s="7">
        <v>9210</v>
      </c>
      <c r="AD21" s="4">
        <f t="shared" si="10"/>
        <v>4358</v>
      </c>
      <c r="AE21" s="14">
        <v>13568</v>
      </c>
      <c r="AF21" s="5">
        <f t="shared" si="11"/>
        <v>1.0254704859798958</v>
      </c>
      <c r="AG21" s="8">
        <v>10040</v>
      </c>
      <c r="AH21" s="7">
        <v>6428</v>
      </c>
      <c r="AI21" s="4">
        <f t="shared" si="12"/>
        <v>3823</v>
      </c>
      <c r="AJ21" s="14">
        <v>10251</v>
      </c>
      <c r="AK21" s="5">
        <f t="shared" si="13"/>
        <v>1.02101593625498</v>
      </c>
      <c r="AL21" s="8">
        <v>10211</v>
      </c>
      <c r="AM21" s="7">
        <v>6947</v>
      </c>
      <c r="AN21" s="4">
        <f t="shared" si="14"/>
        <v>3455</v>
      </c>
      <c r="AO21" s="14">
        <v>10402</v>
      </c>
      <c r="AP21" s="5">
        <f t="shared" si="15"/>
        <v>1.0187053177945353</v>
      </c>
      <c r="AQ21" s="8">
        <v>13473</v>
      </c>
      <c r="AR21" s="7">
        <v>9603</v>
      </c>
      <c r="AS21" s="4">
        <f t="shared" si="16"/>
        <v>4292</v>
      </c>
      <c r="AT21" s="14">
        <v>13895</v>
      </c>
      <c r="AU21" s="5">
        <f t="shared" si="17"/>
        <v>1.03132190306539</v>
      </c>
      <c r="AV21" s="8">
        <v>10213</v>
      </c>
      <c r="AW21" s="7">
        <v>6983</v>
      </c>
      <c r="AX21" s="4">
        <f t="shared" si="18"/>
        <v>3531</v>
      </c>
      <c r="AY21" s="14">
        <v>10514</v>
      </c>
      <c r="AZ21" s="5">
        <f t="shared" si="19"/>
        <v>1.0294722412611377</v>
      </c>
      <c r="BA21" s="8">
        <v>10449</v>
      </c>
      <c r="BB21" s="7">
        <v>7298</v>
      </c>
      <c r="BC21" s="4">
        <f t="shared" si="20"/>
        <v>3341</v>
      </c>
      <c r="BD21" s="14">
        <v>10639</v>
      </c>
      <c r="BE21" s="5">
        <f t="shared" si="21"/>
        <v>1.0181835582352379</v>
      </c>
      <c r="BF21" s="8">
        <v>13925</v>
      </c>
      <c r="BG21" s="7">
        <v>7827</v>
      </c>
      <c r="BH21" s="4">
        <f t="shared" si="22"/>
        <v>6501</v>
      </c>
      <c r="BI21" s="14">
        <v>14328</v>
      </c>
      <c r="BJ21" s="5">
        <f t="shared" si="23"/>
        <v>1.0289407540394973</v>
      </c>
    </row>
    <row r="22" spans="1:62" x14ac:dyDescent="0.3">
      <c r="A22" s="19">
        <v>13</v>
      </c>
      <c r="B22" s="3" t="s">
        <v>18</v>
      </c>
      <c r="C22" s="8">
        <v>6159</v>
      </c>
      <c r="D22" s="7">
        <v>4395</v>
      </c>
      <c r="E22" s="4">
        <f t="shared" si="0"/>
        <v>1833</v>
      </c>
      <c r="F22" s="14">
        <v>6228</v>
      </c>
      <c r="G22" s="5">
        <f t="shared" si="1"/>
        <v>1.0112031173891864</v>
      </c>
      <c r="H22" s="8">
        <v>6265</v>
      </c>
      <c r="I22" s="7">
        <v>4532</v>
      </c>
      <c r="J22" s="4">
        <f t="shared" si="2"/>
        <v>1778</v>
      </c>
      <c r="K22" s="14">
        <v>6310</v>
      </c>
      <c r="L22" s="5">
        <f t="shared" si="3"/>
        <v>1.0071827613727056</v>
      </c>
      <c r="M22" s="8">
        <v>7537</v>
      </c>
      <c r="N22" s="7">
        <v>5554</v>
      </c>
      <c r="O22" s="4">
        <f t="shared" si="4"/>
        <v>2046</v>
      </c>
      <c r="P22" s="14">
        <v>7600</v>
      </c>
      <c r="Q22" s="5">
        <f t="shared" si="5"/>
        <v>1.008358763433727</v>
      </c>
      <c r="R22" s="8">
        <v>6306</v>
      </c>
      <c r="S22" s="7">
        <v>4587</v>
      </c>
      <c r="T22" s="4">
        <f t="shared" si="6"/>
        <v>1778</v>
      </c>
      <c r="U22" s="14">
        <v>6365</v>
      </c>
      <c r="V22" s="5">
        <f t="shared" si="7"/>
        <v>1.0093561687281953</v>
      </c>
      <c r="W22" s="8">
        <v>6435</v>
      </c>
      <c r="X22" s="7">
        <v>4670</v>
      </c>
      <c r="Y22" s="4">
        <f t="shared" si="8"/>
        <v>1768</v>
      </c>
      <c r="Z22" s="14">
        <v>6438</v>
      </c>
      <c r="AA22" s="5">
        <f t="shared" si="9"/>
        <v>1.0004662004662004</v>
      </c>
      <c r="AB22" s="8">
        <v>7668</v>
      </c>
      <c r="AC22" s="7">
        <v>5664</v>
      </c>
      <c r="AD22" s="4">
        <f t="shared" si="10"/>
        <v>2051</v>
      </c>
      <c r="AE22" s="14">
        <v>7715</v>
      </c>
      <c r="AF22" s="5">
        <f t="shared" si="11"/>
        <v>1.0061293688054251</v>
      </c>
      <c r="AG22" s="8">
        <v>6422</v>
      </c>
      <c r="AH22" s="7">
        <v>4625</v>
      </c>
      <c r="AI22" s="4">
        <f t="shared" si="12"/>
        <v>1832</v>
      </c>
      <c r="AJ22" s="14">
        <v>6457</v>
      </c>
      <c r="AK22" s="5">
        <f t="shared" si="13"/>
        <v>1.005450015571473</v>
      </c>
      <c r="AL22" s="8">
        <v>6508</v>
      </c>
      <c r="AM22" s="7">
        <v>4869</v>
      </c>
      <c r="AN22" s="4">
        <f t="shared" si="14"/>
        <v>1635</v>
      </c>
      <c r="AO22" s="14">
        <v>6504</v>
      </c>
      <c r="AP22" s="5">
        <f t="shared" si="15"/>
        <v>0.99938537185003073</v>
      </c>
      <c r="AQ22" s="8">
        <v>7781</v>
      </c>
      <c r="AR22" s="7">
        <v>5712</v>
      </c>
      <c r="AS22" s="4">
        <f t="shared" si="16"/>
        <v>2101</v>
      </c>
      <c r="AT22" s="14">
        <v>7813</v>
      </c>
      <c r="AU22" s="5">
        <f t="shared" si="17"/>
        <v>1.0041125819303431</v>
      </c>
      <c r="AV22" s="8">
        <v>6603</v>
      </c>
      <c r="AW22" s="7">
        <v>4869</v>
      </c>
      <c r="AX22" s="4">
        <f t="shared" si="18"/>
        <v>1651</v>
      </c>
      <c r="AY22" s="14">
        <v>6520</v>
      </c>
      <c r="AZ22" s="5">
        <f t="shared" si="19"/>
        <v>0.98742995608056949</v>
      </c>
      <c r="BA22" s="8">
        <v>6608</v>
      </c>
      <c r="BB22" s="7">
        <v>4948</v>
      </c>
      <c r="BC22" s="4">
        <f t="shared" si="20"/>
        <v>1613</v>
      </c>
      <c r="BD22" s="14">
        <v>6561</v>
      </c>
      <c r="BE22" s="5">
        <f t="shared" si="21"/>
        <v>0.99288740920096852</v>
      </c>
      <c r="BF22" s="8">
        <v>7906</v>
      </c>
      <c r="BG22" s="7">
        <v>5498</v>
      </c>
      <c r="BH22" s="4">
        <f t="shared" si="22"/>
        <v>2457</v>
      </c>
      <c r="BI22" s="14">
        <v>7955</v>
      </c>
      <c r="BJ22" s="5">
        <f t="shared" si="23"/>
        <v>1.0061978244371363</v>
      </c>
    </row>
    <row r="23" spans="1:62" x14ac:dyDescent="0.3">
      <c r="A23" s="19">
        <v>14</v>
      </c>
      <c r="B23" s="3" t="s">
        <v>19</v>
      </c>
      <c r="C23" s="8">
        <v>8800</v>
      </c>
      <c r="D23" s="7">
        <v>2487</v>
      </c>
      <c r="E23" s="4">
        <f t="shared" si="0"/>
        <v>5986</v>
      </c>
      <c r="F23" s="14">
        <v>8473</v>
      </c>
      <c r="G23" s="5">
        <f t="shared" si="1"/>
        <v>0.96284090909090914</v>
      </c>
      <c r="H23" s="8">
        <v>8763</v>
      </c>
      <c r="I23" s="7">
        <v>3352</v>
      </c>
      <c r="J23" s="4">
        <f t="shared" si="2"/>
        <v>5150</v>
      </c>
      <c r="K23" s="14">
        <v>8502</v>
      </c>
      <c r="L23" s="5">
        <f t="shared" si="3"/>
        <v>0.97021567956179389</v>
      </c>
      <c r="M23" s="8">
        <v>10654</v>
      </c>
      <c r="N23" s="7">
        <v>4932</v>
      </c>
      <c r="O23" s="4">
        <f t="shared" si="4"/>
        <v>5547</v>
      </c>
      <c r="P23" s="14">
        <v>10479</v>
      </c>
      <c r="Q23" s="5">
        <f t="shared" si="5"/>
        <v>0.9835742444152431</v>
      </c>
      <c r="R23" s="8">
        <v>8621</v>
      </c>
      <c r="S23" s="7">
        <v>4644</v>
      </c>
      <c r="T23" s="4">
        <f t="shared" si="6"/>
        <v>3752</v>
      </c>
      <c r="U23" s="14">
        <v>8396</v>
      </c>
      <c r="V23" s="5">
        <f t="shared" si="7"/>
        <v>0.97390093956617563</v>
      </c>
      <c r="W23" s="8">
        <v>8774</v>
      </c>
      <c r="X23" s="7">
        <v>4731</v>
      </c>
      <c r="Y23" s="4">
        <f t="shared" si="8"/>
        <v>3701</v>
      </c>
      <c r="Z23" s="14">
        <v>8432</v>
      </c>
      <c r="AA23" s="5">
        <f t="shared" si="9"/>
        <v>0.96102119899703675</v>
      </c>
      <c r="AB23" s="8">
        <v>10734</v>
      </c>
      <c r="AC23" s="7">
        <v>6888</v>
      </c>
      <c r="AD23" s="4">
        <f t="shared" si="10"/>
        <v>3666</v>
      </c>
      <c r="AE23" s="14">
        <v>10554</v>
      </c>
      <c r="AF23" s="5">
        <f t="shared" si="11"/>
        <v>0.98323085522638343</v>
      </c>
      <c r="AG23" s="8">
        <v>8589</v>
      </c>
      <c r="AH23" s="7">
        <v>5342</v>
      </c>
      <c r="AI23" s="4">
        <f t="shared" si="12"/>
        <v>3101</v>
      </c>
      <c r="AJ23" s="14">
        <v>8443</v>
      </c>
      <c r="AK23" s="5">
        <f t="shared" si="13"/>
        <v>0.98300151356386078</v>
      </c>
      <c r="AL23" s="8">
        <v>8660</v>
      </c>
      <c r="AM23" s="7">
        <v>5602</v>
      </c>
      <c r="AN23" s="4">
        <f t="shared" si="14"/>
        <v>2904</v>
      </c>
      <c r="AO23" s="14">
        <v>8506</v>
      </c>
      <c r="AP23" s="5">
        <f t="shared" si="15"/>
        <v>0.98221709006928404</v>
      </c>
      <c r="AQ23" s="8">
        <v>10698</v>
      </c>
      <c r="AR23" s="7">
        <v>7219</v>
      </c>
      <c r="AS23" s="4">
        <f t="shared" si="16"/>
        <v>3519</v>
      </c>
      <c r="AT23" s="14">
        <v>10738</v>
      </c>
      <c r="AU23" s="5">
        <f t="shared" si="17"/>
        <v>1.003739016638624</v>
      </c>
      <c r="AV23" s="8">
        <v>8445</v>
      </c>
      <c r="AW23" s="7">
        <v>5698</v>
      </c>
      <c r="AX23" s="4">
        <f t="shared" si="18"/>
        <v>2800</v>
      </c>
      <c r="AY23" s="14">
        <v>8498</v>
      </c>
      <c r="AZ23" s="5">
        <f t="shared" si="19"/>
        <v>1.006275902901125</v>
      </c>
      <c r="BA23" s="8">
        <v>8623</v>
      </c>
      <c r="BB23" s="7">
        <v>5823</v>
      </c>
      <c r="BC23" s="4">
        <f t="shared" si="20"/>
        <v>2722</v>
      </c>
      <c r="BD23" s="14">
        <v>8545</v>
      </c>
      <c r="BE23" s="5">
        <f t="shared" si="21"/>
        <v>0.99095442421431057</v>
      </c>
      <c r="BF23" s="8">
        <v>11023</v>
      </c>
      <c r="BG23" s="7">
        <v>6671</v>
      </c>
      <c r="BH23" s="4">
        <f t="shared" si="22"/>
        <v>4237</v>
      </c>
      <c r="BI23" s="14">
        <v>10908</v>
      </c>
      <c r="BJ23" s="5">
        <f t="shared" si="23"/>
        <v>0.98956726843871901</v>
      </c>
    </row>
    <row r="24" spans="1:62" x14ac:dyDescent="0.3">
      <c r="A24" s="19">
        <v>15</v>
      </c>
      <c r="B24" s="3" t="s">
        <v>20</v>
      </c>
      <c r="C24" s="8">
        <v>5637</v>
      </c>
      <c r="D24" s="7">
        <v>4232</v>
      </c>
      <c r="E24" s="4">
        <f t="shared" si="0"/>
        <v>1323</v>
      </c>
      <c r="F24" s="14">
        <v>5555</v>
      </c>
      <c r="G24" s="5">
        <f t="shared" si="1"/>
        <v>0.98545325527762995</v>
      </c>
      <c r="H24" s="8">
        <v>5804</v>
      </c>
      <c r="I24" s="7">
        <v>4383</v>
      </c>
      <c r="J24" s="4">
        <f t="shared" si="2"/>
        <v>1246</v>
      </c>
      <c r="K24" s="14">
        <v>5629</v>
      </c>
      <c r="L24" s="5">
        <f t="shared" si="3"/>
        <v>0.96984838042729149</v>
      </c>
      <c r="M24" s="8">
        <v>6771</v>
      </c>
      <c r="N24" s="7">
        <v>5256</v>
      </c>
      <c r="O24" s="4">
        <f t="shared" si="4"/>
        <v>1361</v>
      </c>
      <c r="P24" s="14">
        <v>6617</v>
      </c>
      <c r="Q24" s="5">
        <f t="shared" si="5"/>
        <v>0.97725594446905917</v>
      </c>
      <c r="R24" s="8">
        <v>5821</v>
      </c>
      <c r="S24" s="7">
        <v>4316</v>
      </c>
      <c r="T24" s="4">
        <f t="shared" si="6"/>
        <v>1417</v>
      </c>
      <c r="U24" s="14">
        <v>5733</v>
      </c>
      <c r="V24" s="5">
        <f t="shared" si="7"/>
        <v>0.98488232262497855</v>
      </c>
      <c r="W24" s="8">
        <v>5925</v>
      </c>
      <c r="X24" s="7">
        <v>4667</v>
      </c>
      <c r="Y24" s="4">
        <f t="shared" si="8"/>
        <v>1142</v>
      </c>
      <c r="Z24" s="14">
        <v>5809</v>
      </c>
      <c r="AA24" s="5">
        <f t="shared" si="9"/>
        <v>0.98042194092827006</v>
      </c>
      <c r="AB24" s="8">
        <v>6940</v>
      </c>
      <c r="AC24" s="7">
        <v>5348</v>
      </c>
      <c r="AD24" s="4">
        <f t="shared" si="10"/>
        <v>1456</v>
      </c>
      <c r="AE24" s="14">
        <v>6804</v>
      </c>
      <c r="AF24" s="5">
        <f t="shared" si="11"/>
        <v>0.98040345821325647</v>
      </c>
      <c r="AG24" s="8">
        <v>6076</v>
      </c>
      <c r="AH24" s="7">
        <v>4619</v>
      </c>
      <c r="AI24" s="4">
        <f t="shared" si="12"/>
        <v>1333</v>
      </c>
      <c r="AJ24" s="14">
        <v>5952</v>
      </c>
      <c r="AK24" s="5">
        <f t="shared" si="13"/>
        <v>0.97959183673469385</v>
      </c>
      <c r="AL24" s="8">
        <v>6181</v>
      </c>
      <c r="AM24" s="7">
        <v>4732</v>
      </c>
      <c r="AN24" s="4">
        <f t="shared" si="14"/>
        <v>1280</v>
      </c>
      <c r="AO24" s="14">
        <v>6012</v>
      </c>
      <c r="AP24" s="5">
        <f t="shared" si="15"/>
        <v>0.97265814593107913</v>
      </c>
      <c r="AQ24" s="8">
        <v>6974</v>
      </c>
      <c r="AR24" s="7">
        <v>5406</v>
      </c>
      <c r="AS24" s="4">
        <f t="shared" si="16"/>
        <v>1495</v>
      </c>
      <c r="AT24" s="14">
        <v>6901</v>
      </c>
      <c r="AU24" s="5">
        <f t="shared" si="17"/>
        <v>0.98953254946945801</v>
      </c>
      <c r="AV24" s="8">
        <v>6124</v>
      </c>
      <c r="AW24" s="7">
        <v>4685</v>
      </c>
      <c r="AX24" s="4">
        <f t="shared" si="18"/>
        <v>1360</v>
      </c>
      <c r="AY24" s="14">
        <v>6045</v>
      </c>
      <c r="AZ24" s="5">
        <f t="shared" si="19"/>
        <v>0.98709993468321355</v>
      </c>
      <c r="BA24" s="8">
        <v>6202</v>
      </c>
      <c r="BB24" s="7">
        <v>4800</v>
      </c>
      <c r="BC24" s="4">
        <f t="shared" si="20"/>
        <v>1336</v>
      </c>
      <c r="BD24" s="14">
        <v>6136</v>
      </c>
      <c r="BE24" s="5">
        <f t="shared" si="21"/>
        <v>0.98935827152531441</v>
      </c>
      <c r="BF24" s="8">
        <v>7084</v>
      </c>
      <c r="BG24" s="7">
        <v>5276</v>
      </c>
      <c r="BH24" s="4">
        <f t="shared" si="22"/>
        <v>1754</v>
      </c>
      <c r="BI24" s="14">
        <v>7030</v>
      </c>
      <c r="BJ24" s="5">
        <f t="shared" si="23"/>
        <v>0.99237718802936192</v>
      </c>
    </row>
    <row r="25" spans="1:62" x14ac:dyDescent="0.3">
      <c r="A25" s="19">
        <v>16</v>
      </c>
      <c r="B25" s="3" t="s">
        <v>21</v>
      </c>
      <c r="C25" s="8">
        <v>18284</v>
      </c>
      <c r="D25" s="7">
        <v>14822</v>
      </c>
      <c r="E25" s="4">
        <f t="shared" si="0"/>
        <v>3667</v>
      </c>
      <c r="F25" s="14">
        <v>18489</v>
      </c>
      <c r="G25" s="5">
        <f t="shared" si="1"/>
        <v>1.0112119886239335</v>
      </c>
      <c r="H25" s="8">
        <v>18682</v>
      </c>
      <c r="I25" s="7">
        <v>15210</v>
      </c>
      <c r="J25" s="4">
        <f t="shared" si="2"/>
        <v>3640</v>
      </c>
      <c r="K25" s="14">
        <v>18850</v>
      </c>
      <c r="L25" s="5">
        <f t="shared" si="3"/>
        <v>1.0089926132105771</v>
      </c>
      <c r="M25" s="8">
        <v>25970</v>
      </c>
      <c r="N25" s="7">
        <v>21501</v>
      </c>
      <c r="O25" s="4">
        <f t="shared" si="4"/>
        <v>4733</v>
      </c>
      <c r="P25" s="14">
        <v>26234</v>
      </c>
      <c r="Q25" s="5">
        <f t="shared" si="5"/>
        <v>1.010165575664228</v>
      </c>
      <c r="R25" s="8">
        <v>18895</v>
      </c>
      <c r="S25" s="7">
        <v>15323</v>
      </c>
      <c r="T25" s="4">
        <f t="shared" si="6"/>
        <v>3739</v>
      </c>
      <c r="U25" s="14">
        <v>19062</v>
      </c>
      <c r="V25" s="5">
        <f t="shared" si="7"/>
        <v>1.0088383170150834</v>
      </c>
      <c r="W25" s="8">
        <v>19436</v>
      </c>
      <c r="X25" s="7">
        <v>15553</v>
      </c>
      <c r="Y25" s="4">
        <f t="shared" si="8"/>
        <v>3769</v>
      </c>
      <c r="Z25" s="14">
        <v>19322</v>
      </c>
      <c r="AA25" s="5">
        <f t="shared" si="9"/>
        <v>0.99413459559580164</v>
      </c>
      <c r="AB25" s="8">
        <v>26661</v>
      </c>
      <c r="AC25" s="7">
        <v>21597</v>
      </c>
      <c r="AD25" s="4">
        <f t="shared" si="10"/>
        <v>5250</v>
      </c>
      <c r="AE25" s="14">
        <v>26847</v>
      </c>
      <c r="AF25" s="5">
        <f t="shared" si="11"/>
        <v>1.0069764825025318</v>
      </c>
      <c r="AG25" s="8">
        <v>19440</v>
      </c>
      <c r="AH25" s="7">
        <v>15278</v>
      </c>
      <c r="AI25" s="4">
        <f t="shared" si="12"/>
        <v>4240</v>
      </c>
      <c r="AJ25" s="14">
        <v>19518</v>
      </c>
      <c r="AK25" s="5">
        <f t="shared" si="13"/>
        <v>1.0040123456790124</v>
      </c>
      <c r="AL25" s="8">
        <v>19709</v>
      </c>
      <c r="AM25" s="7">
        <v>15980</v>
      </c>
      <c r="AN25" s="4">
        <f t="shared" si="14"/>
        <v>3701</v>
      </c>
      <c r="AO25" s="14">
        <v>19681</v>
      </c>
      <c r="AP25" s="5">
        <f t="shared" si="15"/>
        <v>0.99857932924044857</v>
      </c>
      <c r="AQ25" s="8">
        <v>27081</v>
      </c>
      <c r="AR25" s="7">
        <v>22194</v>
      </c>
      <c r="AS25" s="4">
        <f t="shared" si="16"/>
        <v>5086</v>
      </c>
      <c r="AT25" s="14">
        <v>27280</v>
      </c>
      <c r="AU25" s="5">
        <f t="shared" si="17"/>
        <v>1.0073483253941877</v>
      </c>
      <c r="AV25" s="8">
        <v>19795</v>
      </c>
      <c r="AW25" s="7">
        <v>15943</v>
      </c>
      <c r="AX25" s="4">
        <f t="shared" si="18"/>
        <v>3987</v>
      </c>
      <c r="AY25" s="14">
        <v>19930</v>
      </c>
      <c r="AZ25" s="5">
        <f t="shared" si="19"/>
        <v>1.0068199040161656</v>
      </c>
      <c r="BA25" s="8">
        <v>20139</v>
      </c>
      <c r="BB25" s="7">
        <v>16274</v>
      </c>
      <c r="BC25" s="4">
        <f t="shared" si="20"/>
        <v>3855</v>
      </c>
      <c r="BD25" s="14">
        <v>20129</v>
      </c>
      <c r="BE25" s="5">
        <f t="shared" si="21"/>
        <v>0.99950345101544269</v>
      </c>
      <c r="BF25" s="8">
        <v>27639</v>
      </c>
      <c r="BG25" s="7">
        <v>20238</v>
      </c>
      <c r="BH25" s="4">
        <f t="shared" si="22"/>
        <v>7530</v>
      </c>
      <c r="BI25" s="14">
        <v>27768</v>
      </c>
      <c r="BJ25" s="5">
        <f t="shared" si="23"/>
        <v>1.00466731792033</v>
      </c>
    </row>
    <row r="26" spans="1:62" x14ac:dyDescent="0.3">
      <c r="A26" s="19">
        <v>17</v>
      </c>
      <c r="B26" s="3" t="s">
        <v>22</v>
      </c>
      <c r="C26" s="8">
        <v>13535</v>
      </c>
      <c r="D26" s="7">
        <v>9900</v>
      </c>
      <c r="E26" s="4">
        <f t="shared" si="0"/>
        <v>3466</v>
      </c>
      <c r="F26" s="14">
        <v>13366</v>
      </c>
      <c r="G26" s="5">
        <f t="shared" si="1"/>
        <v>0.9875138529737717</v>
      </c>
      <c r="H26" s="8">
        <v>13884</v>
      </c>
      <c r="I26" s="7">
        <v>10628</v>
      </c>
      <c r="J26" s="4">
        <f t="shared" si="2"/>
        <v>3311</v>
      </c>
      <c r="K26" s="14">
        <v>13939</v>
      </c>
      <c r="L26" s="5">
        <f t="shared" si="3"/>
        <v>1.0039613944108325</v>
      </c>
      <c r="M26" s="8">
        <v>25920</v>
      </c>
      <c r="N26" s="7">
        <v>21161</v>
      </c>
      <c r="O26" s="4">
        <f t="shared" si="4"/>
        <v>5145</v>
      </c>
      <c r="P26" s="14">
        <v>26306</v>
      </c>
      <c r="Q26" s="5">
        <f t="shared" si="5"/>
        <v>1.0148919753086421</v>
      </c>
      <c r="R26" s="8">
        <v>13869</v>
      </c>
      <c r="S26" s="7">
        <v>10461</v>
      </c>
      <c r="T26" s="4">
        <f t="shared" si="6"/>
        <v>3714</v>
      </c>
      <c r="U26" s="14">
        <v>14175</v>
      </c>
      <c r="V26" s="5">
        <f t="shared" si="7"/>
        <v>1.0220635950681376</v>
      </c>
      <c r="W26" s="8">
        <v>14474</v>
      </c>
      <c r="X26" s="7">
        <v>11045</v>
      </c>
      <c r="Y26" s="4">
        <f t="shared" si="8"/>
        <v>3397</v>
      </c>
      <c r="Z26" s="14">
        <v>14442</v>
      </c>
      <c r="AA26" s="5">
        <f t="shared" si="9"/>
        <v>0.99778913914605505</v>
      </c>
      <c r="AB26" s="8">
        <v>27035</v>
      </c>
      <c r="AC26" s="7">
        <v>21338</v>
      </c>
      <c r="AD26" s="4">
        <f t="shared" si="10"/>
        <v>5647</v>
      </c>
      <c r="AE26" s="14">
        <v>26985</v>
      </c>
      <c r="AF26" s="5">
        <f t="shared" si="11"/>
        <v>0.99815054558905125</v>
      </c>
      <c r="AG26" s="8">
        <v>14053</v>
      </c>
      <c r="AH26" s="7">
        <v>10721</v>
      </c>
      <c r="AI26" s="4">
        <f t="shared" si="12"/>
        <v>3380</v>
      </c>
      <c r="AJ26" s="14">
        <v>14101</v>
      </c>
      <c r="AK26" s="5">
        <f t="shared" si="13"/>
        <v>1.0034156407884438</v>
      </c>
      <c r="AL26" s="8">
        <v>14372</v>
      </c>
      <c r="AM26" s="7">
        <v>11084</v>
      </c>
      <c r="AN26" s="4">
        <f t="shared" si="14"/>
        <v>3147</v>
      </c>
      <c r="AO26" s="14">
        <v>14231</v>
      </c>
      <c r="AP26" s="5">
        <f t="shared" si="15"/>
        <v>0.9901892568883941</v>
      </c>
      <c r="AQ26" s="8">
        <v>27267</v>
      </c>
      <c r="AR26" s="7">
        <v>21693</v>
      </c>
      <c r="AS26" s="4">
        <f t="shared" si="16"/>
        <v>5398</v>
      </c>
      <c r="AT26" s="14">
        <v>27091</v>
      </c>
      <c r="AU26" s="5">
        <f t="shared" si="17"/>
        <v>0.99354531118201495</v>
      </c>
      <c r="AV26" s="8">
        <v>14007</v>
      </c>
      <c r="AW26" s="7">
        <v>10884</v>
      </c>
      <c r="AX26" s="4">
        <f t="shared" si="18"/>
        <v>3142</v>
      </c>
      <c r="AY26" s="14">
        <v>14026</v>
      </c>
      <c r="AZ26" s="5">
        <f t="shared" si="19"/>
        <v>1.0013564646248305</v>
      </c>
      <c r="BA26" s="8">
        <v>14398</v>
      </c>
      <c r="BB26" s="7">
        <v>11052</v>
      </c>
      <c r="BC26" s="4">
        <f t="shared" si="20"/>
        <v>3058</v>
      </c>
      <c r="BD26" s="14">
        <v>14110</v>
      </c>
      <c r="BE26" s="5">
        <f t="shared" si="21"/>
        <v>0.97999722183636617</v>
      </c>
      <c r="BF26" s="8">
        <v>27339</v>
      </c>
      <c r="BG26" s="7">
        <v>20476</v>
      </c>
      <c r="BH26" s="4">
        <f t="shared" si="22"/>
        <v>6638</v>
      </c>
      <c r="BI26" s="14">
        <v>27114</v>
      </c>
      <c r="BJ26" s="5">
        <f t="shared" si="23"/>
        <v>0.99176999890266648</v>
      </c>
    </row>
    <row r="27" spans="1:62" x14ac:dyDescent="0.3">
      <c r="A27" s="19">
        <v>18</v>
      </c>
      <c r="B27" s="3" t="s">
        <v>23</v>
      </c>
      <c r="C27" s="8">
        <v>120482</v>
      </c>
      <c r="D27" s="7">
        <v>86077</v>
      </c>
      <c r="E27" s="4">
        <f t="shared" si="0"/>
        <v>34632</v>
      </c>
      <c r="F27" s="14">
        <v>120709</v>
      </c>
      <c r="G27" s="5">
        <f t="shared" si="1"/>
        <v>1.0018840988695408</v>
      </c>
      <c r="H27" s="8">
        <v>123649</v>
      </c>
      <c r="I27" s="7">
        <v>90102</v>
      </c>
      <c r="J27" s="4">
        <f t="shared" si="2"/>
        <v>32456</v>
      </c>
      <c r="K27" s="14">
        <v>122558</v>
      </c>
      <c r="L27" s="5">
        <f t="shared" si="3"/>
        <v>0.99117663709370885</v>
      </c>
      <c r="M27" s="8">
        <v>182121</v>
      </c>
      <c r="N27" s="7">
        <v>133491</v>
      </c>
      <c r="O27" s="4">
        <f t="shared" si="4"/>
        <v>47481</v>
      </c>
      <c r="P27" s="14">
        <v>180972</v>
      </c>
      <c r="Q27" s="5">
        <f t="shared" si="5"/>
        <v>0.99369100762679752</v>
      </c>
      <c r="R27" s="8">
        <v>122848</v>
      </c>
      <c r="S27" s="7">
        <v>88229</v>
      </c>
      <c r="T27" s="4">
        <f t="shared" si="6"/>
        <v>33835</v>
      </c>
      <c r="U27" s="14">
        <v>122064</v>
      </c>
      <c r="V27" s="5">
        <f t="shared" si="7"/>
        <v>0.99361812972128161</v>
      </c>
      <c r="W27" s="8">
        <v>125846</v>
      </c>
      <c r="X27" s="7">
        <v>88448</v>
      </c>
      <c r="Y27" s="4">
        <f t="shared" si="8"/>
        <v>34904</v>
      </c>
      <c r="Z27" s="14">
        <v>123352</v>
      </c>
      <c r="AA27" s="5">
        <f t="shared" si="9"/>
        <v>0.98018212736201393</v>
      </c>
      <c r="AB27" s="8">
        <v>184102</v>
      </c>
      <c r="AC27" s="7">
        <v>132582</v>
      </c>
      <c r="AD27" s="4">
        <f t="shared" si="10"/>
        <v>50121</v>
      </c>
      <c r="AE27" s="14">
        <v>182703</v>
      </c>
      <c r="AF27" s="5">
        <f t="shared" si="11"/>
        <v>0.99240095164636999</v>
      </c>
      <c r="AG27" s="8">
        <v>124176</v>
      </c>
      <c r="AH27" s="7">
        <v>88617</v>
      </c>
      <c r="AI27" s="4">
        <f t="shared" si="12"/>
        <v>34597</v>
      </c>
      <c r="AJ27" s="14">
        <v>123214</v>
      </c>
      <c r="AK27" s="5">
        <f t="shared" si="13"/>
        <v>0.99225293132328307</v>
      </c>
      <c r="AL27" s="8">
        <v>126536</v>
      </c>
      <c r="AM27" s="7">
        <v>92194</v>
      </c>
      <c r="AN27" s="4">
        <f t="shared" si="14"/>
        <v>31867</v>
      </c>
      <c r="AO27" s="14">
        <v>124061</v>
      </c>
      <c r="AP27" s="5">
        <f t="shared" si="15"/>
        <v>0.98044034899159127</v>
      </c>
      <c r="AQ27" s="8">
        <v>184835</v>
      </c>
      <c r="AR27" s="7">
        <v>136839</v>
      </c>
      <c r="AS27" s="4">
        <f t="shared" si="16"/>
        <v>47474</v>
      </c>
      <c r="AT27" s="14">
        <v>184313</v>
      </c>
      <c r="AU27" s="5">
        <f t="shared" si="17"/>
        <v>0.99717585955040977</v>
      </c>
      <c r="AV27" s="8">
        <v>124975</v>
      </c>
      <c r="AW27" s="7">
        <v>92540</v>
      </c>
      <c r="AX27" s="4">
        <f t="shared" si="18"/>
        <v>31827</v>
      </c>
      <c r="AY27" s="14">
        <v>124367</v>
      </c>
      <c r="AZ27" s="5">
        <f t="shared" si="19"/>
        <v>0.99513502700540113</v>
      </c>
      <c r="BA27" s="8">
        <v>127493</v>
      </c>
      <c r="BB27" s="7">
        <v>94281</v>
      </c>
      <c r="BC27" s="4">
        <f t="shared" si="20"/>
        <v>31143</v>
      </c>
      <c r="BD27" s="14">
        <v>125424</v>
      </c>
      <c r="BE27" s="5">
        <f t="shared" si="21"/>
        <v>0.98377165805181466</v>
      </c>
      <c r="BF27" s="8">
        <v>187636</v>
      </c>
      <c r="BG27" s="7">
        <v>122553</v>
      </c>
      <c r="BH27" s="4">
        <f t="shared" si="22"/>
        <v>63175</v>
      </c>
      <c r="BI27" s="14">
        <v>185728</v>
      </c>
      <c r="BJ27" s="5">
        <f t="shared" si="23"/>
        <v>0.98983137564220081</v>
      </c>
    </row>
    <row r="28" spans="1:62" x14ac:dyDescent="0.3">
      <c r="A28" s="19">
        <v>19</v>
      </c>
      <c r="B28" s="3" t="s">
        <v>24</v>
      </c>
      <c r="C28" s="8">
        <v>382208</v>
      </c>
      <c r="D28" s="7">
        <v>315442</v>
      </c>
      <c r="E28" s="4">
        <f t="shared" si="0"/>
        <v>64596</v>
      </c>
      <c r="F28" s="14">
        <v>380038</v>
      </c>
      <c r="G28" s="5">
        <f t="shared" si="1"/>
        <v>0.99432246316141992</v>
      </c>
      <c r="H28" s="8">
        <v>389922</v>
      </c>
      <c r="I28" s="7">
        <v>321793</v>
      </c>
      <c r="J28" s="4">
        <f t="shared" si="2"/>
        <v>63272</v>
      </c>
      <c r="K28" s="14">
        <v>385065</v>
      </c>
      <c r="L28" s="5">
        <f t="shared" si="3"/>
        <v>0.98754366257866955</v>
      </c>
      <c r="M28" s="8">
        <v>650891</v>
      </c>
      <c r="N28" s="7">
        <v>541073</v>
      </c>
      <c r="O28" s="4">
        <f t="shared" si="4"/>
        <v>104706</v>
      </c>
      <c r="P28" s="14">
        <v>645779</v>
      </c>
      <c r="Q28" s="5">
        <f t="shared" si="5"/>
        <v>0.9921461504307173</v>
      </c>
      <c r="R28" s="8">
        <v>389073</v>
      </c>
      <c r="S28" s="7">
        <v>319004</v>
      </c>
      <c r="T28" s="4">
        <f t="shared" si="6"/>
        <v>67532</v>
      </c>
      <c r="U28" s="14">
        <v>386536</v>
      </c>
      <c r="V28" s="5">
        <f t="shared" si="7"/>
        <v>0.99347937276552212</v>
      </c>
      <c r="W28" s="8">
        <v>397763</v>
      </c>
      <c r="X28" s="7">
        <v>324685</v>
      </c>
      <c r="Y28" s="4">
        <f t="shared" si="8"/>
        <v>67046</v>
      </c>
      <c r="Z28" s="14">
        <v>391731</v>
      </c>
      <c r="AA28" s="5">
        <f t="shared" si="9"/>
        <v>0.9848351908045746</v>
      </c>
      <c r="AB28" s="8">
        <v>660941</v>
      </c>
      <c r="AC28" s="7">
        <v>552565</v>
      </c>
      <c r="AD28" s="4">
        <f t="shared" si="10"/>
        <v>103898</v>
      </c>
      <c r="AE28" s="14">
        <v>656463</v>
      </c>
      <c r="AF28" s="5">
        <f t="shared" si="11"/>
        <v>0.99322481129177942</v>
      </c>
      <c r="AG28" s="8">
        <v>397417</v>
      </c>
      <c r="AH28" s="7">
        <v>326204</v>
      </c>
      <c r="AI28" s="4">
        <f t="shared" si="12"/>
        <v>68399</v>
      </c>
      <c r="AJ28" s="14">
        <v>394603</v>
      </c>
      <c r="AK28" s="5">
        <f t="shared" si="13"/>
        <v>0.99291927622623088</v>
      </c>
      <c r="AL28" s="8">
        <v>405895</v>
      </c>
      <c r="AM28" s="7">
        <v>337795</v>
      </c>
      <c r="AN28" s="4">
        <f t="shared" si="14"/>
        <v>61123</v>
      </c>
      <c r="AO28" s="14">
        <v>398918</v>
      </c>
      <c r="AP28" s="5">
        <f t="shared" si="15"/>
        <v>0.98281082545978637</v>
      </c>
      <c r="AQ28" s="8">
        <v>670091</v>
      </c>
      <c r="AR28" s="7">
        <v>570072</v>
      </c>
      <c r="AS28" s="4">
        <f t="shared" si="16"/>
        <v>96092</v>
      </c>
      <c r="AT28" s="14">
        <v>666164</v>
      </c>
      <c r="AU28" s="5">
        <f t="shared" si="17"/>
        <v>0.99413960193466255</v>
      </c>
      <c r="AV28" s="8">
        <v>405395</v>
      </c>
      <c r="AW28" s="7">
        <v>341800</v>
      </c>
      <c r="AX28" s="4">
        <f t="shared" si="18"/>
        <v>61000</v>
      </c>
      <c r="AY28" s="14">
        <v>402800</v>
      </c>
      <c r="AZ28" s="5">
        <f t="shared" si="19"/>
        <v>0.99359883570344976</v>
      </c>
      <c r="BA28" s="8">
        <v>412255</v>
      </c>
      <c r="BB28" s="7">
        <v>347485</v>
      </c>
      <c r="BC28" s="4">
        <f t="shared" si="20"/>
        <v>59420</v>
      </c>
      <c r="BD28" s="14">
        <v>406905</v>
      </c>
      <c r="BE28" s="5">
        <f t="shared" si="21"/>
        <v>0.98702259523838398</v>
      </c>
      <c r="BF28" s="8">
        <v>680839</v>
      </c>
      <c r="BG28" s="7">
        <v>548909</v>
      </c>
      <c r="BH28" s="4">
        <f t="shared" si="22"/>
        <v>127439</v>
      </c>
      <c r="BI28" s="14">
        <v>676348</v>
      </c>
      <c r="BJ28" s="5">
        <f t="shared" si="23"/>
        <v>0.99340372687228551</v>
      </c>
    </row>
    <row r="29" spans="1:62" x14ac:dyDescent="0.3">
      <c r="A29" s="19">
        <v>20</v>
      </c>
      <c r="B29" s="3" t="s">
        <v>25</v>
      </c>
      <c r="C29" s="8">
        <v>127557</v>
      </c>
      <c r="D29" s="7">
        <v>102140</v>
      </c>
      <c r="E29" s="4">
        <f t="shared" si="0"/>
        <v>24828</v>
      </c>
      <c r="F29" s="14">
        <v>126968</v>
      </c>
      <c r="G29" s="5">
        <f t="shared" si="1"/>
        <v>0.99538245647044066</v>
      </c>
      <c r="H29" s="8">
        <v>129829</v>
      </c>
      <c r="I29" s="7">
        <v>104511</v>
      </c>
      <c r="J29" s="4">
        <f t="shared" si="2"/>
        <v>23859</v>
      </c>
      <c r="K29" s="14">
        <v>128370</v>
      </c>
      <c r="L29" s="5">
        <f t="shared" si="3"/>
        <v>0.98876214097004522</v>
      </c>
      <c r="M29" s="8">
        <v>176637</v>
      </c>
      <c r="N29" s="7">
        <v>143265</v>
      </c>
      <c r="O29" s="4">
        <f t="shared" si="4"/>
        <v>30954</v>
      </c>
      <c r="P29" s="14">
        <v>174219</v>
      </c>
      <c r="Q29" s="5">
        <f t="shared" si="5"/>
        <v>0.98631090881298933</v>
      </c>
      <c r="R29" s="8">
        <v>129740</v>
      </c>
      <c r="S29" s="7">
        <v>104295</v>
      </c>
      <c r="T29" s="4">
        <f t="shared" si="6"/>
        <v>24247</v>
      </c>
      <c r="U29" s="14">
        <v>128542</v>
      </c>
      <c r="V29" s="5">
        <f t="shared" si="7"/>
        <v>0.99076614767997528</v>
      </c>
      <c r="W29" s="8">
        <v>131766</v>
      </c>
      <c r="X29" s="7">
        <v>105762</v>
      </c>
      <c r="Y29" s="4">
        <f t="shared" si="8"/>
        <v>23817</v>
      </c>
      <c r="Z29" s="14">
        <v>129579</v>
      </c>
      <c r="AA29" s="5">
        <f t="shared" si="9"/>
        <v>0.98340239515504757</v>
      </c>
      <c r="AB29" s="8">
        <v>178083</v>
      </c>
      <c r="AC29" s="7">
        <v>143554</v>
      </c>
      <c r="AD29" s="4">
        <f t="shared" si="10"/>
        <v>32807</v>
      </c>
      <c r="AE29" s="14">
        <v>176361</v>
      </c>
      <c r="AF29" s="5">
        <f t="shared" si="11"/>
        <v>0.99033035157763516</v>
      </c>
      <c r="AG29" s="8">
        <v>131984</v>
      </c>
      <c r="AH29" s="7">
        <v>101819</v>
      </c>
      <c r="AI29" s="4">
        <f t="shared" si="12"/>
        <v>28870</v>
      </c>
      <c r="AJ29" s="14">
        <v>130689</v>
      </c>
      <c r="AK29" s="5">
        <f t="shared" si="13"/>
        <v>0.99018820463086432</v>
      </c>
      <c r="AL29" s="8">
        <v>133676</v>
      </c>
      <c r="AM29" s="7">
        <v>108792</v>
      </c>
      <c r="AN29" s="4">
        <f t="shared" si="14"/>
        <v>23045</v>
      </c>
      <c r="AO29" s="14">
        <v>131837</v>
      </c>
      <c r="AP29" s="5">
        <f t="shared" si="15"/>
        <v>0.98624285586043869</v>
      </c>
      <c r="AQ29" s="8">
        <v>179800</v>
      </c>
      <c r="AR29" s="7">
        <v>149130</v>
      </c>
      <c r="AS29" s="4">
        <f t="shared" si="16"/>
        <v>29851</v>
      </c>
      <c r="AT29" s="14">
        <v>178981</v>
      </c>
      <c r="AU29" s="5">
        <f t="shared" si="17"/>
        <v>0.99544493882091212</v>
      </c>
      <c r="AV29" s="8">
        <v>134089</v>
      </c>
      <c r="AW29" s="7">
        <v>110492</v>
      </c>
      <c r="AX29" s="4">
        <f t="shared" si="18"/>
        <v>22672</v>
      </c>
      <c r="AY29" s="14">
        <v>133164</v>
      </c>
      <c r="AZ29" s="5">
        <f t="shared" si="19"/>
        <v>0.99310159670069875</v>
      </c>
      <c r="BA29" s="8">
        <v>136058</v>
      </c>
      <c r="BB29" s="7">
        <v>111463</v>
      </c>
      <c r="BC29" s="4">
        <f t="shared" si="20"/>
        <v>23015</v>
      </c>
      <c r="BD29" s="14">
        <v>134478</v>
      </c>
      <c r="BE29" s="5">
        <f t="shared" si="21"/>
        <v>0.98838730541386766</v>
      </c>
      <c r="BF29" s="8">
        <v>182623</v>
      </c>
      <c r="BG29" s="7">
        <v>139477</v>
      </c>
      <c r="BH29" s="4">
        <f t="shared" si="22"/>
        <v>41948</v>
      </c>
      <c r="BI29" s="14">
        <v>181425</v>
      </c>
      <c r="BJ29" s="5">
        <f t="shared" si="23"/>
        <v>0.99344003767323941</v>
      </c>
    </row>
    <row r="30" spans="1:62" x14ac:dyDescent="0.3">
      <c r="A30" s="19">
        <v>21</v>
      </c>
      <c r="B30" s="3" t="s">
        <v>26</v>
      </c>
      <c r="C30" s="8">
        <v>166894</v>
      </c>
      <c r="D30" s="7">
        <v>127127</v>
      </c>
      <c r="E30" s="4">
        <f t="shared" si="0"/>
        <v>39284</v>
      </c>
      <c r="F30" s="14">
        <v>166411</v>
      </c>
      <c r="G30" s="5">
        <f t="shared" si="1"/>
        <v>0.99710594748762693</v>
      </c>
      <c r="H30" s="8">
        <v>172134</v>
      </c>
      <c r="I30" s="7">
        <v>127881</v>
      </c>
      <c r="J30" s="4">
        <f t="shared" si="2"/>
        <v>41657</v>
      </c>
      <c r="K30" s="14">
        <v>169538</v>
      </c>
      <c r="L30" s="5">
        <f t="shared" si="3"/>
        <v>0.98491872610872921</v>
      </c>
      <c r="M30" s="8">
        <v>289249</v>
      </c>
      <c r="N30" s="7">
        <v>226373</v>
      </c>
      <c r="O30" s="4">
        <f t="shared" si="4"/>
        <v>59684</v>
      </c>
      <c r="P30" s="14">
        <v>286057</v>
      </c>
      <c r="Q30" s="5">
        <f t="shared" si="5"/>
        <v>0.98896452537433144</v>
      </c>
      <c r="R30" s="8">
        <v>169142</v>
      </c>
      <c r="S30" s="7">
        <v>130297</v>
      </c>
      <c r="T30" s="4">
        <f t="shared" si="6"/>
        <v>37564</v>
      </c>
      <c r="U30" s="14">
        <v>167861</v>
      </c>
      <c r="V30" s="5">
        <f t="shared" si="7"/>
        <v>0.9924264818909555</v>
      </c>
      <c r="W30" s="8">
        <v>174259</v>
      </c>
      <c r="X30" s="7">
        <v>129624</v>
      </c>
      <c r="Y30" s="4">
        <f t="shared" si="8"/>
        <v>41378</v>
      </c>
      <c r="Z30" s="14">
        <v>171002</v>
      </c>
      <c r="AA30" s="5">
        <f t="shared" si="9"/>
        <v>0.98130943021594297</v>
      </c>
      <c r="AB30" s="8">
        <v>293307</v>
      </c>
      <c r="AC30" s="7">
        <v>227638</v>
      </c>
      <c r="AD30" s="4">
        <f t="shared" si="10"/>
        <v>62877</v>
      </c>
      <c r="AE30" s="14">
        <v>290515</v>
      </c>
      <c r="AF30" s="5">
        <f t="shared" si="11"/>
        <v>0.99048096363196236</v>
      </c>
      <c r="AG30" s="8">
        <v>172053</v>
      </c>
      <c r="AH30" s="7">
        <v>133185</v>
      </c>
      <c r="AI30" s="4">
        <f t="shared" si="12"/>
        <v>37802</v>
      </c>
      <c r="AJ30" s="14">
        <v>170987</v>
      </c>
      <c r="AK30" s="5">
        <f t="shared" si="13"/>
        <v>0.99380423474162027</v>
      </c>
      <c r="AL30" s="8">
        <v>176835</v>
      </c>
      <c r="AM30" s="7">
        <v>137544</v>
      </c>
      <c r="AN30" s="4">
        <f t="shared" si="14"/>
        <v>36124</v>
      </c>
      <c r="AO30" s="14">
        <v>173668</v>
      </c>
      <c r="AP30" s="5">
        <f t="shared" si="15"/>
        <v>0.98209064947549973</v>
      </c>
      <c r="AQ30" s="8">
        <v>297651</v>
      </c>
      <c r="AR30" s="7">
        <v>238591</v>
      </c>
      <c r="AS30" s="4">
        <f t="shared" si="16"/>
        <v>57676</v>
      </c>
      <c r="AT30" s="14">
        <v>296267</v>
      </c>
      <c r="AU30" s="5">
        <f t="shared" si="17"/>
        <v>0.9953502591961727</v>
      </c>
      <c r="AV30" s="8">
        <v>175428</v>
      </c>
      <c r="AW30" s="7">
        <v>138146</v>
      </c>
      <c r="AX30" s="4">
        <f t="shared" si="18"/>
        <v>36238</v>
      </c>
      <c r="AY30" s="14">
        <v>174384</v>
      </c>
      <c r="AZ30" s="5">
        <f t="shared" si="19"/>
        <v>0.99404884054996923</v>
      </c>
      <c r="BA30" s="8">
        <v>179593</v>
      </c>
      <c r="BB30" s="7">
        <v>140228</v>
      </c>
      <c r="BC30" s="4">
        <f t="shared" si="20"/>
        <v>36023</v>
      </c>
      <c r="BD30" s="14">
        <v>176251</v>
      </c>
      <c r="BE30" s="5">
        <f t="shared" si="21"/>
        <v>0.98139125689754059</v>
      </c>
      <c r="BF30" s="8">
        <v>302258</v>
      </c>
      <c r="BG30" s="7">
        <v>226619</v>
      </c>
      <c r="BH30" s="4">
        <f t="shared" si="22"/>
        <v>72858</v>
      </c>
      <c r="BI30" s="14">
        <v>299477</v>
      </c>
      <c r="BJ30" s="5">
        <f t="shared" si="23"/>
        <v>0.99079925097102473</v>
      </c>
    </row>
    <row r="31" spans="1:62" x14ac:dyDescent="0.3">
      <c r="A31" s="19">
        <v>22</v>
      </c>
      <c r="B31" s="3" t="s">
        <v>27</v>
      </c>
      <c r="C31" s="8">
        <v>74510</v>
      </c>
      <c r="D31" s="7">
        <v>53380</v>
      </c>
      <c r="E31" s="4">
        <f t="shared" si="0"/>
        <v>21218</v>
      </c>
      <c r="F31" s="14">
        <v>74598</v>
      </c>
      <c r="G31" s="5">
        <f t="shared" si="1"/>
        <v>1.0011810495235538</v>
      </c>
      <c r="H31" s="8">
        <v>76671</v>
      </c>
      <c r="I31" s="7">
        <v>55646</v>
      </c>
      <c r="J31" s="4">
        <f t="shared" si="2"/>
        <v>20127</v>
      </c>
      <c r="K31" s="14">
        <v>75773</v>
      </c>
      <c r="L31" s="5">
        <f t="shared" si="3"/>
        <v>0.98828761852590941</v>
      </c>
      <c r="M31" s="8">
        <v>133745</v>
      </c>
      <c r="N31" s="7">
        <v>97867</v>
      </c>
      <c r="O31" s="4">
        <f t="shared" si="4"/>
        <v>35676</v>
      </c>
      <c r="P31" s="14">
        <v>133543</v>
      </c>
      <c r="Q31" s="5">
        <f t="shared" si="5"/>
        <v>0.99848966316497811</v>
      </c>
      <c r="R31" s="8">
        <v>74974</v>
      </c>
      <c r="S31" s="7">
        <v>54415</v>
      </c>
      <c r="T31" s="4">
        <f t="shared" si="6"/>
        <v>20618</v>
      </c>
      <c r="U31" s="14">
        <v>75033</v>
      </c>
      <c r="V31" s="5">
        <f t="shared" si="7"/>
        <v>1.0007869394723503</v>
      </c>
      <c r="W31" s="8">
        <v>77586</v>
      </c>
      <c r="X31" s="7">
        <v>55009</v>
      </c>
      <c r="Y31" s="4">
        <f t="shared" si="8"/>
        <v>21081</v>
      </c>
      <c r="Z31" s="14">
        <v>76090</v>
      </c>
      <c r="AA31" s="5">
        <f t="shared" si="9"/>
        <v>0.98071817080401102</v>
      </c>
      <c r="AB31" s="8">
        <v>135116</v>
      </c>
      <c r="AC31" s="7">
        <v>97955</v>
      </c>
      <c r="AD31" s="4">
        <f t="shared" si="10"/>
        <v>37196</v>
      </c>
      <c r="AE31" s="14">
        <v>135151</v>
      </c>
      <c r="AF31" s="5">
        <f t="shared" si="11"/>
        <v>1.0002590366795938</v>
      </c>
      <c r="AG31" s="8">
        <v>76230</v>
      </c>
      <c r="AH31" s="7">
        <v>53599</v>
      </c>
      <c r="AI31" s="4">
        <f t="shared" si="12"/>
        <v>22399</v>
      </c>
      <c r="AJ31" s="14">
        <v>75998</v>
      </c>
      <c r="AK31" s="5">
        <f t="shared" si="13"/>
        <v>0.99695657877476063</v>
      </c>
      <c r="AL31" s="8">
        <v>77611</v>
      </c>
      <c r="AM31" s="7">
        <v>58314</v>
      </c>
      <c r="AN31" s="4">
        <f t="shared" si="14"/>
        <v>18529</v>
      </c>
      <c r="AO31" s="14">
        <v>76843</v>
      </c>
      <c r="AP31" s="5">
        <f t="shared" si="15"/>
        <v>0.99010449549677237</v>
      </c>
      <c r="AQ31" s="8">
        <v>136879</v>
      </c>
      <c r="AR31" s="7">
        <v>102752</v>
      </c>
      <c r="AS31" s="4">
        <f t="shared" si="16"/>
        <v>34724</v>
      </c>
      <c r="AT31" s="14">
        <v>137476</v>
      </c>
      <c r="AU31" s="5">
        <f t="shared" si="17"/>
        <v>1.0043615163757771</v>
      </c>
      <c r="AV31" s="8">
        <v>76719</v>
      </c>
      <c r="AW31" s="7">
        <v>58861</v>
      </c>
      <c r="AX31" s="4">
        <f t="shared" si="18"/>
        <v>18047</v>
      </c>
      <c r="AY31" s="14">
        <v>76908</v>
      </c>
      <c r="AZ31" s="5">
        <f t="shared" si="19"/>
        <v>1.0024635357603722</v>
      </c>
      <c r="BA31" s="8">
        <v>78720</v>
      </c>
      <c r="BB31" s="7">
        <v>59824</v>
      </c>
      <c r="BC31" s="4">
        <f t="shared" si="20"/>
        <v>18510</v>
      </c>
      <c r="BD31" s="14">
        <v>78334</v>
      </c>
      <c r="BE31" s="5">
        <f t="shared" si="21"/>
        <v>0.99509654471544717</v>
      </c>
      <c r="BF31" s="8">
        <v>140181</v>
      </c>
      <c r="BG31" s="7">
        <v>91989</v>
      </c>
      <c r="BH31" s="4">
        <f t="shared" si="22"/>
        <v>48223</v>
      </c>
      <c r="BI31" s="14">
        <v>140212</v>
      </c>
      <c r="BJ31" s="5">
        <f t="shared" si="23"/>
        <v>1.0002211426655538</v>
      </c>
    </row>
    <row r="32" spans="1:62" x14ac:dyDescent="0.3">
      <c r="A32" s="19">
        <v>23</v>
      </c>
      <c r="B32" s="3" t="s">
        <v>28</v>
      </c>
      <c r="C32" s="8">
        <v>203718</v>
      </c>
      <c r="D32" s="7">
        <v>157993</v>
      </c>
      <c r="E32" s="4">
        <f t="shared" si="0"/>
        <v>45723</v>
      </c>
      <c r="F32" s="14">
        <v>203716</v>
      </c>
      <c r="G32" s="5">
        <f t="shared" si="1"/>
        <v>0.99999018250719129</v>
      </c>
      <c r="H32" s="8">
        <v>210874</v>
      </c>
      <c r="I32" s="7">
        <v>165372</v>
      </c>
      <c r="J32" s="4">
        <f t="shared" si="2"/>
        <v>42720</v>
      </c>
      <c r="K32" s="14">
        <v>208092</v>
      </c>
      <c r="L32" s="5">
        <f t="shared" si="3"/>
        <v>0.9868072877642573</v>
      </c>
      <c r="M32" s="8">
        <v>441035</v>
      </c>
      <c r="N32" s="7">
        <v>344918</v>
      </c>
      <c r="O32" s="4">
        <f t="shared" si="4"/>
        <v>93404</v>
      </c>
      <c r="P32" s="14">
        <v>438322</v>
      </c>
      <c r="Q32" s="5">
        <f t="shared" si="5"/>
        <v>0.99384856077182082</v>
      </c>
      <c r="R32" s="8">
        <v>206418</v>
      </c>
      <c r="S32" s="7">
        <v>161041</v>
      </c>
      <c r="T32" s="4">
        <f t="shared" si="6"/>
        <v>44062</v>
      </c>
      <c r="U32" s="14">
        <v>205103</v>
      </c>
      <c r="V32" s="5">
        <f t="shared" si="7"/>
        <v>0.99362943154182293</v>
      </c>
      <c r="W32" s="8">
        <v>212709</v>
      </c>
      <c r="X32" s="7">
        <v>163187</v>
      </c>
      <c r="Y32" s="4">
        <f t="shared" si="8"/>
        <v>45960</v>
      </c>
      <c r="Z32" s="14">
        <v>209147</v>
      </c>
      <c r="AA32" s="5">
        <f t="shared" si="9"/>
        <v>0.98325411712715494</v>
      </c>
      <c r="AB32" s="8">
        <v>446806</v>
      </c>
      <c r="AC32" s="7">
        <v>347424</v>
      </c>
      <c r="AD32" s="4">
        <f t="shared" si="10"/>
        <v>97540</v>
      </c>
      <c r="AE32" s="14">
        <v>444964</v>
      </c>
      <c r="AF32" s="5">
        <f t="shared" si="11"/>
        <v>0.99587740540637326</v>
      </c>
      <c r="AG32" s="8">
        <v>210129</v>
      </c>
      <c r="AH32" s="7">
        <v>160354</v>
      </c>
      <c r="AI32" s="4">
        <f t="shared" si="12"/>
        <v>49148</v>
      </c>
      <c r="AJ32" s="14">
        <v>209502</v>
      </c>
      <c r="AK32" s="5">
        <f t="shared" si="13"/>
        <v>0.99701611866995987</v>
      </c>
      <c r="AL32" s="8">
        <v>217332</v>
      </c>
      <c r="AM32" s="7">
        <v>172532</v>
      </c>
      <c r="AN32" s="4">
        <f t="shared" si="14"/>
        <v>40356</v>
      </c>
      <c r="AO32" s="14">
        <v>212888</v>
      </c>
      <c r="AP32" s="5">
        <f t="shared" si="15"/>
        <v>0.97955202179154477</v>
      </c>
      <c r="AQ32" s="8">
        <v>453805</v>
      </c>
      <c r="AR32" s="7">
        <v>359519</v>
      </c>
      <c r="AS32" s="4">
        <f t="shared" si="16"/>
        <v>93305</v>
      </c>
      <c r="AT32" s="14">
        <v>452824</v>
      </c>
      <c r="AU32" s="5">
        <f t="shared" si="17"/>
        <v>0.99783827855576734</v>
      </c>
      <c r="AV32" s="8">
        <v>213428</v>
      </c>
      <c r="AW32" s="7">
        <v>173225</v>
      </c>
      <c r="AX32" s="4">
        <f t="shared" si="18"/>
        <v>40182</v>
      </c>
      <c r="AY32" s="14">
        <v>213407</v>
      </c>
      <c r="AZ32" s="5">
        <f t="shared" si="19"/>
        <v>0.99990160616226553</v>
      </c>
      <c r="BA32" s="8">
        <v>220509</v>
      </c>
      <c r="BB32" s="7">
        <v>178242</v>
      </c>
      <c r="BC32" s="4">
        <f t="shared" si="20"/>
        <v>39361</v>
      </c>
      <c r="BD32" s="14">
        <v>217603</v>
      </c>
      <c r="BE32" s="5">
        <f t="shared" si="21"/>
        <v>0.98682139958006254</v>
      </c>
      <c r="BF32" s="8">
        <v>463937</v>
      </c>
      <c r="BG32" s="7">
        <v>333202</v>
      </c>
      <c r="BH32" s="4">
        <f t="shared" si="22"/>
        <v>127821</v>
      </c>
      <c r="BI32" s="14">
        <v>461023</v>
      </c>
      <c r="BJ32" s="5">
        <f t="shared" si="23"/>
        <v>0.99371897477459226</v>
      </c>
    </row>
    <row r="33" spans="1:62" x14ac:dyDescent="0.3">
      <c r="A33" s="19">
        <v>24</v>
      </c>
      <c r="B33" s="3" t="s">
        <v>29</v>
      </c>
      <c r="C33" s="8">
        <v>620995</v>
      </c>
      <c r="D33" s="7">
        <v>549172</v>
      </c>
      <c r="E33" s="4">
        <f t="shared" si="0"/>
        <v>74092</v>
      </c>
      <c r="F33" s="14">
        <v>623264</v>
      </c>
      <c r="G33" s="5">
        <f t="shared" si="1"/>
        <v>1.003653813637791</v>
      </c>
      <c r="H33" s="8">
        <v>630476</v>
      </c>
      <c r="I33" s="7">
        <v>552312</v>
      </c>
      <c r="J33" s="4">
        <f t="shared" si="2"/>
        <v>78137</v>
      </c>
      <c r="K33" s="14">
        <v>630449</v>
      </c>
      <c r="L33" s="5">
        <f t="shared" si="3"/>
        <v>0.99995717521364813</v>
      </c>
      <c r="M33" s="8">
        <v>1032030</v>
      </c>
      <c r="N33" s="7">
        <v>901361</v>
      </c>
      <c r="O33" s="4">
        <f t="shared" si="4"/>
        <v>130784</v>
      </c>
      <c r="P33" s="14">
        <v>1032145</v>
      </c>
      <c r="Q33" s="5">
        <f t="shared" si="5"/>
        <v>1.0001114308692576</v>
      </c>
      <c r="R33" s="8">
        <v>629419</v>
      </c>
      <c r="S33" s="7">
        <v>550494</v>
      </c>
      <c r="T33" s="4">
        <f t="shared" si="6"/>
        <v>79470</v>
      </c>
      <c r="U33" s="14">
        <v>629964</v>
      </c>
      <c r="V33" s="5">
        <f t="shared" si="7"/>
        <v>1.0008658778969177</v>
      </c>
      <c r="W33" s="8">
        <v>637378</v>
      </c>
      <c r="X33" s="7">
        <v>555109</v>
      </c>
      <c r="Y33" s="4">
        <f t="shared" si="8"/>
        <v>80055</v>
      </c>
      <c r="Z33" s="14">
        <v>635164</v>
      </c>
      <c r="AA33" s="5">
        <f t="shared" si="9"/>
        <v>0.99652639407070842</v>
      </c>
      <c r="AB33" s="8">
        <v>1041984</v>
      </c>
      <c r="AC33" s="7">
        <v>899855</v>
      </c>
      <c r="AD33" s="4">
        <f t="shared" si="10"/>
        <v>142394</v>
      </c>
      <c r="AE33" s="14">
        <v>1042249</v>
      </c>
      <c r="AF33" s="5">
        <f t="shared" si="11"/>
        <v>1.0002543225231866</v>
      </c>
      <c r="AG33" s="8">
        <v>638215</v>
      </c>
      <c r="AH33" s="7">
        <v>522882</v>
      </c>
      <c r="AI33" s="4">
        <f t="shared" si="12"/>
        <v>115969</v>
      </c>
      <c r="AJ33" s="14">
        <v>638851</v>
      </c>
      <c r="AK33" s="5">
        <f t="shared" si="13"/>
        <v>1.0009965293827314</v>
      </c>
      <c r="AL33" s="8">
        <v>645318</v>
      </c>
      <c r="AM33" s="7">
        <v>567153</v>
      </c>
      <c r="AN33" s="4">
        <f t="shared" si="14"/>
        <v>75268</v>
      </c>
      <c r="AO33" s="14">
        <v>642421</v>
      </c>
      <c r="AP33" s="5">
        <f t="shared" si="15"/>
        <v>0.99551074044114685</v>
      </c>
      <c r="AQ33" s="8">
        <v>1053133</v>
      </c>
      <c r="AR33" s="7">
        <v>918586</v>
      </c>
      <c r="AS33" s="4">
        <f t="shared" si="16"/>
        <v>135442</v>
      </c>
      <c r="AT33" s="14">
        <v>1054028</v>
      </c>
      <c r="AU33" s="5">
        <f t="shared" si="17"/>
        <v>1.0008498451762502</v>
      </c>
      <c r="AV33" s="8">
        <v>647979</v>
      </c>
      <c r="AW33" s="7">
        <v>580247</v>
      </c>
      <c r="AX33" s="4">
        <f t="shared" si="18"/>
        <v>69703</v>
      </c>
      <c r="AY33" s="14">
        <v>649950</v>
      </c>
      <c r="AZ33" s="5">
        <f t="shared" si="19"/>
        <v>1.0030417652423922</v>
      </c>
      <c r="BA33" s="8">
        <v>657743</v>
      </c>
      <c r="BB33" s="7">
        <v>592067</v>
      </c>
      <c r="BC33" s="4">
        <f t="shared" si="20"/>
        <v>65962</v>
      </c>
      <c r="BD33" s="14">
        <v>658029</v>
      </c>
      <c r="BE33" s="5">
        <f t="shared" si="21"/>
        <v>1.0004348202869511</v>
      </c>
      <c r="BF33" s="8">
        <v>1071541</v>
      </c>
      <c r="BG33" s="7">
        <v>917244</v>
      </c>
      <c r="BH33" s="4">
        <f t="shared" si="22"/>
        <v>153845</v>
      </c>
      <c r="BI33" s="14">
        <v>1071089</v>
      </c>
      <c r="BJ33" s="5">
        <f t="shared" si="23"/>
        <v>0.9995781775965642</v>
      </c>
    </row>
    <row r="34" spans="1:62" x14ac:dyDescent="0.3">
      <c r="A34" s="19">
        <v>25</v>
      </c>
      <c r="B34" s="3" t="s">
        <v>30</v>
      </c>
      <c r="C34" s="15">
        <v>0</v>
      </c>
      <c r="D34" s="15">
        <v>0</v>
      </c>
      <c r="E34" s="15" t="s">
        <v>47</v>
      </c>
      <c r="F34" s="15">
        <v>0</v>
      </c>
      <c r="G34" s="15" t="s">
        <v>47</v>
      </c>
      <c r="H34" s="15">
        <v>0</v>
      </c>
      <c r="I34" s="15">
        <v>0</v>
      </c>
      <c r="J34" s="15" t="s">
        <v>47</v>
      </c>
      <c r="K34" s="15">
        <v>0</v>
      </c>
      <c r="L34" s="15" t="s">
        <v>47</v>
      </c>
      <c r="M34" s="15">
        <v>0</v>
      </c>
      <c r="N34" s="15">
        <v>0</v>
      </c>
      <c r="O34" s="15" t="s">
        <v>47</v>
      </c>
      <c r="P34" s="15">
        <v>0</v>
      </c>
      <c r="Q34" s="15" t="s">
        <v>47</v>
      </c>
      <c r="R34" s="15">
        <v>0</v>
      </c>
      <c r="S34" s="15">
        <v>0</v>
      </c>
      <c r="T34" s="15" t="s">
        <v>47</v>
      </c>
      <c r="U34" s="15">
        <v>0</v>
      </c>
      <c r="V34" s="15" t="s">
        <v>47</v>
      </c>
      <c r="W34" s="15">
        <v>0</v>
      </c>
      <c r="X34" s="15">
        <v>0</v>
      </c>
      <c r="Y34" s="15" t="s">
        <v>47</v>
      </c>
      <c r="Z34" s="15">
        <v>0</v>
      </c>
      <c r="AA34" s="15" t="s">
        <v>47</v>
      </c>
      <c r="AB34" s="15">
        <v>0</v>
      </c>
      <c r="AC34" s="15">
        <v>0</v>
      </c>
      <c r="AD34" s="15" t="s">
        <v>47</v>
      </c>
      <c r="AE34" s="15">
        <v>0</v>
      </c>
      <c r="AF34" s="15" t="s">
        <v>47</v>
      </c>
      <c r="AG34" s="15">
        <v>0</v>
      </c>
      <c r="AH34" s="15">
        <v>0</v>
      </c>
      <c r="AI34" s="15" t="s">
        <v>47</v>
      </c>
      <c r="AJ34" s="15">
        <v>0</v>
      </c>
      <c r="AK34" s="15" t="s">
        <v>47</v>
      </c>
      <c r="AL34" s="15">
        <v>0</v>
      </c>
      <c r="AM34" s="15">
        <v>0</v>
      </c>
      <c r="AN34" s="15" t="s">
        <v>47</v>
      </c>
      <c r="AO34" s="15">
        <v>1</v>
      </c>
      <c r="AP34" s="15" t="s">
        <v>47</v>
      </c>
      <c r="AQ34" s="15">
        <v>1</v>
      </c>
      <c r="AR34" s="15">
        <v>0</v>
      </c>
      <c r="AS34" s="15" t="s">
        <v>47</v>
      </c>
      <c r="AT34" s="15">
        <v>0</v>
      </c>
      <c r="AU34" s="15" t="s">
        <v>47</v>
      </c>
      <c r="AV34" s="15">
        <v>1</v>
      </c>
      <c r="AW34" s="15">
        <v>0</v>
      </c>
      <c r="AX34" s="15" t="s">
        <v>47</v>
      </c>
      <c r="AY34" s="15">
        <v>0</v>
      </c>
      <c r="AZ34" s="15" t="s">
        <v>47</v>
      </c>
      <c r="BA34" s="15">
        <v>1</v>
      </c>
      <c r="BB34" s="15">
        <v>0</v>
      </c>
      <c r="BC34" s="15" t="s">
        <v>47</v>
      </c>
      <c r="BD34" s="15">
        <v>0</v>
      </c>
      <c r="BE34" s="15" t="s">
        <v>47</v>
      </c>
      <c r="BF34" s="15">
        <v>1</v>
      </c>
      <c r="BG34" s="15">
        <v>0</v>
      </c>
      <c r="BH34" s="15" t="s">
        <v>47</v>
      </c>
      <c r="BI34" s="15">
        <v>0</v>
      </c>
      <c r="BJ34" s="15" t="s">
        <v>47</v>
      </c>
    </row>
    <row r="35" spans="1:62" x14ac:dyDescent="0.3">
      <c r="A35" s="19">
        <v>26</v>
      </c>
      <c r="B35" s="3" t="s">
        <v>31</v>
      </c>
      <c r="C35" s="8">
        <v>11569</v>
      </c>
      <c r="D35" s="7">
        <v>9463</v>
      </c>
      <c r="E35" s="4">
        <f t="shared" si="0"/>
        <v>2118</v>
      </c>
      <c r="F35" s="14">
        <v>11581</v>
      </c>
      <c r="G35" s="5">
        <f t="shared" ref="G35:G47" si="24">F35/C35</f>
        <v>1.0010372547324746</v>
      </c>
      <c r="H35" s="8">
        <v>11660</v>
      </c>
      <c r="I35" s="7">
        <v>9469</v>
      </c>
      <c r="J35" s="4">
        <f t="shared" ref="J35:J48" si="25">K35-I35</f>
        <v>2137</v>
      </c>
      <c r="K35" s="14">
        <v>11606</v>
      </c>
      <c r="L35" s="5">
        <f t="shared" ref="L35:L48" si="26">K35/H35</f>
        <v>0.99536878216123503</v>
      </c>
      <c r="M35" s="8">
        <v>14448</v>
      </c>
      <c r="N35" s="7">
        <v>11691</v>
      </c>
      <c r="O35" s="4">
        <f t="shared" ref="O35:O48" si="27">P35-N35</f>
        <v>2722</v>
      </c>
      <c r="P35" s="14">
        <v>14413</v>
      </c>
      <c r="Q35" s="5">
        <f t="shared" ref="Q35:Q48" si="28">P35/M35</f>
        <v>0.99757751937984496</v>
      </c>
      <c r="R35" s="8">
        <v>11629</v>
      </c>
      <c r="S35" s="7">
        <v>9289</v>
      </c>
      <c r="T35" s="4">
        <f t="shared" ref="T35:T47" si="29">U35-S35</f>
        <v>2334</v>
      </c>
      <c r="U35" s="14">
        <v>11623</v>
      </c>
      <c r="V35" s="5">
        <f t="shared" ref="V35:V48" si="30">U35/R35</f>
        <v>0.99948404849944106</v>
      </c>
      <c r="W35" s="8">
        <v>11769</v>
      </c>
      <c r="X35" s="7">
        <v>9270</v>
      </c>
      <c r="Y35" s="4">
        <f t="shared" ref="Y35:Y48" si="31">Z35-X35</f>
        <v>2389</v>
      </c>
      <c r="Z35" s="14">
        <v>11659</v>
      </c>
      <c r="AA35" s="5">
        <f t="shared" ref="AA35:AA48" si="32">Z35/W35</f>
        <v>0.9906534115048008</v>
      </c>
      <c r="AB35" s="8">
        <v>14510</v>
      </c>
      <c r="AC35" s="7">
        <v>11613</v>
      </c>
      <c r="AD35" s="4">
        <f t="shared" ref="AD35:AD48" si="33">AE35-AC35</f>
        <v>2877</v>
      </c>
      <c r="AE35" s="14">
        <v>14490</v>
      </c>
      <c r="AF35" s="5">
        <f t="shared" ref="AF35:AF48" si="34">AE35/AB35</f>
        <v>0.99862164024810474</v>
      </c>
      <c r="AG35" s="8">
        <v>11749</v>
      </c>
      <c r="AH35" s="7">
        <v>9182</v>
      </c>
      <c r="AI35" s="4">
        <f t="shared" ref="AI35:AI48" si="35">AJ35-AH35</f>
        <v>2546</v>
      </c>
      <c r="AJ35" s="14">
        <v>11728</v>
      </c>
      <c r="AK35" s="5">
        <f t="shared" ref="AK35:AK48" si="36">AJ35/AG35</f>
        <v>0.99821261383947568</v>
      </c>
      <c r="AL35" s="8">
        <v>11839</v>
      </c>
      <c r="AM35" s="7">
        <v>9646</v>
      </c>
      <c r="AN35" s="4">
        <f t="shared" ref="AN35:AN48" si="37">AO35-AM35</f>
        <v>2113</v>
      </c>
      <c r="AO35" s="14">
        <v>11759</v>
      </c>
      <c r="AP35" s="5">
        <f t="shared" ref="AP35:AP48" si="38">AO35/AL35</f>
        <v>0.99324267252301712</v>
      </c>
      <c r="AQ35" s="8">
        <v>14639</v>
      </c>
      <c r="AR35" s="7">
        <v>11898</v>
      </c>
      <c r="AS35" s="4">
        <f t="shared" ref="AS35:AS48" si="39">AT35-AR35</f>
        <v>2697</v>
      </c>
      <c r="AT35" s="14">
        <v>14595</v>
      </c>
      <c r="AU35" s="5">
        <f t="shared" ref="AU35:AU48" si="40">AT35/AQ35</f>
        <v>0.99699433021381245</v>
      </c>
      <c r="AV35" s="8">
        <v>11843</v>
      </c>
      <c r="AW35" s="7">
        <v>9730</v>
      </c>
      <c r="AX35" s="4">
        <f t="shared" ref="AX35:AX48" si="41">AY35-AW35</f>
        <v>2101</v>
      </c>
      <c r="AY35" s="14">
        <v>11831</v>
      </c>
      <c r="AZ35" s="5">
        <f t="shared" ref="AZ35:AZ48" si="42">AY35/AV35</f>
        <v>0.99898674322384529</v>
      </c>
      <c r="BA35" s="8">
        <v>11921</v>
      </c>
      <c r="BB35" s="7">
        <v>9883</v>
      </c>
      <c r="BC35" s="4">
        <f t="shared" ref="BC35:BC48" si="43">BD35-BB35</f>
        <v>1973</v>
      </c>
      <c r="BD35" s="14">
        <v>11856</v>
      </c>
      <c r="BE35" s="5">
        <f t="shared" ref="BE35:BE48" si="44">BD35/BA35</f>
        <v>0.99454743729552886</v>
      </c>
      <c r="BF35" s="8">
        <v>14735</v>
      </c>
      <c r="BG35" s="7">
        <v>11744</v>
      </c>
      <c r="BH35" s="4">
        <f t="shared" ref="BH35:BH48" si="45">BI35-BG35</f>
        <v>2953</v>
      </c>
      <c r="BI35" s="14">
        <v>14697</v>
      </c>
      <c r="BJ35" s="5">
        <f t="shared" ref="BJ35:BJ48" si="46">BI35/BF35</f>
        <v>0.99742110620970481</v>
      </c>
    </row>
    <row r="36" spans="1:62" x14ac:dyDescent="0.3">
      <c r="A36" s="19">
        <v>27</v>
      </c>
      <c r="B36" s="3" t="s">
        <v>32</v>
      </c>
      <c r="C36" s="8">
        <v>836037</v>
      </c>
      <c r="D36" s="7">
        <v>659178</v>
      </c>
      <c r="E36" s="4">
        <f t="shared" si="0"/>
        <v>175070</v>
      </c>
      <c r="F36" s="14">
        <v>834248</v>
      </c>
      <c r="G36" s="5">
        <f t="shared" si="24"/>
        <v>0.99786014255349942</v>
      </c>
      <c r="H36" s="8">
        <v>854298</v>
      </c>
      <c r="I36" s="7">
        <v>674005</v>
      </c>
      <c r="J36" s="4">
        <f t="shared" si="25"/>
        <v>170055</v>
      </c>
      <c r="K36" s="14">
        <v>844060</v>
      </c>
      <c r="L36" s="5">
        <f t="shared" si="26"/>
        <v>0.98801589141025736</v>
      </c>
      <c r="M36" s="8">
        <v>1510524</v>
      </c>
      <c r="N36" s="7">
        <v>1186998</v>
      </c>
      <c r="O36" s="4">
        <f t="shared" si="27"/>
        <v>313998</v>
      </c>
      <c r="P36" s="14">
        <v>1500996</v>
      </c>
      <c r="Q36" s="5">
        <f t="shared" si="28"/>
        <v>0.99369225513795212</v>
      </c>
      <c r="R36" s="8">
        <v>845008</v>
      </c>
      <c r="S36" s="7">
        <v>662065</v>
      </c>
      <c r="T36" s="4">
        <f t="shared" si="29"/>
        <v>178624</v>
      </c>
      <c r="U36" s="14">
        <v>840689</v>
      </c>
      <c r="V36" s="5">
        <f t="shared" si="30"/>
        <v>0.99488880578645411</v>
      </c>
      <c r="W36" s="8">
        <v>865288</v>
      </c>
      <c r="X36" s="7">
        <v>662910</v>
      </c>
      <c r="Y36" s="4">
        <f t="shared" si="31"/>
        <v>186873</v>
      </c>
      <c r="Z36" s="14">
        <v>849783</v>
      </c>
      <c r="AA36" s="5">
        <f t="shared" si="32"/>
        <v>0.98208111056665526</v>
      </c>
      <c r="AB36" s="8">
        <v>1522408</v>
      </c>
      <c r="AC36" s="7">
        <v>1187346</v>
      </c>
      <c r="AD36" s="4">
        <f t="shared" si="33"/>
        <v>327760</v>
      </c>
      <c r="AE36" s="14">
        <v>1515106</v>
      </c>
      <c r="AF36" s="5">
        <f t="shared" si="34"/>
        <v>0.99520365105806063</v>
      </c>
      <c r="AG36" s="8">
        <v>860909</v>
      </c>
      <c r="AH36" s="7">
        <v>660435</v>
      </c>
      <c r="AI36" s="4">
        <f t="shared" si="35"/>
        <v>196494</v>
      </c>
      <c r="AJ36" s="14">
        <v>856929</v>
      </c>
      <c r="AK36" s="5">
        <f t="shared" si="36"/>
        <v>0.9953769794484667</v>
      </c>
      <c r="AL36" s="8">
        <v>879793</v>
      </c>
      <c r="AM36" s="7">
        <v>704595</v>
      </c>
      <c r="AN36" s="4">
        <f t="shared" si="37"/>
        <v>162061</v>
      </c>
      <c r="AO36" s="14">
        <v>866656</v>
      </c>
      <c r="AP36" s="5">
        <f t="shared" si="38"/>
        <v>0.9850680785139232</v>
      </c>
      <c r="AQ36" s="8">
        <v>1539776</v>
      </c>
      <c r="AR36" s="7">
        <v>1236611</v>
      </c>
      <c r="AS36" s="4">
        <f t="shared" si="39"/>
        <v>300093</v>
      </c>
      <c r="AT36" s="14">
        <v>1536704</v>
      </c>
      <c r="AU36" s="5">
        <f t="shared" si="40"/>
        <v>0.99800490460950164</v>
      </c>
      <c r="AV36" s="8">
        <v>875330</v>
      </c>
      <c r="AW36" s="7">
        <v>712837</v>
      </c>
      <c r="AX36" s="4">
        <f t="shared" si="41"/>
        <v>161014</v>
      </c>
      <c r="AY36" s="14">
        <v>873851</v>
      </c>
      <c r="AZ36" s="5">
        <f t="shared" si="42"/>
        <v>0.99831035152456793</v>
      </c>
      <c r="BA36" s="8">
        <v>893595</v>
      </c>
      <c r="BB36" s="7">
        <v>732267</v>
      </c>
      <c r="BC36" s="4">
        <f t="shared" si="43"/>
        <v>151822</v>
      </c>
      <c r="BD36" s="14">
        <v>884089</v>
      </c>
      <c r="BE36" s="5">
        <f t="shared" si="44"/>
        <v>0.98936207118437325</v>
      </c>
      <c r="BF36" s="8">
        <v>1566403</v>
      </c>
      <c r="BG36" s="7">
        <v>1191797</v>
      </c>
      <c r="BH36" s="4">
        <f t="shared" si="45"/>
        <v>365351</v>
      </c>
      <c r="BI36" s="14">
        <v>1557148</v>
      </c>
      <c r="BJ36" s="5">
        <f t="shared" si="46"/>
        <v>0.99409155881340883</v>
      </c>
    </row>
    <row r="37" spans="1:62" x14ac:dyDescent="0.3">
      <c r="A37" s="19">
        <v>29</v>
      </c>
      <c r="B37" s="3" t="s">
        <v>33</v>
      </c>
      <c r="C37" s="8">
        <v>675549</v>
      </c>
      <c r="D37" s="7">
        <v>536439</v>
      </c>
      <c r="E37" s="4">
        <f t="shared" si="0"/>
        <v>131201</v>
      </c>
      <c r="F37" s="14">
        <v>667640</v>
      </c>
      <c r="G37" s="5">
        <f t="shared" si="24"/>
        <v>0.98829248507510192</v>
      </c>
      <c r="H37" s="8">
        <v>681828</v>
      </c>
      <c r="I37" s="7">
        <v>548665</v>
      </c>
      <c r="J37" s="4">
        <f t="shared" si="25"/>
        <v>121659</v>
      </c>
      <c r="K37" s="14">
        <v>670324</v>
      </c>
      <c r="L37" s="5">
        <f t="shared" si="26"/>
        <v>0.98312770962764806</v>
      </c>
      <c r="M37" s="8">
        <v>856106</v>
      </c>
      <c r="N37" s="7">
        <v>692206</v>
      </c>
      <c r="O37" s="4">
        <f t="shared" si="27"/>
        <v>152394</v>
      </c>
      <c r="P37" s="14">
        <v>844600</v>
      </c>
      <c r="Q37" s="5">
        <f t="shared" si="28"/>
        <v>0.98656007550466884</v>
      </c>
      <c r="R37" s="8">
        <v>679636</v>
      </c>
      <c r="S37" s="7">
        <v>541963</v>
      </c>
      <c r="T37" s="4">
        <f t="shared" si="29"/>
        <v>129381</v>
      </c>
      <c r="U37" s="14">
        <v>671344</v>
      </c>
      <c r="V37" s="5">
        <f t="shared" si="30"/>
        <v>0.98779935141752351</v>
      </c>
      <c r="W37" s="8">
        <v>687189</v>
      </c>
      <c r="X37" s="7">
        <v>545134</v>
      </c>
      <c r="Y37" s="4">
        <f t="shared" si="31"/>
        <v>131004</v>
      </c>
      <c r="Z37" s="14">
        <v>676138</v>
      </c>
      <c r="AA37" s="5">
        <f t="shared" si="32"/>
        <v>0.98391854351568486</v>
      </c>
      <c r="AB37" s="8">
        <v>863912</v>
      </c>
      <c r="AC37" s="7">
        <v>690123</v>
      </c>
      <c r="AD37" s="4">
        <f t="shared" si="33"/>
        <v>163661</v>
      </c>
      <c r="AE37" s="14">
        <v>853784</v>
      </c>
      <c r="AF37" s="5">
        <f t="shared" si="34"/>
        <v>0.98827658372612026</v>
      </c>
      <c r="AG37" s="8">
        <v>690763</v>
      </c>
      <c r="AH37" s="7">
        <v>550567</v>
      </c>
      <c r="AI37" s="4">
        <f t="shared" si="35"/>
        <v>132026</v>
      </c>
      <c r="AJ37" s="14">
        <v>682593</v>
      </c>
      <c r="AK37" s="5">
        <f t="shared" si="36"/>
        <v>0.98817249910606098</v>
      </c>
      <c r="AL37" s="8">
        <v>697437</v>
      </c>
      <c r="AM37" s="7">
        <v>571971</v>
      </c>
      <c r="AN37" s="4">
        <f t="shared" si="37"/>
        <v>116230</v>
      </c>
      <c r="AO37" s="14">
        <v>688201</v>
      </c>
      <c r="AP37" s="5">
        <f t="shared" si="38"/>
        <v>0.98675722681761935</v>
      </c>
      <c r="AQ37" s="8">
        <v>873380</v>
      </c>
      <c r="AR37" s="7">
        <v>717289</v>
      </c>
      <c r="AS37" s="4">
        <f t="shared" si="39"/>
        <v>150077</v>
      </c>
      <c r="AT37" s="14">
        <v>867366</v>
      </c>
      <c r="AU37" s="5">
        <f t="shared" si="40"/>
        <v>0.993114108406421</v>
      </c>
      <c r="AV37" s="8">
        <v>700086</v>
      </c>
      <c r="AW37" s="7">
        <v>577412</v>
      </c>
      <c r="AX37" s="4">
        <f t="shared" si="41"/>
        <v>117149</v>
      </c>
      <c r="AY37" s="14">
        <v>694561</v>
      </c>
      <c r="AZ37" s="5">
        <f t="shared" si="42"/>
        <v>0.99210811243190122</v>
      </c>
      <c r="BA37" s="8">
        <v>708485</v>
      </c>
      <c r="BB37" s="7">
        <v>585872</v>
      </c>
      <c r="BC37" s="4">
        <f t="shared" si="43"/>
        <v>113202</v>
      </c>
      <c r="BD37" s="14">
        <v>699074</v>
      </c>
      <c r="BE37" s="5">
        <f t="shared" si="44"/>
        <v>0.98671672653620046</v>
      </c>
      <c r="BF37" s="8">
        <v>887779</v>
      </c>
      <c r="BG37" s="7">
        <v>689835</v>
      </c>
      <c r="BH37" s="4">
        <f t="shared" si="45"/>
        <v>186699</v>
      </c>
      <c r="BI37" s="14">
        <v>876534</v>
      </c>
      <c r="BJ37" s="5">
        <f t="shared" si="46"/>
        <v>0.98733355936556277</v>
      </c>
    </row>
    <row r="38" spans="1:62" x14ac:dyDescent="0.3">
      <c r="A38" s="19">
        <v>30</v>
      </c>
      <c r="B38" s="3" t="s">
        <v>34</v>
      </c>
      <c r="C38" s="8">
        <v>22737</v>
      </c>
      <c r="D38" s="7">
        <v>16834</v>
      </c>
      <c r="E38" s="4">
        <f t="shared" si="0"/>
        <v>6081</v>
      </c>
      <c r="F38" s="14">
        <v>22915</v>
      </c>
      <c r="G38" s="5">
        <f t="shared" si="24"/>
        <v>1.0078286493380832</v>
      </c>
      <c r="H38" s="8">
        <v>23122</v>
      </c>
      <c r="I38" s="7">
        <v>17364</v>
      </c>
      <c r="J38" s="4">
        <f t="shared" si="25"/>
        <v>5825</v>
      </c>
      <c r="K38" s="14">
        <v>23189</v>
      </c>
      <c r="L38" s="5">
        <f t="shared" si="26"/>
        <v>1.0028976732116599</v>
      </c>
      <c r="M38" s="8">
        <v>35582</v>
      </c>
      <c r="N38" s="7">
        <v>26622</v>
      </c>
      <c r="O38" s="4">
        <f t="shared" si="27"/>
        <v>9160</v>
      </c>
      <c r="P38" s="14">
        <v>35782</v>
      </c>
      <c r="Q38" s="5">
        <f t="shared" si="28"/>
        <v>1.0056208195154854</v>
      </c>
      <c r="R38" s="8">
        <v>22911</v>
      </c>
      <c r="S38" s="7">
        <v>17030</v>
      </c>
      <c r="T38" s="4">
        <f t="shared" si="29"/>
        <v>6111</v>
      </c>
      <c r="U38" s="14">
        <v>23141</v>
      </c>
      <c r="V38" s="5">
        <f t="shared" si="30"/>
        <v>1.0100388459691851</v>
      </c>
      <c r="W38" s="8">
        <v>23450</v>
      </c>
      <c r="X38" s="7">
        <v>17022</v>
      </c>
      <c r="Y38" s="4">
        <f t="shared" si="31"/>
        <v>6343</v>
      </c>
      <c r="Z38" s="14">
        <v>23365</v>
      </c>
      <c r="AA38" s="5">
        <f t="shared" si="32"/>
        <v>0.99637526652452024</v>
      </c>
      <c r="AB38" s="8">
        <v>35915</v>
      </c>
      <c r="AC38" s="7">
        <v>27137</v>
      </c>
      <c r="AD38" s="4">
        <f t="shared" si="33"/>
        <v>9133</v>
      </c>
      <c r="AE38" s="14">
        <v>36270</v>
      </c>
      <c r="AF38" s="5">
        <f t="shared" si="34"/>
        <v>1.0098844493944035</v>
      </c>
      <c r="AG38" s="8">
        <v>23414</v>
      </c>
      <c r="AH38" s="7">
        <v>17672</v>
      </c>
      <c r="AI38" s="4">
        <f t="shared" si="35"/>
        <v>5995</v>
      </c>
      <c r="AJ38" s="14">
        <v>23667</v>
      </c>
      <c r="AK38" s="5">
        <f t="shared" si="36"/>
        <v>1.0108055009823183</v>
      </c>
      <c r="AL38" s="8">
        <v>23927</v>
      </c>
      <c r="AM38" s="7">
        <v>18045</v>
      </c>
      <c r="AN38" s="4">
        <f t="shared" si="37"/>
        <v>5875</v>
      </c>
      <c r="AO38" s="14">
        <v>23920</v>
      </c>
      <c r="AP38" s="5">
        <f t="shared" si="38"/>
        <v>0.99970744347389973</v>
      </c>
      <c r="AQ38" s="8">
        <v>36551</v>
      </c>
      <c r="AR38" s="7">
        <v>28314</v>
      </c>
      <c r="AS38" s="4">
        <f t="shared" si="39"/>
        <v>8726</v>
      </c>
      <c r="AT38" s="14">
        <v>37040</v>
      </c>
      <c r="AU38" s="5">
        <f t="shared" si="40"/>
        <v>1.0133785669338733</v>
      </c>
      <c r="AV38" s="8">
        <v>23833</v>
      </c>
      <c r="AW38" s="7">
        <v>18593</v>
      </c>
      <c r="AX38" s="4">
        <f t="shared" si="41"/>
        <v>5579</v>
      </c>
      <c r="AY38" s="14">
        <v>24172</v>
      </c>
      <c r="AZ38" s="5">
        <f t="shared" si="42"/>
        <v>1.0142239751604918</v>
      </c>
      <c r="BA38" s="8">
        <v>24292</v>
      </c>
      <c r="BB38" s="7">
        <v>19106</v>
      </c>
      <c r="BC38" s="4">
        <f t="shared" si="43"/>
        <v>5307</v>
      </c>
      <c r="BD38" s="14">
        <v>24413</v>
      </c>
      <c r="BE38" s="5">
        <f t="shared" si="44"/>
        <v>1.004981063724683</v>
      </c>
      <c r="BF38" s="8">
        <v>37393</v>
      </c>
      <c r="BG38" s="7">
        <v>27236</v>
      </c>
      <c r="BH38" s="4">
        <f t="shared" si="45"/>
        <v>10303</v>
      </c>
      <c r="BI38" s="14">
        <v>37539</v>
      </c>
      <c r="BJ38" s="5">
        <f t="shared" si="46"/>
        <v>1.0039044740994303</v>
      </c>
    </row>
    <row r="39" spans="1:62" x14ac:dyDescent="0.3">
      <c r="A39" s="19">
        <v>31</v>
      </c>
      <c r="B39" s="3" t="s">
        <v>35</v>
      </c>
      <c r="C39" s="8">
        <v>184</v>
      </c>
      <c r="D39" s="7">
        <v>127</v>
      </c>
      <c r="E39" s="4">
        <f t="shared" si="0"/>
        <v>59</v>
      </c>
      <c r="F39" s="14">
        <v>186</v>
      </c>
      <c r="G39" s="5">
        <f t="shared" si="24"/>
        <v>1.0108695652173914</v>
      </c>
      <c r="H39" s="8">
        <v>185</v>
      </c>
      <c r="I39" s="7">
        <v>131</v>
      </c>
      <c r="J39" s="4">
        <f t="shared" si="25"/>
        <v>57</v>
      </c>
      <c r="K39" s="14">
        <v>188</v>
      </c>
      <c r="L39" s="5">
        <f t="shared" si="26"/>
        <v>1.0162162162162163</v>
      </c>
      <c r="M39" s="8">
        <v>225</v>
      </c>
      <c r="N39" s="7">
        <v>171</v>
      </c>
      <c r="O39" s="4">
        <f t="shared" si="27"/>
        <v>57</v>
      </c>
      <c r="P39" s="14">
        <v>228</v>
      </c>
      <c r="Q39" s="5">
        <f t="shared" si="28"/>
        <v>1.0133333333333334</v>
      </c>
      <c r="R39" s="8">
        <v>185</v>
      </c>
      <c r="S39" s="7">
        <v>139</v>
      </c>
      <c r="T39" s="4">
        <f t="shared" si="29"/>
        <v>50</v>
      </c>
      <c r="U39" s="14">
        <v>189</v>
      </c>
      <c r="V39" s="5">
        <f t="shared" si="30"/>
        <v>1.0216216216216216</v>
      </c>
      <c r="W39" s="8">
        <v>190</v>
      </c>
      <c r="X39" s="7">
        <v>139</v>
      </c>
      <c r="Y39" s="4">
        <f t="shared" si="31"/>
        <v>53</v>
      </c>
      <c r="Z39" s="14">
        <v>192</v>
      </c>
      <c r="AA39" s="5">
        <f t="shared" si="32"/>
        <v>1.0105263157894737</v>
      </c>
      <c r="AB39" s="8">
        <v>229</v>
      </c>
      <c r="AC39" s="7">
        <v>176</v>
      </c>
      <c r="AD39" s="4">
        <f t="shared" si="33"/>
        <v>55</v>
      </c>
      <c r="AE39" s="14">
        <v>231</v>
      </c>
      <c r="AF39" s="5">
        <f t="shared" si="34"/>
        <v>1.0087336244541485</v>
      </c>
      <c r="AG39" s="8">
        <v>192</v>
      </c>
      <c r="AH39" s="7">
        <v>136</v>
      </c>
      <c r="AI39" s="4">
        <f t="shared" si="35"/>
        <v>52</v>
      </c>
      <c r="AJ39" s="14">
        <v>188</v>
      </c>
      <c r="AK39" s="5">
        <f t="shared" si="36"/>
        <v>0.97916666666666663</v>
      </c>
      <c r="AL39" s="8">
        <v>193</v>
      </c>
      <c r="AM39" s="7">
        <v>148</v>
      </c>
      <c r="AN39" s="4">
        <f t="shared" si="37"/>
        <v>46</v>
      </c>
      <c r="AO39" s="14">
        <v>194</v>
      </c>
      <c r="AP39" s="5">
        <f t="shared" si="38"/>
        <v>1.0051813471502591</v>
      </c>
      <c r="AQ39" s="8">
        <v>241</v>
      </c>
      <c r="AR39" s="7">
        <v>183</v>
      </c>
      <c r="AS39" s="4">
        <f t="shared" si="39"/>
        <v>58</v>
      </c>
      <c r="AT39" s="14">
        <v>241</v>
      </c>
      <c r="AU39" s="5">
        <f t="shared" si="40"/>
        <v>1</v>
      </c>
      <c r="AV39" s="8">
        <v>200</v>
      </c>
      <c r="AW39" s="7">
        <v>160</v>
      </c>
      <c r="AX39" s="4">
        <f t="shared" si="41"/>
        <v>39</v>
      </c>
      <c r="AY39" s="14">
        <v>199</v>
      </c>
      <c r="AZ39" s="5">
        <f t="shared" si="42"/>
        <v>0.995</v>
      </c>
      <c r="BA39" s="8">
        <v>207</v>
      </c>
      <c r="BB39" s="7">
        <v>165</v>
      </c>
      <c r="BC39" s="4">
        <f t="shared" si="43"/>
        <v>38</v>
      </c>
      <c r="BD39" s="14">
        <v>203</v>
      </c>
      <c r="BE39" s="5">
        <f t="shared" si="44"/>
        <v>0.98067632850241548</v>
      </c>
      <c r="BF39" s="8">
        <v>257</v>
      </c>
      <c r="BG39" s="7">
        <v>188</v>
      </c>
      <c r="BH39" s="4">
        <f t="shared" si="45"/>
        <v>63</v>
      </c>
      <c r="BI39" s="14">
        <v>251</v>
      </c>
      <c r="BJ39" s="5">
        <f t="shared" si="46"/>
        <v>0.97665369649805445</v>
      </c>
    </row>
    <row r="40" spans="1:62" x14ac:dyDescent="0.3">
      <c r="A40" s="19">
        <v>32</v>
      </c>
      <c r="B40" s="3" t="s">
        <v>36</v>
      </c>
      <c r="C40" s="8">
        <v>277722</v>
      </c>
      <c r="D40" s="7">
        <v>217117</v>
      </c>
      <c r="E40" s="4">
        <f t="shared" si="0"/>
        <v>58593</v>
      </c>
      <c r="F40" s="14">
        <v>275710</v>
      </c>
      <c r="G40" s="5">
        <f t="shared" si="24"/>
        <v>0.99275534527333087</v>
      </c>
      <c r="H40" s="8">
        <v>279588</v>
      </c>
      <c r="I40" s="7">
        <v>220747</v>
      </c>
      <c r="J40" s="4">
        <f t="shared" si="25"/>
        <v>56625</v>
      </c>
      <c r="K40" s="14">
        <v>277372</v>
      </c>
      <c r="L40" s="5">
        <f t="shared" si="26"/>
        <v>0.99207405181910524</v>
      </c>
      <c r="M40" s="8">
        <v>339205</v>
      </c>
      <c r="N40" s="7">
        <v>264859</v>
      </c>
      <c r="O40" s="4">
        <f t="shared" si="27"/>
        <v>71976</v>
      </c>
      <c r="P40" s="14">
        <v>336835</v>
      </c>
      <c r="Q40" s="5">
        <f t="shared" si="28"/>
        <v>0.99301307468934719</v>
      </c>
      <c r="R40" s="8">
        <v>280405</v>
      </c>
      <c r="S40" s="7">
        <v>216873</v>
      </c>
      <c r="T40" s="4">
        <f t="shared" si="29"/>
        <v>61857</v>
      </c>
      <c r="U40" s="14">
        <v>278730</v>
      </c>
      <c r="V40" s="5">
        <f t="shared" si="30"/>
        <v>0.9940264973877071</v>
      </c>
      <c r="W40" s="8">
        <v>283529</v>
      </c>
      <c r="X40" s="7">
        <v>223158</v>
      </c>
      <c r="Y40" s="4">
        <f t="shared" si="31"/>
        <v>57467</v>
      </c>
      <c r="Z40" s="14">
        <v>280625</v>
      </c>
      <c r="AA40" s="5">
        <f t="shared" si="32"/>
        <v>0.98975766147378219</v>
      </c>
      <c r="AB40" s="8">
        <v>342699</v>
      </c>
      <c r="AC40" s="7">
        <v>267439</v>
      </c>
      <c r="AD40" s="4">
        <f t="shared" si="33"/>
        <v>73660</v>
      </c>
      <c r="AE40" s="14">
        <v>341099</v>
      </c>
      <c r="AF40" s="5">
        <f t="shared" si="34"/>
        <v>0.9953311798400345</v>
      </c>
      <c r="AG40" s="8">
        <v>284836</v>
      </c>
      <c r="AH40" s="7">
        <v>222092</v>
      </c>
      <c r="AI40" s="4">
        <f t="shared" si="35"/>
        <v>61254</v>
      </c>
      <c r="AJ40" s="14">
        <v>283346</v>
      </c>
      <c r="AK40" s="5">
        <f t="shared" si="36"/>
        <v>0.99476891965903191</v>
      </c>
      <c r="AL40" s="8">
        <v>287465</v>
      </c>
      <c r="AM40" s="7">
        <v>227867</v>
      </c>
      <c r="AN40" s="4">
        <f t="shared" si="37"/>
        <v>57570</v>
      </c>
      <c r="AO40" s="14">
        <v>285437</v>
      </c>
      <c r="AP40" s="5">
        <f t="shared" si="38"/>
        <v>0.99294522811472696</v>
      </c>
      <c r="AQ40" s="8">
        <v>346543</v>
      </c>
      <c r="AR40" s="7">
        <v>276490</v>
      </c>
      <c r="AS40" s="4">
        <f t="shared" si="39"/>
        <v>69364</v>
      </c>
      <c r="AT40" s="14">
        <v>345854</v>
      </c>
      <c r="AU40" s="5">
        <f t="shared" si="40"/>
        <v>0.99801179074458291</v>
      </c>
      <c r="AV40" s="8">
        <v>288959</v>
      </c>
      <c r="AW40" s="7">
        <v>227306</v>
      </c>
      <c r="AX40" s="4">
        <f t="shared" si="41"/>
        <v>60366</v>
      </c>
      <c r="AY40" s="14">
        <v>287672</v>
      </c>
      <c r="AZ40" s="5">
        <f t="shared" si="42"/>
        <v>0.99554608093189689</v>
      </c>
      <c r="BA40" s="8">
        <v>291465</v>
      </c>
      <c r="BB40" s="7">
        <v>232847</v>
      </c>
      <c r="BC40" s="4">
        <f t="shared" si="43"/>
        <v>55979</v>
      </c>
      <c r="BD40" s="14">
        <v>288826</v>
      </c>
      <c r="BE40" s="5">
        <f t="shared" si="44"/>
        <v>0.990945739625684</v>
      </c>
      <c r="BF40" s="8">
        <v>351557</v>
      </c>
      <c r="BG40" s="7">
        <v>263592</v>
      </c>
      <c r="BH40" s="4">
        <f t="shared" si="45"/>
        <v>85164</v>
      </c>
      <c r="BI40" s="14">
        <v>348756</v>
      </c>
      <c r="BJ40" s="5">
        <f t="shared" si="46"/>
        <v>0.99203258646535275</v>
      </c>
    </row>
    <row r="41" spans="1:62" x14ac:dyDescent="0.3">
      <c r="A41" s="19">
        <v>33</v>
      </c>
      <c r="B41" s="3" t="s">
        <v>37</v>
      </c>
      <c r="C41" s="8">
        <v>912114</v>
      </c>
      <c r="D41" s="7">
        <v>761287</v>
      </c>
      <c r="E41" s="4">
        <f t="shared" si="0"/>
        <v>143406</v>
      </c>
      <c r="F41" s="14">
        <v>904693</v>
      </c>
      <c r="G41" s="5">
        <f t="shared" si="24"/>
        <v>0.99186395560204099</v>
      </c>
      <c r="H41" s="8">
        <v>920596</v>
      </c>
      <c r="I41" s="7">
        <v>770694</v>
      </c>
      <c r="J41" s="4">
        <f t="shared" si="25"/>
        <v>139029</v>
      </c>
      <c r="K41" s="14">
        <v>909723</v>
      </c>
      <c r="L41" s="5">
        <f t="shared" si="26"/>
        <v>0.98818917310090415</v>
      </c>
      <c r="M41" s="8">
        <v>1028922</v>
      </c>
      <c r="N41" s="7">
        <v>860137</v>
      </c>
      <c r="O41" s="4">
        <f t="shared" si="27"/>
        <v>156600</v>
      </c>
      <c r="P41" s="14">
        <v>1016737</v>
      </c>
      <c r="Q41" s="5">
        <f t="shared" si="28"/>
        <v>0.98815750853806217</v>
      </c>
      <c r="R41" s="8">
        <v>924082</v>
      </c>
      <c r="S41" s="7">
        <v>756869</v>
      </c>
      <c r="T41" s="4">
        <f t="shared" si="29"/>
        <v>157530</v>
      </c>
      <c r="U41" s="14">
        <v>914399</v>
      </c>
      <c r="V41" s="5">
        <f t="shared" si="30"/>
        <v>0.98952149268138545</v>
      </c>
      <c r="W41" s="8">
        <v>929406</v>
      </c>
      <c r="X41" s="7">
        <v>771903</v>
      </c>
      <c r="Y41" s="4">
        <f t="shared" si="31"/>
        <v>146273</v>
      </c>
      <c r="Z41" s="14">
        <v>918176</v>
      </c>
      <c r="AA41" s="5">
        <f t="shared" si="32"/>
        <v>0.98791701366248985</v>
      </c>
      <c r="AB41" s="8">
        <v>1036539</v>
      </c>
      <c r="AC41" s="7">
        <v>859358</v>
      </c>
      <c r="AD41" s="4">
        <f t="shared" si="33"/>
        <v>166537</v>
      </c>
      <c r="AE41" s="14">
        <v>1025895</v>
      </c>
      <c r="AF41" s="5">
        <f t="shared" si="34"/>
        <v>0.98973121127135588</v>
      </c>
      <c r="AG41" s="8">
        <v>935526</v>
      </c>
      <c r="AH41" s="7">
        <v>774463</v>
      </c>
      <c r="AI41" s="4">
        <f t="shared" si="35"/>
        <v>150524</v>
      </c>
      <c r="AJ41" s="14">
        <v>924987</v>
      </c>
      <c r="AK41" s="5">
        <f t="shared" si="36"/>
        <v>0.98873467974166407</v>
      </c>
      <c r="AL41" s="8">
        <v>940174</v>
      </c>
      <c r="AM41" s="7">
        <v>786206</v>
      </c>
      <c r="AN41" s="4">
        <f t="shared" si="37"/>
        <v>143255</v>
      </c>
      <c r="AO41" s="14">
        <v>929461</v>
      </c>
      <c r="AP41" s="5">
        <f t="shared" si="38"/>
        <v>0.98860530072093034</v>
      </c>
      <c r="AQ41" s="8">
        <v>1046219</v>
      </c>
      <c r="AR41" s="7">
        <v>871887</v>
      </c>
      <c r="AS41" s="4">
        <f t="shared" si="39"/>
        <v>165660</v>
      </c>
      <c r="AT41" s="14">
        <v>1037547</v>
      </c>
      <c r="AU41" s="5">
        <f t="shared" si="40"/>
        <v>0.99171110446283239</v>
      </c>
      <c r="AV41" s="8">
        <v>945246</v>
      </c>
      <c r="AW41" s="7">
        <v>797710</v>
      </c>
      <c r="AX41" s="4">
        <f t="shared" si="41"/>
        <v>138790</v>
      </c>
      <c r="AY41" s="14">
        <v>936500</v>
      </c>
      <c r="AZ41" s="5">
        <f t="shared" si="42"/>
        <v>0.99074738216295022</v>
      </c>
      <c r="BA41" s="8">
        <v>950318</v>
      </c>
      <c r="BB41" s="7">
        <v>805805</v>
      </c>
      <c r="BC41" s="4">
        <f t="shared" si="43"/>
        <v>134292</v>
      </c>
      <c r="BD41" s="14">
        <v>940097</v>
      </c>
      <c r="BE41" s="5">
        <f t="shared" si="44"/>
        <v>0.98924465284252217</v>
      </c>
      <c r="BF41" s="8">
        <v>1056723</v>
      </c>
      <c r="BG41" s="7">
        <v>847976</v>
      </c>
      <c r="BH41" s="4">
        <f t="shared" si="45"/>
        <v>199533</v>
      </c>
      <c r="BI41" s="14">
        <v>1047509</v>
      </c>
      <c r="BJ41" s="5">
        <f t="shared" si="46"/>
        <v>0.99128059103473665</v>
      </c>
    </row>
    <row r="42" spans="1:62" x14ac:dyDescent="0.3">
      <c r="A42" s="19">
        <v>34</v>
      </c>
      <c r="B42" s="3" t="s">
        <v>38</v>
      </c>
      <c r="C42" s="8">
        <v>18445</v>
      </c>
      <c r="D42" s="7">
        <v>14555</v>
      </c>
      <c r="E42" s="4">
        <f t="shared" si="0"/>
        <v>3674</v>
      </c>
      <c r="F42" s="14">
        <v>18229</v>
      </c>
      <c r="G42" s="5">
        <f t="shared" si="24"/>
        <v>0.98828950935212789</v>
      </c>
      <c r="H42" s="8">
        <v>18615</v>
      </c>
      <c r="I42" s="7">
        <v>14675</v>
      </c>
      <c r="J42" s="4">
        <f t="shared" si="25"/>
        <v>3661</v>
      </c>
      <c r="K42" s="14">
        <v>18336</v>
      </c>
      <c r="L42" s="5">
        <f t="shared" si="26"/>
        <v>0.98501208702659149</v>
      </c>
      <c r="M42" s="8">
        <v>20702</v>
      </c>
      <c r="N42" s="7">
        <v>16283</v>
      </c>
      <c r="O42" s="4">
        <f t="shared" si="27"/>
        <v>4078</v>
      </c>
      <c r="P42" s="14">
        <v>20361</v>
      </c>
      <c r="Q42" s="5">
        <f t="shared" si="28"/>
        <v>0.98352816153028688</v>
      </c>
      <c r="R42" s="8">
        <v>18543</v>
      </c>
      <c r="S42" s="7">
        <v>14217</v>
      </c>
      <c r="T42" s="4">
        <f t="shared" si="29"/>
        <v>4116</v>
      </c>
      <c r="U42" s="14">
        <v>18333</v>
      </c>
      <c r="V42" s="5">
        <f t="shared" si="30"/>
        <v>0.98867497168742924</v>
      </c>
      <c r="W42" s="8">
        <v>18720</v>
      </c>
      <c r="X42" s="7">
        <v>14496</v>
      </c>
      <c r="Y42" s="4">
        <f t="shared" si="31"/>
        <v>3883</v>
      </c>
      <c r="Z42" s="14">
        <v>18379</v>
      </c>
      <c r="AA42" s="5">
        <f t="shared" si="32"/>
        <v>0.98178418803418799</v>
      </c>
      <c r="AB42" s="8">
        <v>20718</v>
      </c>
      <c r="AC42" s="7">
        <v>15953</v>
      </c>
      <c r="AD42" s="4">
        <f t="shared" si="33"/>
        <v>4361</v>
      </c>
      <c r="AE42" s="14">
        <v>20314</v>
      </c>
      <c r="AF42" s="5">
        <f t="shared" si="34"/>
        <v>0.98050004826720727</v>
      </c>
      <c r="AG42" s="8">
        <v>18665</v>
      </c>
      <c r="AH42" s="7">
        <v>14564</v>
      </c>
      <c r="AI42" s="4">
        <f t="shared" si="35"/>
        <v>3827</v>
      </c>
      <c r="AJ42" s="14">
        <v>18391</v>
      </c>
      <c r="AK42" s="5">
        <f t="shared" si="36"/>
        <v>0.98532011786766671</v>
      </c>
      <c r="AL42" s="8">
        <v>18792</v>
      </c>
      <c r="AM42" s="7">
        <v>15082</v>
      </c>
      <c r="AN42" s="4">
        <f t="shared" si="37"/>
        <v>3432</v>
      </c>
      <c r="AO42" s="14">
        <v>18514</v>
      </c>
      <c r="AP42" s="5">
        <f t="shared" si="38"/>
        <v>0.98520647083865476</v>
      </c>
      <c r="AQ42" s="8">
        <v>20796</v>
      </c>
      <c r="AR42" s="7">
        <v>16318</v>
      </c>
      <c r="AS42" s="4">
        <f t="shared" si="39"/>
        <v>4236</v>
      </c>
      <c r="AT42" s="14">
        <v>20554</v>
      </c>
      <c r="AU42" s="5">
        <f t="shared" si="40"/>
        <v>0.98836314675899206</v>
      </c>
      <c r="AV42" s="8">
        <v>18829</v>
      </c>
      <c r="AW42" s="7">
        <v>14915</v>
      </c>
      <c r="AX42" s="4">
        <f t="shared" si="41"/>
        <v>3675</v>
      </c>
      <c r="AY42" s="14">
        <v>18590</v>
      </c>
      <c r="AZ42" s="5">
        <f t="shared" si="42"/>
        <v>0.98730681395719366</v>
      </c>
      <c r="BA42" s="8">
        <v>18938</v>
      </c>
      <c r="BB42" s="7">
        <v>15182</v>
      </c>
      <c r="BC42" s="4">
        <f t="shared" si="43"/>
        <v>3514</v>
      </c>
      <c r="BD42" s="14">
        <v>18696</v>
      </c>
      <c r="BE42" s="5">
        <f t="shared" si="44"/>
        <v>0.9872214594994192</v>
      </c>
      <c r="BF42" s="8">
        <v>21042</v>
      </c>
      <c r="BG42" s="7">
        <v>15930</v>
      </c>
      <c r="BH42" s="4">
        <f t="shared" si="45"/>
        <v>4849</v>
      </c>
      <c r="BI42" s="14">
        <v>20779</v>
      </c>
      <c r="BJ42" s="5">
        <f t="shared" si="46"/>
        <v>0.98750118809999055</v>
      </c>
    </row>
    <row r="43" spans="1:62" x14ac:dyDescent="0.3">
      <c r="A43" s="19">
        <v>35</v>
      </c>
      <c r="B43" s="3" t="s">
        <v>39</v>
      </c>
      <c r="C43" s="8">
        <v>3455</v>
      </c>
      <c r="D43" s="7">
        <v>2297</v>
      </c>
      <c r="E43" s="4">
        <f t="shared" si="0"/>
        <v>1156</v>
      </c>
      <c r="F43" s="14">
        <v>3453</v>
      </c>
      <c r="G43" s="5">
        <f t="shared" si="24"/>
        <v>0.99942112879884226</v>
      </c>
      <c r="H43" s="8">
        <v>3541</v>
      </c>
      <c r="I43" s="7">
        <v>2331</v>
      </c>
      <c r="J43" s="4">
        <f t="shared" si="25"/>
        <v>1146</v>
      </c>
      <c r="K43" s="14">
        <v>3477</v>
      </c>
      <c r="L43" s="5">
        <f t="shared" si="26"/>
        <v>0.98192600960180743</v>
      </c>
      <c r="M43" s="8">
        <v>4395</v>
      </c>
      <c r="N43" s="7">
        <v>2954</v>
      </c>
      <c r="O43" s="4">
        <f t="shared" si="27"/>
        <v>1387</v>
      </c>
      <c r="P43" s="14">
        <v>4341</v>
      </c>
      <c r="Q43" s="5">
        <f t="shared" si="28"/>
        <v>0.98771331058020473</v>
      </c>
      <c r="R43" s="8">
        <v>3498</v>
      </c>
      <c r="S43" s="7">
        <v>2296</v>
      </c>
      <c r="T43" s="4">
        <f t="shared" si="29"/>
        <v>1190</v>
      </c>
      <c r="U43" s="14">
        <v>3486</v>
      </c>
      <c r="V43" s="5">
        <f t="shared" si="30"/>
        <v>0.99656946826758153</v>
      </c>
      <c r="W43" s="8">
        <v>3551</v>
      </c>
      <c r="X43" s="7">
        <v>2355</v>
      </c>
      <c r="Y43" s="4">
        <f t="shared" si="31"/>
        <v>1159</v>
      </c>
      <c r="Z43" s="14">
        <v>3514</v>
      </c>
      <c r="AA43" s="5">
        <f t="shared" si="32"/>
        <v>0.98958039988735569</v>
      </c>
      <c r="AB43" s="8">
        <v>4429</v>
      </c>
      <c r="AC43" s="7">
        <v>2983</v>
      </c>
      <c r="AD43" s="4">
        <f t="shared" si="33"/>
        <v>1399</v>
      </c>
      <c r="AE43" s="14">
        <v>4382</v>
      </c>
      <c r="AF43" s="5">
        <f t="shared" si="34"/>
        <v>0.98938812372996165</v>
      </c>
      <c r="AG43" s="8">
        <v>3560</v>
      </c>
      <c r="AH43" s="7">
        <v>2373</v>
      </c>
      <c r="AI43" s="4">
        <f t="shared" si="35"/>
        <v>1174</v>
      </c>
      <c r="AJ43" s="14">
        <v>3547</v>
      </c>
      <c r="AK43" s="5">
        <f t="shared" si="36"/>
        <v>0.99634831460674156</v>
      </c>
      <c r="AL43" s="8">
        <v>3588</v>
      </c>
      <c r="AM43" s="7">
        <v>2490</v>
      </c>
      <c r="AN43" s="4">
        <f t="shared" si="37"/>
        <v>1094</v>
      </c>
      <c r="AO43" s="14">
        <v>3584</v>
      </c>
      <c r="AP43" s="5">
        <f t="shared" si="38"/>
        <v>0.99888517279821631</v>
      </c>
      <c r="AQ43" s="8">
        <v>4449</v>
      </c>
      <c r="AR43" s="7">
        <v>3117</v>
      </c>
      <c r="AS43" s="4">
        <f t="shared" si="39"/>
        <v>1348</v>
      </c>
      <c r="AT43" s="14">
        <v>4465</v>
      </c>
      <c r="AU43" s="5">
        <f t="shared" si="40"/>
        <v>1.0035963137783772</v>
      </c>
      <c r="AV43" s="8">
        <v>3616</v>
      </c>
      <c r="AW43" s="7">
        <v>2581</v>
      </c>
      <c r="AX43" s="4">
        <f t="shared" si="41"/>
        <v>1055</v>
      </c>
      <c r="AY43" s="14">
        <v>3636</v>
      </c>
      <c r="AZ43" s="5">
        <f t="shared" si="42"/>
        <v>1.0055309734513274</v>
      </c>
      <c r="BA43" s="8">
        <v>3655</v>
      </c>
      <c r="BB43" s="7">
        <v>2613</v>
      </c>
      <c r="BC43" s="4">
        <f t="shared" si="43"/>
        <v>1038</v>
      </c>
      <c r="BD43" s="14">
        <v>3651</v>
      </c>
      <c r="BE43" s="5">
        <f t="shared" si="44"/>
        <v>0.99890560875513001</v>
      </c>
      <c r="BF43" s="8">
        <v>4544</v>
      </c>
      <c r="BG43" s="7">
        <v>2851</v>
      </c>
      <c r="BH43" s="4">
        <f t="shared" si="45"/>
        <v>1689</v>
      </c>
      <c r="BI43" s="14">
        <v>4540</v>
      </c>
      <c r="BJ43" s="5">
        <f t="shared" si="46"/>
        <v>0.99911971830985913</v>
      </c>
    </row>
    <row r="44" spans="1:62" x14ac:dyDescent="0.3">
      <c r="A44" s="19">
        <v>36</v>
      </c>
      <c r="B44" s="3" t="s">
        <v>40</v>
      </c>
      <c r="C44" s="8">
        <v>336228</v>
      </c>
      <c r="D44" s="7">
        <v>256701</v>
      </c>
      <c r="E44" s="4">
        <f t="shared" si="0"/>
        <v>76626</v>
      </c>
      <c r="F44" s="14">
        <v>333327</v>
      </c>
      <c r="G44" s="5">
        <f t="shared" si="24"/>
        <v>0.99137192619294046</v>
      </c>
      <c r="H44" s="8">
        <v>340996</v>
      </c>
      <c r="I44" s="7">
        <v>261613</v>
      </c>
      <c r="J44" s="4">
        <f t="shared" si="25"/>
        <v>75677</v>
      </c>
      <c r="K44" s="14">
        <v>337290</v>
      </c>
      <c r="L44" s="5">
        <f t="shared" si="26"/>
        <v>0.98913183732360499</v>
      </c>
      <c r="M44" s="8">
        <v>408512</v>
      </c>
      <c r="N44" s="7">
        <v>316711</v>
      </c>
      <c r="O44" s="4">
        <f t="shared" si="27"/>
        <v>87290</v>
      </c>
      <c r="P44" s="14">
        <v>404001</v>
      </c>
      <c r="Q44" s="5">
        <f t="shared" si="28"/>
        <v>0.98895748472505096</v>
      </c>
      <c r="R44" s="8">
        <v>342556</v>
      </c>
      <c r="S44" s="7">
        <v>259088</v>
      </c>
      <c r="T44" s="4">
        <f t="shared" si="29"/>
        <v>80313</v>
      </c>
      <c r="U44" s="14">
        <v>339401</v>
      </c>
      <c r="V44" s="5">
        <f t="shared" si="30"/>
        <v>0.99078982706477192</v>
      </c>
      <c r="W44" s="8">
        <v>347597</v>
      </c>
      <c r="X44" s="7">
        <v>264143</v>
      </c>
      <c r="Y44" s="4">
        <f t="shared" si="31"/>
        <v>79026</v>
      </c>
      <c r="Z44" s="14">
        <v>343169</v>
      </c>
      <c r="AA44" s="5">
        <f t="shared" si="32"/>
        <v>0.98726110984847393</v>
      </c>
      <c r="AB44" s="8">
        <v>416340</v>
      </c>
      <c r="AC44" s="7">
        <v>320300</v>
      </c>
      <c r="AD44" s="4">
        <f t="shared" si="33"/>
        <v>92069</v>
      </c>
      <c r="AE44" s="14">
        <v>412369</v>
      </c>
      <c r="AF44" s="5">
        <f t="shared" si="34"/>
        <v>0.99046212230388619</v>
      </c>
      <c r="AG44" s="8">
        <v>350469</v>
      </c>
      <c r="AH44" s="7">
        <v>267772</v>
      </c>
      <c r="AI44" s="4">
        <f t="shared" si="35"/>
        <v>79584</v>
      </c>
      <c r="AJ44" s="14">
        <v>347356</v>
      </c>
      <c r="AK44" s="5">
        <f t="shared" si="36"/>
        <v>0.99111761667936393</v>
      </c>
      <c r="AL44" s="8">
        <v>355186</v>
      </c>
      <c r="AM44" s="7">
        <v>278281</v>
      </c>
      <c r="AN44" s="4">
        <f t="shared" si="37"/>
        <v>72544</v>
      </c>
      <c r="AO44" s="14">
        <v>350825</v>
      </c>
      <c r="AP44" s="5">
        <f t="shared" si="38"/>
        <v>0.98772192597681219</v>
      </c>
      <c r="AQ44" s="8">
        <v>424208</v>
      </c>
      <c r="AR44" s="7">
        <v>335236</v>
      </c>
      <c r="AS44" s="4">
        <f t="shared" si="39"/>
        <v>85733</v>
      </c>
      <c r="AT44" s="14">
        <v>420969</v>
      </c>
      <c r="AU44" s="5">
        <f t="shared" si="40"/>
        <v>0.99236459472711502</v>
      </c>
      <c r="AV44" s="8">
        <v>358114</v>
      </c>
      <c r="AW44" s="7">
        <v>282115</v>
      </c>
      <c r="AX44" s="4">
        <f t="shared" si="41"/>
        <v>72328</v>
      </c>
      <c r="AY44" s="14">
        <v>354443</v>
      </c>
      <c r="AZ44" s="5">
        <f t="shared" si="42"/>
        <v>0.98974907431711689</v>
      </c>
      <c r="BA44" s="8">
        <v>361984</v>
      </c>
      <c r="BB44" s="7">
        <v>286188</v>
      </c>
      <c r="BC44" s="4">
        <f t="shared" si="43"/>
        <v>71215</v>
      </c>
      <c r="BD44" s="14">
        <v>357403</v>
      </c>
      <c r="BE44" s="5">
        <f t="shared" si="44"/>
        <v>0.98734474451909482</v>
      </c>
      <c r="BF44" s="8">
        <v>432310</v>
      </c>
      <c r="BG44" s="7">
        <v>320177</v>
      </c>
      <c r="BH44" s="4">
        <f t="shared" si="45"/>
        <v>106886</v>
      </c>
      <c r="BI44" s="14">
        <v>427063</v>
      </c>
      <c r="BJ44" s="5">
        <f t="shared" si="46"/>
        <v>0.98786287617681756</v>
      </c>
    </row>
    <row r="45" spans="1:62" x14ac:dyDescent="0.3">
      <c r="A45" s="19">
        <v>37</v>
      </c>
      <c r="B45" s="3" t="s">
        <v>41</v>
      </c>
      <c r="C45" s="8">
        <v>255558</v>
      </c>
      <c r="D45" s="7">
        <v>198994</v>
      </c>
      <c r="E45" s="4">
        <f t="shared" si="0"/>
        <v>52303</v>
      </c>
      <c r="F45" s="14">
        <v>251297</v>
      </c>
      <c r="G45" s="5">
        <f t="shared" si="24"/>
        <v>0.98332668122304923</v>
      </c>
      <c r="H45" s="8">
        <v>257610</v>
      </c>
      <c r="I45" s="7">
        <v>203383</v>
      </c>
      <c r="J45" s="4">
        <f t="shared" si="25"/>
        <v>49787</v>
      </c>
      <c r="K45" s="14">
        <v>253170</v>
      </c>
      <c r="L45" s="5">
        <f t="shared" si="26"/>
        <v>0.98276464422964949</v>
      </c>
      <c r="M45" s="8">
        <v>310366</v>
      </c>
      <c r="N45" s="7">
        <v>245272</v>
      </c>
      <c r="O45" s="4">
        <f t="shared" si="27"/>
        <v>59540</v>
      </c>
      <c r="P45" s="14">
        <v>304812</v>
      </c>
      <c r="Q45" s="5">
        <f t="shared" si="28"/>
        <v>0.98210499861453893</v>
      </c>
      <c r="R45" s="8">
        <v>257356</v>
      </c>
      <c r="S45" s="7">
        <v>200421</v>
      </c>
      <c r="T45" s="4">
        <f t="shared" si="29"/>
        <v>53300</v>
      </c>
      <c r="U45" s="14">
        <v>253721</v>
      </c>
      <c r="V45" s="5">
        <f t="shared" si="30"/>
        <v>0.98587559645005363</v>
      </c>
      <c r="W45" s="8">
        <v>260553</v>
      </c>
      <c r="X45" s="7">
        <v>200344</v>
      </c>
      <c r="Y45" s="4">
        <f t="shared" si="31"/>
        <v>55338</v>
      </c>
      <c r="Z45" s="14">
        <v>255682</v>
      </c>
      <c r="AA45" s="5">
        <f t="shared" si="32"/>
        <v>0.98130514712937478</v>
      </c>
      <c r="AB45" s="8">
        <v>313911</v>
      </c>
      <c r="AC45" s="7">
        <v>243407</v>
      </c>
      <c r="AD45" s="4">
        <f t="shared" si="33"/>
        <v>65035</v>
      </c>
      <c r="AE45" s="14">
        <v>308442</v>
      </c>
      <c r="AF45" s="5">
        <f t="shared" si="34"/>
        <v>0.98257786442654127</v>
      </c>
      <c r="AG45" s="8">
        <v>261210</v>
      </c>
      <c r="AH45" s="7">
        <v>203330</v>
      </c>
      <c r="AI45" s="4">
        <f t="shared" si="35"/>
        <v>53752</v>
      </c>
      <c r="AJ45" s="14">
        <v>257082</v>
      </c>
      <c r="AK45" s="5">
        <f t="shared" si="36"/>
        <v>0.98419662340645453</v>
      </c>
      <c r="AL45" s="8">
        <v>264020</v>
      </c>
      <c r="AM45" s="7">
        <v>210409</v>
      </c>
      <c r="AN45" s="4">
        <f t="shared" si="37"/>
        <v>48990</v>
      </c>
      <c r="AO45" s="14">
        <v>259399</v>
      </c>
      <c r="AP45" s="5">
        <f t="shared" si="38"/>
        <v>0.98249753806529805</v>
      </c>
      <c r="AQ45" s="8">
        <v>317407</v>
      </c>
      <c r="AR45" s="7">
        <v>248190</v>
      </c>
      <c r="AS45" s="4">
        <f t="shared" si="39"/>
        <v>63306</v>
      </c>
      <c r="AT45" s="14">
        <v>311496</v>
      </c>
      <c r="AU45" s="5">
        <f t="shared" si="40"/>
        <v>0.98137722230448599</v>
      </c>
      <c r="AV45" s="8">
        <v>263886</v>
      </c>
      <c r="AW45" s="7">
        <v>208426</v>
      </c>
      <c r="AX45" s="4">
        <f t="shared" si="41"/>
        <v>51122</v>
      </c>
      <c r="AY45" s="14">
        <v>259548</v>
      </c>
      <c r="AZ45" s="5">
        <f t="shared" si="42"/>
        <v>0.98356108319501601</v>
      </c>
      <c r="BA45" s="8">
        <v>265781</v>
      </c>
      <c r="BB45" s="7">
        <v>211688</v>
      </c>
      <c r="BC45" s="4">
        <f t="shared" si="43"/>
        <v>49575</v>
      </c>
      <c r="BD45" s="14">
        <v>261263</v>
      </c>
      <c r="BE45" s="5">
        <f t="shared" si="44"/>
        <v>0.9830010422114448</v>
      </c>
      <c r="BF45" s="8">
        <v>319799</v>
      </c>
      <c r="BG45" s="7">
        <v>234809</v>
      </c>
      <c r="BH45" s="4">
        <f t="shared" si="45"/>
        <v>79760</v>
      </c>
      <c r="BI45" s="14">
        <v>314569</v>
      </c>
      <c r="BJ45" s="5">
        <f t="shared" si="46"/>
        <v>0.98364597762969863</v>
      </c>
    </row>
    <row r="46" spans="1:62" x14ac:dyDescent="0.3">
      <c r="A46" s="19">
        <v>38</v>
      </c>
      <c r="B46" s="3" t="s">
        <v>42</v>
      </c>
      <c r="C46" s="8">
        <v>2214</v>
      </c>
      <c r="D46" s="7">
        <v>1599</v>
      </c>
      <c r="E46" s="4">
        <f t="shared" si="0"/>
        <v>775</v>
      </c>
      <c r="F46" s="14">
        <v>2374</v>
      </c>
      <c r="G46" s="5">
        <f t="shared" si="24"/>
        <v>1.0722673893405601</v>
      </c>
      <c r="H46" s="8">
        <v>2377</v>
      </c>
      <c r="I46" s="7">
        <v>1693</v>
      </c>
      <c r="J46" s="4">
        <f t="shared" si="25"/>
        <v>825</v>
      </c>
      <c r="K46" s="14">
        <v>2518</v>
      </c>
      <c r="L46" s="5">
        <f t="shared" si="26"/>
        <v>1.0593184686579722</v>
      </c>
      <c r="M46" s="8">
        <v>6689</v>
      </c>
      <c r="N46" s="7">
        <v>4965</v>
      </c>
      <c r="O46" s="4">
        <f t="shared" si="27"/>
        <v>1905</v>
      </c>
      <c r="P46" s="14">
        <v>6870</v>
      </c>
      <c r="Q46" s="5">
        <f t="shared" si="28"/>
        <v>1.0270593511735686</v>
      </c>
      <c r="R46" s="8">
        <v>2186</v>
      </c>
      <c r="S46" s="7">
        <v>1465</v>
      </c>
      <c r="T46" s="4">
        <f t="shared" si="29"/>
        <v>879</v>
      </c>
      <c r="U46" s="14">
        <v>2344</v>
      </c>
      <c r="V46" s="5">
        <f t="shared" si="30"/>
        <v>1.0722781335773102</v>
      </c>
      <c r="W46" s="8">
        <v>2396</v>
      </c>
      <c r="X46" s="7">
        <v>1588</v>
      </c>
      <c r="Y46" s="4">
        <f t="shared" si="31"/>
        <v>869</v>
      </c>
      <c r="Z46" s="14">
        <v>2457</v>
      </c>
      <c r="AA46" s="5">
        <f t="shared" si="32"/>
        <v>1.0254590984974958</v>
      </c>
      <c r="AB46" s="8">
        <v>6920</v>
      </c>
      <c r="AC46" s="7">
        <v>5103</v>
      </c>
      <c r="AD46" s="4">
        <f t="shared" si="33"/>
        <v>2055</v>
      </c>
      <c r="AE46" s="14">
        <v>7158</v>
      </c>
      <c r="AF46" s="5">
        <f t="shared" si="34"/>
        <v>1.034393063583815</v>
      </c>
      <c r="AG46" s="8">
        <v>2260</v>
      </c>
      <c r="AH46" s="7">
        <v>1548</v>
      </c>
      <c r="AI46" s="4">
        <f t="shared" si="35"/>
        <v>823</v>
      </c>
      <c r="AJ46" s="14">
        <v>2371</v>
      </c>
      <c r="AK46" s="5">
        <f t="shared" si="36"/>
        <v>1.0491150442477877</v>
      </c>
      <c r="AL46" s="8">
        <v>2436</v>
      </c>
      <c r="AM46" s="7">
        <v>1693</v>
      </c>
      <c r="AN46" s="4">
        <f t="shared" si="37"/>
        <v>770</v>
      </c>
      <c r="AO46" s="14">
        <v>2463</v>
      </c>
      <c r="AP46" s="5">
        <f t="shared" si="38"/>
        <v>1.0110837438423645</v>
      </c>
      <c r="AQ46" s="8">
        <v>7143</v>
      </c>
      <c r="AR46" s="7">
        <v>5632</v>
      </c>
      <c r="AS46" s="4">
        <f t="shared" si="39"/>
        <v>1729</v>
      </c>
      <c r="AT46" s="14">
        <v>7361</v>
      </c>
      <c r="AU46" s="5">
        <f t="shared" si="40"/>
        <v>1.0305193896122078</v>
      </c>
      <c r="AV46" s="8">
        <v>2225</v>
      </c>
      <c r="AW46" s="7">
        <v>1717</v>
      </c>
      <c r="AX46" s="4">
        <f t="shared" si="41"/>
        <v>650</v>
      </c>
      <c r="AY46" s="14">
        <v>2367</v>
      </c>
      <c r="AZ46" s="5">
        <f t="shared" si="42"/>
        <v>1.0638202247191011</v>
      </c>
      <c r="BA46" s="8">
        <v>2388</v>
      </c>
      <c r="BB46" s="7">
        <v>1804</v>
      </c>
      <c r="BC46" s="4">
        <f t="shared" si="43"/>
        <v>629</v>
      </c>
      <c r="BD46" s="14">
        <v>2433</v>
      </c>
      <c r="BE46" s="5">
        <f t="shared" si="44"/>
        <v>1.0188442211055277</v>
      </c>
      <c r="BF46" s="8">
        <v>7407</v>
      </c>
      <c r="BG46" s="7">
        <v>5758</v>
      </c>
      <c r="BH46" s="4">
        <f t="shared" si="45"/>
        <v>1794</v>
      </c>
      <c r="BI46" s="14">
        <v>7552</v>
      </c>
      <c r="BJ46" s="5">
        <f t="shared" si="46"/>
        <v>1.0195760766842177</v>
      </c>
    </row>
    <row r="47" spans="1:62" x14ac:dyDescent="0.3">
      <c r="A47" s="19">
        <v>97</v>
      </c>
      <c r="B47" s="3" t="s">
        <v>43</v>
      </c>
      <c r="C47" s="8">
        <v>84</v>
      </c>
      <c r="D47" s="7">
        <v>65</v>
      </c>
      <c r="E47" s="4">
        <f t="shared" si="0"/>
        <v>3</v>
      </c>
      <c r="F47" s="14">
        <v>68</v>
      </c>
      <c r="G47" s="5">
        <f t="shared" si="24"/>
        <v>0.80952380952380953</v>
      </c>
      <c r="H47" s="8">
        <v>81</v>
      </c>
      <c r="I47" s="7">
        <v>61</v>
      </c>
      <c r="J47" s="4">
        <f t="shared" si="25"/>
        <v>7</v>
      </c>
      <c r="K47" s="14">
        <v>68</v>
      </c>
      <c r="L47" s="5">
        <f t="shared" si="26"/>
        <v>0.83950617283950613</v>
      </c>
      <c r="M47" s="8">
        <v>86</v>
      </c>
      <c r="N47" s="7">
        <v>68</v>
      </c>
      <c r="O47" s="4">
        <f t="shared" si="27"/>
        <v>6</v>
      </c>
      <c r="P47" s="14">
        <v>74</v>
      </c>
      <c r="Q47" s="5">
        <f t="shared" si="28"/>
        <v>0.86046511627906974</v>
      </c>
      <c r="R47" s="8">
        <v>80</v>
      </c>
      <c r="S47" s="7">
        <v>61</v>
      </c>
      <c r="T47" s="4">
        <f t="shared" si="29"/>
        <v>6</v>
      </c>
      <c r="U47" s="14">
        <v>67</v>
      </c>
      <c r="V47" s="5">
        <f t="shared" si="30"/>
        <v>0.83750000000000002</v>
      </c>
      <c r="W47" s="8">
        <v>81</v>
      </c>
      <c r="X47" s="7">
        <v>62</v>
      </c>
      <c r="Y47" s="4">
        <f t="shared" si="31"/>
        <v>5</v>
      </c>
      <c r="Z47" s="14">
        <v>67</v>
      </c>
      <c r="AA47" s="5">
        <f t="shared" si="32"/>
        <v>0.8271604938271605</v>
      </c>
      <c r="AB47" s="8">
        <v>87</v>
      </c>
      <c r="AC47" s="7">
        <v>66</v>
      </c>
      <c r="AD47" s="4">
        <f t="shared" si="33"/>
        <v>7</v>
      </c>
      <c r="AE47" s="14">
        <v>73</v>
      </c>
      <c r="AF47" s="5">
        <f t="shared" si="34"/>
        <v>0.83908045977011492</v>
      </c>
      <c r="AG47" s="8">
        <v>81</v>
      </c>
      <c r="AH47" s="7">
        <v>58</v>
      </c>
      <c r="AI47" s="4">
        <f t="shared" si="35"/>
        <v>8</v>
      </c>
      <c r="AJ47" s="14">
        <v>66</v>
      </c>
      <c r="AK47" s="5">
        <f t="shared" si="36"/>
        <v>0.81481481481481477</v>
      </c>
      <c r="AL47" s="8">
        <v>81</v>
      </c>
      <c r="AM47" s="7">
        <v>63</v>
      </c>
      <c r="AN47" s="4">
        <f t="shared" si="37"/>
        <v>3</v>
      </c>
      <c r="AO47" s="14">
        <v>66</v>
      </c>
      <c r="AP47" s="5">
        <f t="shared" si="38"/>
        <v>0.81481481481481477</v>
      </c>
      <c r="AQ47" s="8">
        <v>87</v>
      </c>
      <c r="AR47" s="7">
        <v>67</v>
      </c>
      <c r="AS47" s="4">
        <f t="shared" si="39"/>
        <v>3</v>
      </c>
      <c r="AT47" s="14">
        <v>70</v>
      </c>
      <c r="AU47" s="5">
        <f t="shared" si="40"/>
        <v>0.8045977011494253</v>
      </c>
      <c r="AV47" s="8">
        <v>81</v>
      </c>
      <c r="AW47" s="7">
        <v>61</v>
      </c>
      <c r="AX47" s="4">
        <f t="shared" si="41"/>
        <v>5</v>
      </c>
      <c r="AY47" s="14">
        <v>66</v>
      </c>
      <c r="AZ47" s="5">
        <f t="shared" si="42"/>
        <v>0.81481481481481477</v>
      </c>
      <c r="BA47" s="8">
        <v>80</v>
      </c>
      <c r="BB47" s="7">
        <v>63</v>
      </c>
      <c r="BC47" s="4">
        <f t="shared" si="43"/>
        <v>2</v>
      </c>
      <c r="BD47" s="14">
        <v>65</v>
      </c>
      <c r="BE47" s="5">
        <f t="shared" si="44"/>
        <v>0.8125</v>
      </c>
      <c r="BF47" s="8">
        <v>85</v>
      </c>
      <c r="BG47" s="7">
        <v>65</v>
      </c>
      <c r="BH47" s="4">
        <f t="shared" si="45"/>
        <v>4</v>
      </c>
      <c r="BI47" s="14">
        <v>69</v>
      </c>
      <c r="BJ47" s="5">
        <f t="shared" si="46"/>
        <v>0.81176470588235294</v>
      </c>
    </row>
    <row r="48" spans="1:62" x14ac:dyDescent="0.3">
      <c r="A48" s="22" t="s">
        <v>44</v>
      </c>
      <c r="B48" s="22"/>
      <c r="C48" s="10">
        <f>SUM(C10:C47)</f>
        <v>7712416</v>
      </c>
      <c r="D48" s="10">
        <f>SUM(D10:D47)</f>
        <v>6227695</v>
      </c>
      <c r="E48" s="12">
        <f t="shared" ref="E48" si="47">F48-D48</f>
        <v>1449961</v>
      </c>
      <c r="F48" s="11">
        <f>SUM(F10:F47)</f>
        <v>7677656</v>
      </c>
      <c r="G48" s="13">
        <f t="shared" ref="G48" si="48">F48/C48</f>
        <v>0.99549298170638101</v>
      </c>
      <c r="H48" s="10">
        <f>SUM(H10:H47)</f>
        <v>7867344</v>
      </c>
      <c r="I48" s="10">
        <f>SUM(I10:I47)</f>
        <v>6356635</v>
      </c>
      <c r="J48" s="12">
        <f t="shared" si="25"/>
        <v>1416335</v>
      </c>
      <c r="K48" s="11">
        <f>SUM(K10:K47)</f>
        <v>7772970</v>
      </c>
      <c r="L48" s="13">
        <f t="shared" si="26"/>
        <v>0.98800433793158149</v>
      </c>
      <c r="M48" s="10">
        <f>SUM(M10:M47)</f>
        <v>12152252</v>
      </c>
      <c r="N48" s="10">
        <f>SUM(N10:N47)</f>
        <v>9857057</v>
      </c>
      <c r="O48" s="12">
        <f t="shared" si="27"/>
        <v>2193179</v>
      </c>
      <c r="P48" s="11">
        <f>SUM(P10:P47)</f>
        <v>12050236</v>
      </c>
      <c r="Q48" s="13">
        <f t="shared" si="28"/>
        <v>0.99160517737782261</v>
      </c>
      <c r="R48" s="10">
        <f>SUM(R10:R47)</f>
        <v>7805893</v>
      </c>
      <c r="S48" s="10">
        <f>SUM(S10:S47)</f>
        <v>6254452</v>
      </c>
      <c r="T48" s="12">
        <f t="shared" ref="T48" si="49">U48-S48</f>
        <v>1489327</v>
      </c>
      <c r="U48" s="11">
        <f>SUM(U10:U47)</f>
        <v>7743779</v>
      </c>
      <c r="V48" s="13">
        <f t="shared" si="30"/>
        <v>0.9920426785250579</v>
      </c>
      <c r="W48" s="10">
        <f>SUM(W10:W47)</f>
        <v>7947831</v>
      </c>
      <c r="X48" s="10">
        <f>SUM(X10:X47)</f>
        <v>6343444</v>
      </c>
      <c r="Y48" s="12">
        <f t="shared" si="31"/>
        <v>1484891</v>
      </c>
      <c r="Z48" s="11">
        <f>SUM(Z10:Z47)</f>
        <v>7828335</v>
      </c>
      <c r="AA48" s="13">
        <f t="shared" si="32"/>
        <v>0.9849649545894974</v>
      </c>
      <c r="AB48" s="10">
        <f>SUM(AB10:AB47)</f>
        <v>12284179</v>
      </c>
      <c r="AC48" s="10">
        <f>SUM(AC10:AC47)</f>
        <v>9866847</v>
      </c>
      <c r="AD48" s="12">
        <f t="shared" si="33"/>
        <v>2329435</v>
      </c>
      <c r="AE48" s="11">
        <f>SUM(AE10:AE47)</f>
        <v>12196282</v>
      </c>
      <c r="AF48" s="13">
        <f t="shared" si="34"/>
        <v>0.99284469886021687</v>
      </c>
      <c r="AG48" s="10">
        <f>SUM(AG10:AG47)</f>
        <v>7934386</v>
      </c>
      <c r="AH48" s="10">
        <f>SUM(AH10:AH47)</f>
        <v>6266178</v>
      </c>
      <c r="AI48" s="12">
        <f t="shared" si="35"/>
        <v>1609083</v>
      </c>
      <c r="AJ48" s="11">
        <f>SUM(AJ10:AJ47)</f>
        <v>7875261</v>
      </c>
      <c r="AK48" s="13">
        <f t="shared" si="36"/>
        <v>0.99254825767236432</v>
      </c>
      <c r="AL48" s="10">
        <f>SUM(AL10:AL47)</f>
        <v>8078477</v>
      </c>
      <c r="AM48" s="10">
        <f>SUM(AM10:AM47)</f>
        <v>6574379</v>
      </c>
      <c r="AN48" s="12">
        <f t="shared" si="37"/>
        <v>1383113</v>
      </c>
      <c r="AO48" s="11">
        <f>SUM(AO10:AO47)</f>
        <v>7957492</v>
      </c>
      <c r="AP48" s="13">
        <f t="shared" si="38"/>
        <v>0.98502378604283947</v>
      </c>
      <c r="AQ48" s="10">
        <f>SUM(AQ10:AQ47)</f>
        <v>12445246</v>
      </c>
      <c r="AR48" s="10">
        <f>SUM(AR10:AR47)</f>
        <v>10248717</v>
      </c>
      <c r="AS48" s="12">
        <f t="shared" si="39"/>
        <v>2139841</v>
      </c>
      <c r="AT48" s="11">
        <f>SUM(AT10:AT47)</f>
        <v>12388558</v>
      </c>
      <c r="AU48" s="13">
        <f t="shared" si="40"/>
        <v>0.9954450076760234</v>
      </c>
      <c r="AV48" s="10">
        <f>SUM(AV10:AV47)</f>
        <v>8061336</v>
      </c>
      <c r="AW48" s="10">
        <f>SUM(AW10:AW47)</f>
        <v>6641215</v>
      </c>
      <c r="AX48" s="12">
        <f t="shared" si="41"/>
        <v>1373198</v>
      </c>
      <c r="AY48" s="11">
        <f>SUM(AY10:AY47)</f>
        <v>8014413</v>
      </c>
      <c r="AZ48" s="13">
        <f t="shared" si="42"/>
        <v>0.9941792526697808</v>
      </c>
      <c r="BA48" s="10">
        <f>SUM(BA10:BA47)</f>
        <v>8202455</v>
      </c>
      <c r="BB48" s="10">
        <f>SUM(BB10:BB47)</f>
        <v>6777178</v>
      </c>
      <c r="BC48" s="12">
        <f t="shared" si="43"/>
        <v>1321477</v>
      </c>
      <c r="BD48" s="11">
        <f>SUM(BD10:BD47)</f>
        <v>8098655</v>
      </c>
      <c r="BE48" s="13">
        <f t="shared" si="44"/>
        <v>0.98734525212268764</v>
      </c>
      <c r="BF48" s="10">
        <f>SUM(BF10:BF47)</f>
        <v>12656060</v>
      </c>
      <c r="BG48" s="10">
        <f>SUM(BG10:BG47)</f>
        <v>9846481</v>
      </c>
      <c r="BH48" s="12">
        <f t="shared" si="45"/>
        <v>2710519</v>
      </c>
      <c r="BI48" s="11">
        <f>SUM(BI10:BI47)</f>
        <v>12557000</v>
      </c>
      <c r="BJ48" s="13">
        <f t="shared" si="46"/>
        <v>0.99217291953419939</v>
      </c>
    </row>
    <row r="49" spans="1:62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</row>
    <row r="50" spans="1:62" x14ac:dyDescent="0.3">
      <c r="A50" s="1"/>
      <c r="B50" s="1"/>
      <c r="C50" s="1"/>
      <c r="D50" s="1"/>
      <c r="E50" s="1"/>
      <c r="F50" s="1"/>
      <c r="G50" s="1"/>
    </row>
    <row r="51" spans="1:62" x14ac:dyDescent="0.3">
      <c r="A51" s="1"/>
      <c r="B51" s="1"/>
      <c r="C51" s="1"/>
      <c r="D51" s="1"/>
      <c r="E51" s="1"/>
      <c r="F51" s="1"/>
      <c r="G51" s="1"/>
    </row>
    <row r="52" spans="1:62" x14ac:dyDescent="0.3">
      <c r="A52" s="1"/>
      <c r="B52" s="1"/>
      <c r="C52" s="1"/>
      <c r="D52" s="1"/>
      <c r="E52" s="1"/>
      <c r="F52" s="1"/>
      <c r="G52" s="1"/>
    </row>
    <row r="53" spans="1:62" x14ac:dyDescent="0.3">
      <c r="A53" s="21" t="s">
        <v>45</v>
      </c>
      <c r="B53" s="21"/>
      <c r="C53" s="21"/>
      <c r="D53" s="21"/>
      <c r="E53" s="21"/>
      <c r="F53" s="6"/>
      <c r="G53" s="1"/>
    </row>
  </sheetData>
  <mergeCells count="18">
    <mergeCell ref="A3:B3"/>
    <mergeCell ref="A1:D1"/>
    <mergeCell ref="AV8:AZ8"/>
    <mergeCell ref="BA8:BE8"/>
    <mergeCell ref="BF8:BJ8"/>
    <mergeCell ref="AQ8:AU8"/>
    <mergeCell ref="AB8:AF8"/>
    <mergeCell ref="R8:V8"/>
    <mergeCell ref="AL8:AP8"/>
    <mergeCell ref="H8:L8"/>
    <mergeCell ref="M8:Q8"/>
    <mergeCell ref="W8:AA8"/>
    <mergeCell ref="AG8:AK8"/>
    <mergeCell ref="A53:E53"/>
    <mergeCell ref="A48:B48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2026-08-19T07:11:57Z</dcterms:modified>
</cp:coreProperties>
</file>