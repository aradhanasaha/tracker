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Aug-26\GST Statistics Downloads 31st Aug 26\Downloads\GSTR 1\"/>
    </mc:Choice>
  </mc:AlternateContent>
  <xr:revisionPtr revIDLastSave="0" documentId="13_ncr:1_{55B278C8-BBA5-4735-94B1-5CC87F56142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STR-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6" i="2" l="1"/>
  <c r="O43" i="2"/>
  <c r="O40" i="2"/>
  <c r="O39" i="2"/>
  <c r="O37" i="2"/>
  <c r="O35" i="2"/>
  <c r="O33" i="2"/>
  <c r="O31" i="2"/>
  <c r="O30" i="2"/>
  <c r="O29" i="2"/>
  <c r="O27" i="2"/>
  <c r="O25" i="2"/>
  <c r="O24" i="2"/>
  <c r="O23" i="2"/>
  <c r="O22" i="2"/>
  <c r="O21" i="2"/>
  <c r="O19" i="2"/>
  <c r="O17" i="2"/>
  <c r="O15" i="2"/>
  <c r="O14" i="2"/>
  <c r="O13" i="2"/>
  <c r="O11" i="2"/>
  <c r="O10" i="2"/>
  <c r="O9" i="2"/>
  <c r="O12" i="2"/>
  <c r="O16" i="2"/>
  <c r="O18" i="2"/>
  <c r="O20" i="2"/>
  <c r="O26" i="2"/>
  <c r="O28" i="2"/>
  <c r="O32" i="2"/>
  <c r="O34" i="2"/>
  <c r="O36" i="2"/>
  <c r="O38" i="2"/>
  <c r="O41" i="2"/>
  <c r="O42" i="2"/>
  <c r="O44" i="2"/>
  <c r="AE47" i="2" l="1"/>
  <c r="H47" i="2" l="1"/>
  <c r="AT47" i="2" l="1"/>
  <c r="AR47" i="2"/>
  <c r="AQ47" i="2"/>
  <c r="AO47" i="2"/>
  <c r="AM47" i="2"/>
  <c r="AL47" i="2"/>
  <c r="AJ47" i="2"/>
  <c r="AH47" i="2"/>
  <c r="AG47" i="2"/>
  <c r="AC47" i="2"/>
  <c r="AB47" i="2"/>
  <c r="Z47" i="2"/>
  <c r="X47" i="2"/>
  <c r="W47" i="2"/>
  <c r="U47" i="2"/>
  <c r="S47" i="2"/>
  <c r="R47" i="2"/>
  <c r="P47" i="2"/>
  <c r="N47" i="2"/>
  <c r="M47" i="2"/>
  <c r="K47" i="2"/>
  <c r="I47" i="2"/>
  <c r="F47" i="2"/>
  <c r="D47" i="2"/>
  <c r="C47" i="2"/>
  <c r="AN47" i="2" l="1"/>
  <c r="Q47" i="2"/>
  <c r="G47" i="2"/>
  <c r="AS47" i="2"/>
  <c r="T47" i="2"/>
  <c r="AK47" i="2"/>
  <c r="L47" i="2"/>
  <c r="AA47" i="2"/>
  <c r="E47" i="2"/>
  <c r="Y47" i="2"/>
  <c r="O47" i="2"/>
  <c r="AU47" i="2"/>
  <c r="AP47" i="2"/>
  <c r="AI47" i="2"/>
  <c r="V47" i="2"/>
  <c r="J47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6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6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6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6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6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6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6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6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6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6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6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6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6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6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6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G9" i="2"/>
  <c r="L9" i="2"/>
  <c r="Q9" i="2"/>
  <c r="V9" i="2"/>
  <c r="AA9" i="2"/>
  <c r="AF9" i="2"/>
  <c r="AK9" i="2"/>
  <c r="AP9" i="2"/>
  <c r="AU9" i="2"/>
  <c r="AS9" i="2"/>
  <c r="AN9" i="2"/>
  <c r="AI9" i="2"/>
  <c r="AD9" i="2"/>
  <c r="Y9" i="2"/>
  <c r="T9" i="2"/>
  <c r="J9" i="2"/>
  <c r="E9" i="2"/>
  <c r="AD47" i="2" l="1"/>
  <c r="AF47" i="2"/>
</calcChain>
</file>

<file path=xl/sharedStrings.xml><?xml version="1.0" encoding="utf-8"?>
<sst xmlns="http://schemas.openxmlformats.org/spreadsheetml/2006/main" count="90" uniqueCount="50">
  <si>
    <t>STATE WISE RETURN PERIOD WISE GSTR-1 FILING SUMMARY</t>
  </si>
  <si>
    <t>FINANCIAL YEAR 2017-2018</t>
  </si>
  <si>
    <t>STATE CD</t>
  </si>
  <si>
    <t>STATE</t>
  </si>
  <si>
    <t>No. of Tax Payers eligible to File</t>
  </si>
  <si>
    <t>No. Tax Payers filed by Due Date</t>
  </si>
  <si>
    <t>No. of Tax Payers filed after due date</t>
  </si>
  <si>
    <t>Total Returns Filed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</si>
  <si>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</si>
  <si>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</si>
  <si>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</si>
  <si>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</si>
  <si>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</si>
  <si>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</si>
  <si>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</si>
  <si>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</si>
  <si>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</si>
  <si>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</si>
  <si>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</si>
  <si>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</si>
  <si>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</si>
  <si>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</si>
  <si>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</si>
  <si>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</si>
  <si>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</si>
  <si>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</si>
  <si>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</si>
  <si>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</si>
  <si>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</si>
  <si>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</si>
  <si>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Daman and Diu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</si>
  <si>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</si>
  <si>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</si>
  <si>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</si>
  <si>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</si>
  <si>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</si>
  <si>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</si>
  <si>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</si>
  <si>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</si>
  <si>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</si>
  <si>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Ladakh</t>
  </si>
  <si>
    <t>Other Territory</t>
  </si>
  <si>
    <t>Grand Total</t>
  </si>
  <si>
    <t>*  State Code 97 represents  territories other than States/UTs</t>
  </si>
  <si>
    <t>Chhattisgarh</t>
  </si>
  <si>
    <t>Gujarat</t>
  </si>
  <si>
    <t>Maharashtra</t>
  </si>
  <si>
    <t>Andaman and Nicobar Islands</t>
  </si>
  <si>
    <t>Data Considered upto 31st Aug 2026</t>
  </si>
  <si>
    <t>Filing %age as on 31st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</si>
</sst>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[&gt;=10000000]##\,##\,##\,##0;[&gt;=100000]\ ##\,##\,##0;##,##0"/>
    <numFmt numFmtId="166" formatCode="[&gt;=10000000]##\,##\,##\,##0;[&gt;=100000]\ ##\,##\,##0;##,##0\ "/>
    <numFmt numFmtId="167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 applyAlignment="1">
      <alignment horizontal="center"/>
    </xf>
    <xf numFmtId="0" fontId="0" fillId="0" borderId="1" xfId="0" applyBorder="1"/>
    <xf numFmtId="0" fontId="3" fillId="3" borderId="0" xfId="0" applyFont="1" applyFill="1"/>
    <xf numFmtId="166" fontId="0" fillId="0" borderId="0" xfId="0" applyNumberFormat="1"/>
    <xf numFmtId="0" fontId="2" fillId="2" borderId="0" xfId="0" applyFont="1" applyFill="1" applyAlignment="1">
      <alignment horizontal="left"/>
    </xf>
    <xf numFmtId="167" fontId="0" fillId="0" borderId="1" xfId="3" applyNumberFormat="1" applyFont="1" applyBorder="1"/>
    <xf numFmtId="10" fontId="0" fillId="0" borderId="0" xfId="0" applyNumberFormat="1"/>
    <xf numFmtId="10" fontId="3" fillId="0" borderId="0" xfId="0" applyNumberFormat="1" applyFont="1" applyAlignment="1">
      <alignment horizontal="center"/>
    </xf>
    <xf numFmtId="165" fontId="0" fillId="0" borderId="1" xfId="0" applyNumberFormat="1" applyBorder="1"/>
    <xf numFmtId="10" fontId="0" fillId="0" borderId="1" xfId="1" applyNumberFormat="1" applyFont="1" applyFill="1" applyBorder="1" applyAlignment="1">
      <alignment horizontal="right" vertical="center" wrapText="1"/>
    </xf>
    <xf numFmtId="165" fontId="2" fillId="2" borderId="1" xfId="0" applyNumberFormat="1" applyFont="1" applyFill="1" applyBorder="1"/>
    <xf numFmtId="10" fontId="2" fillId="2" borderId="1" xfId="1" applyNumberFormat="1" applyFont="1" applyFill="1" applyBorder="1" applyAlignment="1">
      <alignment horizontal="right" vertical="center" wrapText="1"/>
    </xf>
    <xf numFmtId="165" fontId="2" fillId="2" borderId="1" xfId="0" applyNumberFormat="1" applyFont="1" applyFill="1" applyBorder="1" applyAlignment="1">
      <alignment horizontal="right" vertical="center" wrapText="1"/>
    </xf>
    <xf numFmtId="165" fontId="3" fillId="2" borderId="1" xfId="0" applyNumberFormat="1" applyFont="1" applyFill="1" applyBorder="1" applyAlignment="1">
      <alignment horizontal="right" vertical="center" wrapText="1"/>
    </xf>
    <xf numFmtId="43" fontId="0" fillId="0" borderId="1" xfId="3" applyFont="1" applyBorder="1"/>
    <xf numFmtId="165" fontId="3" fillId="2" borderId="1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0" fontId="3" fillId="2" borderId="1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6" fontId="0" fillId="0" borderId="1" xfId="0" applyNumberFormat="1" applyBorder="1" applyAlignment="1">
      <alignment horizontal="right" vertical="top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7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17" fontId="3" fillId="2" borderId="1" xfId="0" applyNumberFormat="1" applyFont="1" applyFill="1" applyBorder="1" applyAlignment="1">
      <alignment horizontal="center" vertical="center"/>
    </xf>
  </cellXfs>
  <cellStyles count="8">
    <cellStyle name="Comma" xfId="3" builtinId="3"/>
    <cellStyle name="Comma 2" xfId="2" xr:uid="{00000000-0005-0000-0000-000001000000}"/>
    <cellStyle name="Comma 2 2" xfId="4" xr:uid="{00000000-0005-0000-0000-000002000000}"/>
    <cellStyle name="Comma 2 3" xfId="7" xr:uid="{00000000-0005-0000-0000-000003000000}"/>
    <cellStyle name="Comma 3" xfId="5" xr:uid="{00000000-0005-0000-0000-000004000000}"/>
    <cellStyle name="Normal" xfId="0" builtinId="0"/>
    <cellStyle name="Normal 2" xfId="6" xr:uid="{00000000-0005-0000-0000-000006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6"/>
  <sheetViews>
    <sheetView tabSelected="1" zoomScale="52" zoomScaleNormal="52" workbookViewId="0">
      <selection activeCell="A44" sqref="A44"/>
    </sheetView>
  </sheetViews>
  <sheetFormatPr defaultColWidth="8.77734375" defaultRowHeight="14.4" x14ac:dyDescent="0.3"/>
  <cols>
    <col min="1" max="1" width="12.44140625" customWidth="1"/>
    <col min="2" max="2" width="27.44140625" bestFit="1" customWidth="1"/>
    <col min="3" max="3" width="23.21875" customWidth="1"/>
    <col min="4" max="6" width="18.77734375" customWidth="1"/>
    <col min="7" max="7" width="18.77734375" style="7" customWidth="1"/>
    <col min="8" max="11" width="18.77734375" customWidth="1"/>
    <col min="12" max="12" width="18.77734375" style="7" customWidth="1"/>
    <col min="13" max="16" width="18.77734375" customWidth="1"/>
    <col min="17" max="17" width="18.77734375" style="7" customWidth="1"/>
    <col min="18" max="21" width="18.77734375" customWidth="1"/>
    <col min="22" max="22" width="18.77734375" style="7" customWidth="1"/>
    <col min="23" max="26" width="18.77734375" customWidth="1"/>
    <col min="27" max="27" width="18.77734375" style="7" customWidth="1"/>
    <col min="28" max="31" width="18.77734375" customWidth="1"/>
    <col min="32" max="32" width="18.77734375" style="7" customWidth="1"/>
    <col min="33" max="36" width="18.77734375" customWidth="1"/>
    <col min="37" max="37" width="18.77734375" style="7" customWidth="1"/>
    <col min="38" max="41" width="18.77734375" customWidth="1"/>
    <col min="42" max="42" width="18.77734375" style="7" customWidth="1"/>
    <col min="43" max="46" width="18.77734375" customWidth="1"/>
    <col min="47" max="47" width="18.77734375" style="7" customWidth="1"/>
  </cols>
  <sheetData>
    <row r="1" spans="1:48" ht="15.6" x14ac:dyDescent="0.3">
      <c r="A1" s="23" t="s">
        <v>0</v>
      </c>
      <c r="B1" s="23"/>
      <c r="C1" s="23"/>
      <c r="D1" s="23"/>
      <c r="G1"/>
      <c r="L1"/>
    </row>
    <row r="2" spans="1:48" ht="15.6" x14ac:dyDescent="0.3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8"/>
    </row>
    <row r="3" spans="1:48" ht="15.6" x14ac:dyDescent="0.3">
      <c r="A3" s="24" t="s">
        <v>1</v>
      </c>
      <c r="B3" s="24"/>
      <c r="C3" s="1"/>
      <c r="D3" s="1"/>
      <c r="E3" s="1"/>
      <c r="F3" s="1"/>
      <c r="G3" s="8"/>
      <c r="H3" s="1"/>
      <c r="I3" s="1"/>
      <c r="J3" s="1"/>
      <c r="K3" s="1"/>
      <c r="L3" s="8"/>
    </row>
    <row r="4" spans="1:48" ht="15.6" x14ac:dyDescent="0.3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8"/>
    </row>
    <row r="5" spans="1:48" ht="15.6" x14ac:dyDescent="0.3">
      <c r="A5" s="24" t="s">
        <v>48</v>
      </c>
      <c r="B5" s="24"/>
      <c r="C5" s="24"/>
    </row>
    <row r="7" spans="1:48" s="17" customFormat="1" ht="15.6" x14ac:dyDescent="0.3">
      <c r="A7" s="25" t="s">
        <v>2</v>
      </c>
      <c r="B7" s="26" t="s">
        <v>3</v>
      </c>
      <c r="C7" s="27">
        <v>42917</v>
      </c>
      <c r="D7" s="27"/>
      <c r="E7" s="27"/>
      <c r="F7" s="27"/>
      <c r="G7" s="27"/>
      <c r="H7" s="31">
        <v>42948</v>
      </c>
      <c r="I7" s="31"/>
      <c r="J7" s="31"/>
      <c r="K7" s="31"/>
      <c r="L7" s="31"/>
      <c r="M7" s="27">
        <v>42979</v>
      </c>
      <c r="N7" s="28"/>
      <c r="O7" s="28"/>
      <c r="P7" s="28"/>
      <c r="Q7" s="28"/>
      <c r="R7" s="31">
        <v>43009</v>
      </c>
      <c r="S7" s="31"/>
      <c r="T7" s="31"/>
      <c r="U7" s="31"/>
      <c r="V7" s="31"/>
      <c r="W7" s="27">
        <v>43040</v>
      </c>
      <c r="X7" s="28"/>
      <c r="Y7" s="28"/>
      <c r="Z7" s="28"/>
      <c r="AA7" s="28"/>
      <c r="AB7" s="31">
        <v>43070</v>
      </c>
      <c r="AC7" s="31"/>
      <c r="AD7" s="31"/>
      <c r="AE7" s="31"/>
      <c r="AF7" s="31"/>
      <c r="AG7" s="27">
        <v>43101</v>
      </c>
      <c r="AH7" s="28"/>
      <c r="AI7" s="28"/>
      <c r="AJ7" s="28"/>
      <c r="AK7" s="28"/>
      <c r="AL7" s="31">
        <v>43132</v>
      </c>
      <c r="AM7" s="31"/>
      <c r="AN7" s="31"/>
      <c r="AO7" s="31"/>
      <c r="AP7" s="31"/>
      <c r="AQ7" s="27">
        <v>43160</v>
      </c>
      <c r="AR7" s="28"/>
      <c r="AS7" s="28"/>
      <c r="AT7" s="28"/>
      <c r="AU7" s="28"/>
    </row>
    <row r="8" spans="1:48" s="17" customFormat="1" ht="46.8" x14ac:dyDescent="0.3">
      <c r="A8" s="25"/>
      <c r="B8" s="26"/>
      <c r="C8" s="18" t="s">
        <v>4</v>
      </c>
      <c r="D8" s="18" t="s">
        <v>5</v>
      </c>
      <c r="E8" s="18" t="s">
        <v>6</v>
      </c>
      <c r="F8" s="16" t="s">
        <v>7</v>
      </c>
      <c r="G8" s="19" t="s">
        <v>49</v>
      </c>
      <c r="H8" s="18" t="s">
        <v>4</v>
      </c>
      <c r="I8" s="18" t="s">
        <v>5</v>
      </c>
      <c r="J8" s="18" t="s">
        <v>6</v>
      </c>
      <c r="K8" s="16" t="s">
        <v>7</v>
      </c>
      <c r="L8" s="19" t="s">
        <v>49</v>
      </c>
      <c r="M8" s="18" t="s">
        <v>4</v>
      </c>
      <c r="N8" s="18" t="s">
        <v>5</v>
      </c>
      <c r="O8" s="18" t="s">
        <v>6</v>
      </c>
      <c r="P8" s="16" t="s">
        <v>7</v>
      </c>
      <c r="Q8" s="19" t="s">
        <v>49</v>
      </c>
      <c r="R8" s="18" t="s">
        <v>4</v>
      </c>
      <c r="S8" s="18" t="s">
        <v>5</v>
      </c>
      <c r="T8" s="18" t="s">
        <v>6</v>
      </c>
      <c r="U8" s="16" t="s">
        <v>7</v>
      </c>
      <c r="V8" s="19" t="s">
        <v>49</v>
      </c>
      <c r="W8" s="18" t="s">
        <v>4</v>
      </c>
      <c r="X8" s="18" t="s">
        <v>5</v>
      </c>
      <c r="Y8" s="18" t="s">
        <v>6</v>
      </c>
      <c r="Z8" s="16" t="s">
        <v>7</v>
      </c>
      <c r="AA8" s="19" t="s">
        <v>49</v>
      </c>
      <c r="AB8" s="18" t="s">
        <v>4</v>
      </c>
      <c r="AC8" s="18" t="s">
        <v>5</v>
      </c>
      <c r="AD8" s="18" t="s">
        <v>6</v>
      </c>
      <c r="AE8" s="16" t="s">
        <v>7</v>
      </c>
      <c r="AF8" s="19" t="s">
        <v>49</v>
      </c>
      <c r="AG8" s="18" t="s">
        <v>4</v>
      </c>
      <c r="AH8" s="18" t="s">
        <v>5</v>
      </c>
      <c r="AI8" s="18" t="s">
        <v>6</v>
      </c>
      <c r="AJ8" s="16" t="s">
        <v>7</v>
      </c>
      <c r="AK8" s="19" t="s">
        <v>49</v>
      </c>
      <c r="AL8" s="18" t="s">
        <v>4</v>
      </c>
      <c r="AM8" s="18" t="s">
        <v>5</v>
      </c>
      <c r="AN8" s="18" t="s">
        <v>6</v>
      </c>
      <c r="AO8" s="16" t="s">
        <v>7</v>
      </c>
      <c r="AP8" s="19" t="s">
        <v>49</v>
      </c>
      <c r="AQ8" s="18" t="s">
        <v>4</v>
      </c>
      <c r="AR8" s="18" t="s">
        <v>5</v>
      </c>
      <c r="AS8" s="18" t="s">
        <v>6</v>
      </c>
      <c r="AT8" s="16" t="s">
        <v>7</v>
      </c>
      <c r="AU8" s="19" t="s">
        <v>49</v>
      </c>
    </row>
    <row r="9" spans="1:48" x14ac:dyDescent="0.3">
      <c r="A9" s="20">
        <v>1</v>
      </c>
      <c r="B9" s="2" t="s">
        <v>8</v>
      </c>
      <c r="C9" s="6">
        <v>52455</v>
      </c>
      <c r="D9" s="6">
        <v>38766</v>
      </c>
      <c r="E9" s="9">
        <f t="shared" ref="E9:E44" si="0">F9-D9</f>
        <v>7347</v>
      </c>
      <c r="F9" s="22">
        <v>46113</v>
      </c>
      <c r="G9" s="10">
        <f t="shared" ref="G9:G44" si="1">F9/C9</f>
        <v>0.87909636831569915</v>
      </c>
      <c r="H9" s="6">
        <v>23864</v>
      </c>
      <c r="I9" s="6">
        <v>17338</v>
      </c>
      <c r="J9" s="9">
        <f>K9-I9</f>
        <v>2295</v>
      </c>
      <c r="K9" s="22">
        <v>19633</v>
      </c>
      <c r="L9" s="10">
        <f>K9/H9</f>
        <v>0.82270365403955747</v>
      </c>
      <c r="M9" s="6">
        <v>62528</v>
      </c>
      <c r="N9" s="6">
        <v>44930</v>
      </c>
      <c r="O9" s="9">
        <f>P9-N9</f>
        <v>10924</v>
      </c>
      <c r="P9" s="22">
        <v>55854</v>
      </c>
      <c r="Q9" s="10">
        <f>P9/M9</f>
        <v>0.89326381780962127</v>
      </c>
      <c r="R9" s="6">
        <v>25413</v>
      </c>
      <c r="S9" s="6">
        <v>18405</v>
      </c>
      <c r="T9" s="9">
        <f>U9-S9</f>
        <v>2806</v>
      </c>
      <c r="U9" s="22">
        <v>21211</v>
      </c>
      <c r="V9" s="10">
        <f>U9/R9</f>
        <v>0.8346515562900878</v>
      </c>
      <c r="W9" s="6">
        <v>26079</v>
      </c>
      <c r="X9" s="6">
        <v>18699</v>
      </c>
      <c r="Y9" s="9">
        <f>Z9-X9</f>
        <v>3099</v>
      </c>
      <c r="Z9" s="22">
        <v>21798</v>
      </c>
      <c r="AA9" s="10">
        <f>Z9/W9</f>
        <v>0.83584493270447491</v>
      </c>
      <c r="AB9" s="6">
        <v>66074</v>
      </c>
      <c r="AC9" s="6">
        <v>45665</v>
      </c>
      <c r="AD9" s="9">
        <f>AE9-AC9</f>
        <v>13290</v>
      </c>
      <c r="AE9" s="22">
        <v>58955</v>
      </c>
      <c r="AF9" s="10">
        <f>AE9/AB9</f>
        <v>0.89225716620758544</v>
      </c>
      <c r="AG9" s="6">
        <v>27196</v>
      </c>
      <c r="AH9" s="6">
        <v>18497</v>
      </c>
      <c r="AI9" s="9">
        <f>AJ9-AH9</f>
        <v>3810</v>
      </c>
      <c r="AJ9" s="22">
        <v>22307</v>
      </c>
      <c r="AK9" s="10">
        <f>AJ9/AG9</f>
        <v>0.82023091631122225</v>
      </c>
      <c r="AL9" s="6">
        <v>27817</v>
      </c>
      <c r="AM9" s="6">
        <v>18381</v>
      </c>
      <c r="AN9" s="9">
        <f>AO9-AM9</f>
        <v>4213</v>
      </c>
      <c r="AO9" s="22">
        <v>22594</v>
      </c>
      <c r="AP9" s="10">
        <f>AO9/AL9</f>
        <v>0.81223712118488689</v>
      </c>
      <c r="AQ9" s="6">
        <v>71741</v>
      </c>
      <c r="AR9" s="6">
        <v>44615</v>
      </c>
      <c r="AS9" s="9">
        <f>AT9-AR9</f>
        <v>17929</v>
      </c>
      <c r="AT9" s="22">
        <v>62544</v>
      </c>
      <c r="AU9" s="10">
        <f>AT9/AQ9</f>
        <v>0.87180273483781934</v>
      </c>
      <c r="AV9" s="7"/>
    </row>
    <row r="10" spans="1:48" x14ac:dyDescent="0.3">
      <c r="A10" s="20">
        <v>2</v>
      </c>
      <c r="B10" s="2" t="s">
        <v>9</v>
      </c>
      <c r="C10" s="6">
        <v>53013</v>
      </c>
      <c r="D10" s="6">
        <v>41795</v>
      </c>
      <c r="E10" s="9">
        <f t="shared" si="0"/>
        <v>6895</v>
      </c>
      <c r="F10" s="9">
        <v>48690</v>
      </c>
      <c r="G10" s="10">
        <f t="shared" si="1"/>
        <v>0.91845396412200786</v>
      </c>
      <c r="H10" s="6">
        <v>22018</v>
      </c>
      <c r="I10" s="6">
        <v>15849</v>
      </c>
      <c r="J10" s="9">
        <f t="shared" ref="J10:J47" si="2">K10-I10</f>
        <v>1616</v>
      </c>
      <c r="K10" s="22">
        <v>17465</v>
      </c>
      <c r="L10" s="10">
        <f t="shared" ref="L10:L47" si="3">K10/H10</f>
        <v>0.79321464256517393</v>
      </c>
      <c r="M10" s="6">
        <v>61691</v>
      </c>
      <c r="N10" s="6">
        <v>46919</v>
      </c>
      <c r="O10" s="9">
        <f t="shared" ref="O10:O47" si="4">P10-N10</f>
        <v>9536</v>
      </c>
      <c r="P10" s="22">
        <v>56455</v>
      </c>
      <c r="Q10" s="10">
        <f t="shared" ref="Q10:Q47" si="5">P10/M10</f>
        <v>0.9151253829569953</v>
      </c>
      <c r="R10" s="6">
        <v>21474</v>
      </c>
      <c r="S10" s="6">
        <v>16263</v>
      </c>
      <c r="T10" s="9">
        <f t="shared" ref="T10:T47" si="6">U10-S10</f>
        <v>1737</v>
      </c>
      <c r="U10" s="22">
        <v>18000</v>
      </c>
      <c r="V10" s="10">
        <f t="shared" ref="V10:V47" si="7">U10/R10</f>
        <v>0.83822296730930423</v>
      </c>
      <c r="W10" s="6">
        <v>21456</v>
      </c>
      <c r="X10" s="6">
        <v>16321</v>
      </c>
      <c r="Y10" s="9">
        <f t="shared" ref="Y10:Y47" si="8">Z10-X10</f>
        <v>1975</v>
      </c>
      <c r="Z10" s="22">
        <v>18296</v>
      </c>
      <c r="AA10" s="10">
        <f t="shared" ref="AA10:AA47" si="9">Z10/W10</f>
        <v>0.8527218493661447</v>
      </c>
      <c r="AB10" s="6">
        <v>60956</v>
      </c>
      <c r="AC10" s="6">
        <v>46128</v>
      </c>
      <c r="AD10" s="9">
        <f t="shared" ref="AD10:AD47" si="10">AE10-AC10</f>
        <v>9982</v>
      </c>
      <c r="AE10" s="22">
        <v>56110</v>
      </c>
      <c r="AF10" s="10">
        <f t="shared" ref="AF10:AF47" si="11">AE10/AB10</f>
        <v>0.92050003281055193</v>
      </c>
      <c r="AG10" s="6">
        <v>22180</v>
      </c>
      <c r="AH10" s="6">
        <v>16298</v>
      </c>
      <c r="AI10" s="9">
        <f t="shared" ref="AI10:AI47" si="12">AJ10-AH10</f>
        <v>2254</v>
      </c>
      <c r="AJ10" s="22">
        <v>18552</v>
      </c>
      <c r="AK10" s="10">
        <f t="shared" ref="AK10:AK47" si="13">AJ10/AG10</f>
        <v>0.83642921550946803</v>
      </c>
      <c r="AL10" s="6">
        <v>22607</v>
      </c>
      <c r="AM10" s="6">
        <v>16260</v>
      </c>
      <c r="AN10" s="9">
        <f t="shared" ref="AN10:AN47" si="14">AO10-AM10</f>
        <v>2516</v>
      </c>
      <c r="AO10" s="22">
        <v>18776</v>
      </c>
      <c r="AP10" s="10">
        <f t="shared" ref="AP10:AP47" si="15">AO10/AL10</f>
        <v>0.83053921351793691</v>
      </c>
      <c r="AQ10" s="6">
        <v>67470</v>
      </c>
      <c r="AR10" s="6">
        <v>48805</v>
      </c>
      <c r="AS10" s="9">
        <f t="shared" ref="AS10:AS47" si="16">AT10-AR10</f>
        <v>12774</v>
      </c>
      <c r="AT10" s="22">
        <v>61579</v>
      </c>
      <c r="AU10" s="10">
        <f t="shared" ref="AU10:AU47" si="17">AT10/AQ10</f>
        <v>0.91268712020157106</v>
      </c>
    </row>
    <row r="11" spans="1:48" x14ac:dyDescent="0.3">
      <c r="A11" s="20">
        <v>3</v>
      </c>
      <c r="B11" s="2" t="s">
        <v>10</v>
      </c>
      <c r="C11" s="6">
        <v>220786</v>
      </c>
      <c r="D11" s="6">
        <v>184145</v>
      </c>
      <c r="E11" s="9">
        <f t="shared" si="0"/>
        <v>22958</v>
      </c>
      <c r="F11" s="22">
        <v>207103</v>
      </c>
      <c r="G11" s="10">
        <f t="shared" si="1"/>
        <v>0.93802596179105557</v>
      </c>
      <c r="H11" s="6">
        <v>86189</v>
      </c>
      <c r="I11" s="6">
        <v>70068</v>
      </c>
      <c r="J11" s="9">
        <f t="shared" si="2"/>
        <v>2400</v>
      </c>
      <c r="K11" s="22">
        <v>72468</v>
      </c>
      <c r="L11" s="10">
        <f t="shared" si="3"/>
        <v>0.84080335077562107</v>
      </c>
      <c r="M11" s="6">
        <v>247374</v>
      </c>
      <c r="N11" s="6">
        <v>208887</v>
      </c>
      <c r="O11" s="9">
        <f t="shared" si="4"/>
        <v>26174</v>
      </c>
      <c r="P11" s="22">
        <v>235061</v>
      </c>
      <c r="Q11" s="10">
        <f t="shared" si="5"/>
        <v>0.95022516513457356</v>
      </c>
      <c r="R11" s="6">
        <v>84164</v>
      </c>
      <c r="S11" s="6">
        <v>72581</v>
      </c>
      <c r="T11" s="9">
        <f t="shared" si="6"/>
        <v>2724</v>
      </c>
      <c r="U11" s="22">
        <v>75305</v>
      </c>
      <c r="V11" s="10">
        <f t="shared" si="7"/>
        <v>0.89474121952378693</v>
      </c>
      <c r="W11" s="6">
        <v>84375</v>
      </c>
      <c r="X11" s="6">
        <v>73023</v>
      </c>
      <c r="Y11" s="9">
        <f t="shared" si="8"/>
        <v>3196</v>
      </c>
      <c r="Z11" s="22">
        <v>76219</v>
      </c>
      <c r="AA11" s="10">
        <f t="shared" si="9"/>
        <v>0.9033362962962963</v>
      </c>
      <c r="AB11" s="6">
        <v>254559</v>
      </c>
      <c r="AC11" s="6">
        <v>215323</v>
      </c>
      <c r="AD11" s="9">
        <f t="shared" si="10"/>
        <v>28240</v>
      </c>
      <c r="AE11" s="22">
        <v>243563</v>
      </c>
      <c r="AF11" s="10">
        <f t="shared" si="11"/>
        <v>0.95680372723022955</v>
      </c>
      <c r="AG11" s="6">
        <v>85473</v>
      </c>
      <c r="AH11" s="6">
        <v>73073</v>
      </c>
      <c r="AI11" s="9">
        <f t="shared" si="12"/>
        <v>3606</v>
      </c>
      <c r="AJ11" s="22">
        <v>76679</v>
      </c>
      <c r="AK11" s="10">
        <f t="shared" si="13"/>
        <v>0.89711370842254279</v>
      </c>
      <c r="AL11" s="6">
        <v>86098</v>
      </c>
      <c r="AM11" s="6">
        <v>72955</v>
      </c>
      <c r="AN11" s="9">
        <f t="shared" si="14"/>
        <v>4031</v>
      </c>
      <c r="AO11" s="22">
        <v>76986</v>
      </c>
      <c r="AP11" s="10">
        <f t="shared" si="15"/>
        <v>0.89416711189574671</v>
      </c>
      <c r="AQ11" s="6">
        <v>264808</v>
      </c>
      <c r="AR11" s="6">
        <v>218293</v>
      </c>
      <c r="AS11" s="9">
        <f t="shared" si="16"/>
        <v>33172</v>
      </c>
      <c r="AT11" s="22">
        <v>251465</v>
      </c>
      <c r="AU11" s="10">
        <f t="shared" si="17"/>
        <v>0.94961254946980456</v>
      </c>
    </row>
    <row r="12" spans="1:48" x14ac:dyDescent="0.3">
      <c r="A12" s="20">
        <v>4</v>
      </c>
      <c r="B12" s="2" t="s">
        <v>11</v>
      </c>
      <c r="C12" s="6">
        <v>20632</v>
      </c>
      <c r="D12" s="6">
        <v>16980</v>
      </c>
      <c r="E12" s="9">
        <f t="shared" si="0"/>
        <v>3065</v>
      </c>
      <c r="F12" s="22">
        <v>20045</v>
      </c>
      <c r="G12" s="10">
        <f t="shared" si="1"/>
        <v>0.97154905001938741</v>
      </c>
      <c r="H12" s="6">
        <v>9277</v>
      </c>
      <c r="I12" s="6">
        <v>7966</v>
      </c>
      <c r="J12" s="9">
        <f t="shared" si="2"/>
        <v>358</v>
      </c>
      <c r="K12" s="22">
        <v>8324</v>
      </c>
      <c r="L12" s="10">
        <f t="shared" si="3"/>
        <v>0.89727282526678886</v>
      </c>
      <c r="M12" s="6">
        <v>23418</v>
      </c>
      <c r="N12" s="6">
        <v>18942</v>
      </c>
      <c r="O12" s="9">
        <f t="shared" si="4"/>
        <v>3417</v>
      </c>
      <c r="P12" s="22">
        <v>22359</v>
      </c>
      <c r="Q12" s="10">
        <f t="shared" si="5"/>
        <v>0.95477837560850631</v>
      </c>
      <c r="R12" s="6">
        <v>9465</v>
      </c>
      <c r="S12" s="6">
        <v>8211</v>
      </c>
      <c r="T12" s="9">
        <f t="shared" si="6"/>
        <v>406</v>
      </c>
      <c r="U12" s="22">
        <v>8617</v>
      </c>
      <c r="V12" s="10">
        <f t="shared" si="7"/>
        <v>0.91040676175382995</v>
      </c>
      <c r="W12" s="6">
        <v>9528</v>
      </c>
      <c r="X12" s="6">
        <v>8279</v>
      </c>
      <c r="Y12" s="9">
        <f t="shared" si="8"/>
        <v>448</v>
      </c>
      <c r="Z12" s="22">
        <v>8727</v>
      </c>
      <c r="AA12" s="10">
        <f t="shared" si="9"/>
        <v>0.91593198992443325</v>
      </c>
      <c r="AB12" s="6">
        <v>24261</v>
      </c>
      <c r="AC12" s="6">
        <v>19525</v>
      </c>
      <c r="AD12" s="9">
        <f t="shared" si="10"/>
        <v>3626</v>
      </c>
      <c r="AE12" s="22">
        <v>23151</v>
      </c>
      <c r="AF12" s="10">
        <f t="shared" si="11"/>
        <v>0.95424755780882897</v>
      </c>
      <c r="AG12" s="6">
        <v>9745</v>
      </c>
      <c r="AH12" s="6">
        <v>8292</v>
      </c>
      <c r="AI12" s="9">
        <f t="shared" si="12"/>
        <v>513</v>
      </c>
      <c r="AJ12" s="22">
        <v>8805</v>
      </c>
      <c r="AK12" s="10">
        <f t="shared" si="13"/>
        <v>0.9035402770651616</v>
      </c>
      <c r="AL12" s="6">
        <v>9830</v>
      </c>
      <c r="AM12" s="6">
        <v>8293</v>
      </c>
      <c r="AN12" s="9">
        <f t="shared" si="14"/>
        <v>562</v>
      </c>
      <c r="AO12" s="22">
        <v>8855</v>
      </c>
      <c r="AP12" s="10">
        <f t="shared" si="15"/>
        <v>0.90081383519837233</v>
      </c>
      <c r="AQ12" s="6">
        <v>25208</v>
      </c>
      <c r="AR12" s="6">
        <v>19798</v>
      </c>
      <c r="AS12" s="9">
        <f t="shared" si="16"/>
        <v>4102</v>
      </c>
      <c r="AT12" s="22">
        <v>23900</v>
      </c>
      <c r="AU12" s="10">
        <f t="shared" si="17"/>
        <v>0.94811171056807364</v>
      </c>
    </row>
    <row r="13" spans="1:48" x14ac:dyDescent="0.3">
      <c r="A13" s="20">
        <v>5</v>
      </c>
      <c r="B13" s="2" t="s">
        <v>12</v>
      </c>
      <c r="C13" s="6">
        <v>85370</v>
      </c>
      <c r="D13" s="6">
        <v>59399</v>
      </c>
      <c r="E13" s="9">
        <f t="shared" si="0"/>
        <v>16198</v>
      </c>
      <c r="F13" s="22">
        <v>75597</v>
      </c>
      <c r="G13" s="10">
        <f t="shared" si="1"/>
        <v>0.88552184608176177</v>
      </c>
      <c r="H13" s="6">
        <v>34516</v>
      </c>
      <c r="I13" s="6">
        <v>23113</v>
      </c>
      <c r="J13" s="9">
        <f t="shared" si="2"/>
        <v>2896</v>
      </c>
      <c r="K13" s="22">
        <v>26009</v>
      </c>
      <c r="L13" s="10">
        <f t="shared" si="3"/>
        <v>0.75353459265268286</v>
      </c>
      <c r="M13" s="6">
        <v>100078</v>
      </c>
      <c r="N13" s="6">
        <v>66450</v>
      </c>
      <c r="O13" s="9">
        <f t="shared" si="4"/>
        <v>21066</v>
      </c>
      <c r="P13" s="22">
        <v>87516</v>
      </c>
      <c r="Q13" s="10">
        <f t="shared" si="5"/>
        <v>0.87447790723235874</v>
      </c>
      <c r="R13" s="6">
        <v>34094</v>
      </c>
      <c r="S13" s="6">
        <v>23403</v>
      </c>
      <c r="T13" s="9">
        <f t="shared" si="6"/>
        <v>3418</v>
      </c>
      <c r="U13" s="22">
        <v>26821</v>
      </c>
      <c r="V13" s="10">
        <f t="shared" si="7"/>
        <v>0.78667800786062059</v>
      </c>
      <c r="W13" s="6">
        <v>34556</v>
      </c>
      <c r="X13" s="6">
        <v>23613</v>
      </c>
      <c r="Y13" s="9">
        <f t="shared" si="8"/>
        <v>3915</v>
      </c>
      <c r="Z13" s="22">
        <v>27528</v>
      </c>
      <c r="AA13" s="10">
        <f t="shared" si="9"/>
        <v>0.79661997916425509</v>
      </c>
      <c r="AB13" s="6">
        <v>99756</v>
      </c>
      <c r="AC13" s="6">
        <v>65197</v>
      </c>
      <c r="AD13" s="9">
        <f t="shared" si="10"/>
        <v>22135</v>
      </c>
      <c r="AE13" s="22">
        <v>87332</v>
      </c>
      <c r="AF13" s="10">
        <f t="shared" si="11"/>
        <v>0.87545611291551384</v>
      </c>
      <c r="AG13" s="6">
        <v>35615</v>
      </c>
      <c r="AH13" s="6">
        <v>23140</v>
      </c>
      <c r="AI13" s="9">
        <f t="shared" si="12"/>
        <v>4640</v>
      </c>
      <c r="AJ13" s="22">
        <v>27780</v>
      </c>
      <c r="AK13" s="10">
        <f t="shared" si="13"/>
        <v>0.78000842341709953</v>
      </c>
      <c r="AL13" s="6">
        <v>36218</v>
      </c>
      <c r="AM13" s="6">
        <v>22807</v>
      </c>
      <c r="AN13" s="9">
        <f t="shared" si="14"/>
        <v>5094</v>
      </c>
      <c r="AO13" s="22">
        <v>27901</v>
      </c>
      <c r="AP13" s="10">
        <f t="shared" si="15"/>
        <v>0.77036280302611959</v>
      </c>
      <c r="AQ13" s="6">
        <v>107596</v>
      </c>
      <c r="AR13" s="6">
        <v>64849</v>
      </c>
      <c r="AS13" s="9">
        <f t="shared" si="16"/>
        <v>28038</v>
      </c>
      <c r="AT13" s="22">
        <v>92887</v>
      </c>
      <c r="AU13" s="10">
        <f t="shared" si="17"/>
        <v>0.86329417450462842</v>
      </c>
    </row>
    <row r="14" spans="1:48" x14ac:dyDescent="0.3">
      <c r="A14" s="20">
        <v>6</v>
      </c>
      <c r="B14" s="2" t="s">
        <v>13</v>
      </c>
      <c r="C14" s="6">
        <v>260418</v>
      </c>
      <c r="D14" s="6">
        <v>210196</v>
      </c>
      <c r="E14" s="9">
        <f t="shared" si="0"/>
        <v>39503</v>
      </c>
      <c r="F14" s="22">
        <v>249699</v>
      </c>
      <c r="G14" s="10">
        <f t="shared" si="1"/>
        <v>0.95883925074303622</v>
      </c>
      <c r="H14" s="6">
        <v>106224</v>
      </c>
      <c r="I14" s="6">
        <v>90425</v>
      </c>
      <c r="J14" s="9">
        <f t="shared" si="2"/>
        <v>3510</v>
      </c>
      <c r="K14" s="22">
        <v>93935</v>
      </c>
      <c r="L14" s="10">
        <f t="shared" si="3"/>
        <v>0.88431051363157098</v>
      </c>
      <c r="M14" s="6">
        <v>302837</v>
      </c>
      <c r="N14" s="6">
        <v>237446</v>
      </c>
      <c r="O14" s="9">
        <f t="shared" si="4"/>
        <v>49157</v>
      </c>
      <c r="P14" s="22">
        <v>286603</v>
      </c>
      <c r="Q14" s="10">
        <f t="shared" si="5"/>
        <v>0.94639360448029797</v>
      </c>
      <c r="R14" s="6">
        <v>109560</v>
      </c>
      <c r="S14" s="6">
        <v>93762</v>
      </c>
      <c r="T14" s="9">
        <f t="shared" si="6"/>
        <v>4336</v>
      </c>
      <c r="U14" s="22">
        <v>98098</v>
      </c>
      <c r="V14" s="10">
        <f t="shared" si="7"/>
        <v>0.89538152610441768</v>
      </c>
      <c r="W14" s="6">
        <v>111025</v>
      </c>
      <c r="X14" s="6">
        <v>94759</v>
      </c>
      <c r="Y14" s="9">
        <f t="shared" si="8"/>
        <v>4931</v>
      </c>
      <c r="Z14" s="22">
        <v>99690</v>
      </c>
      <c r="AA14" s="10">
        <f t="shared" si="9"/>
        <v>0.89790587705471736</v>
      </c>
      <c r="AB14" s="6">
        <v>321480</v>
      </c>
      <c r="AC14" s="6">
        <v>247493</v>
      </c>
      <c r="AD14" s="9">
        <f t="shared" si="10"/>
        <v>55484</v>
      </c>
      <c r="AE14" s="22">
        <v>302977</v>
      </c>
      <c r="AF14" s="10">
        <f t="shared" si="11"/>
        <v>0.94244432001990797</v>
      </c>
      <c r="AG14" s="6">
        <v>113833</v>
      </c>
      <c r="AH14" s="6">
        <v>95230</v>
      </c>
      <c r="AI14" s="9">
        <f t="shared" si="12"/>
        <v>6027</v>
      </c>
      <c r="AJ14" s="22">
        <v>101257</v>
      </c>
      <c r="AK14" s="10">
        <f t="shared" si="13"/>
        <v>0.88952237049010396</v>
      </c>
      <c r="AL14" s="6">
        <v>115406</v>
      </c>
      <c r="AM14" s="6">
        <v>95413</v>
      </c>
      <c r="AN14" s="9">
        <f t="shared" si="14"/>
        <v>6694</v>
      </c>
      <c r="AO14" s="22">
        <v>102107</v>
      </c>
      <c r="AP14" s="10">
        <f t="shared" si="15"/>
        <v>0.88476335719113386</v>
      </c>
      <c r="AQ14" s="6">
        <v>343982</v>
      </c>
      <c r="AR14" s="6">
        <v>255642</v>
      </c>
      <c r="AS14" s="9">
        <f t="shared" si="16"/>
        <v>65590</v>
      </c>
      <c r="AT14" s="22">
        <v>321232</v>
      </c>
      <c r="AU14" s="10">
        <f t="shared" si="17"/>
        <v>0.93386281840328855</v>
      </c>
    </row>
    <row r="15" spans="1:48" x14ac:dyDescent="0.3">
      <c r="A15" s="20">
        <v>7</v>
      </c>
      <c r="B15" s="2" t="s">
        <v>14</v>
      </c>
      <c r="C15" s="6">
        <v>442968</v>
      </c>
      <c r="D15" s="6">
        <v>372983</v>
      </c>
      <c r="E15" s="9">
        <f t="shared" si="0"/>
        <v>60327</v>
      </c>
      <c r="F15" s="22">
        <v>433310</v>
      </c>
      <c r="G15" s="10">
        <f t="shared" si="1"/>
        <v>0.9781970706687616</v>
      </c>
      <c r="H15" s="6">
        <v>156654</v>
      </c>
      <c r="I15" s="6">
        <v>131398</v>
      </c>
      <c r="J15" s="9">
        <f t="shared" si="2"/>
        <v>7989</v>
      </c>
      <c r="K15" s="22">
        <v>139387</v>
      </c>
      <c r="L15" s="10">
        <f t="shared" si="3"/>
        <v>0.88977619467105851</v>
      </c>
      <c r="M15" s="6">
        <v>521051</v>
      </c>
      <c r="N15" s="6">
        <v>425161</v>
      </c>
      <c r="O15" s="9">
        <f t="shared" si="4"/>
        <v>73185</v>
      </c>
      <c r="P15" s="22">
        <v>498346</v>
      </c>
      <c r="Q15" s="10">
        <f t="shared" si="5"/>
        <v>0.95642461102655973</v>
      </c>
      <c r="R15" s="6">
        <v>164695</v>
      </c>
      <c r="S15" s="6">
        <v>136316</v>
      </c>
      <c r="T15" s="9">
        <f t="shared" si="6"/>
        <v>9288</v>
      </c>
      <c r="U15" s="22">
        <v>145604</v>
      </c>
      <c r="V15" s="10">
        <f t="shared" si="7"/>
        <v>0.88408269832113906</v>
      </c>
      <c r="W15" s="6">
        <v>167887</v>
      </c>
      <c r="X15" s="6">
        <v>137732</v>
      </c>
      <c r="Y15" s="9">
        <f t="shared" si="8"/>
        <v>10222</v>
      </c>
      <c r="Z15" s="22">
        <v>147954</v>
      </c>
      <c r="AA15" s="10">
        <f t="shared" si="9"/>
        <v>0.88127133131213253</v>
      </c>
      <c r="AB15" s="6">
        <v>558644</v>
      </c>
      <c r="AC15" s="6">
        <v>442617</v>
      </c>
      <c r="AD15" s="9">
        <f t="shared" si="10"/>
        <v>84194</v>
      </c>
      <c r="AE15" s="22">
        <v>526811</v>
      </c>
      <c r="AF15" s="10">
        <f t="shared" si="11"/>
        <v>0.94301737779337114</v>
      </c>
      <c r="AG15" s="6">
        <v>173388</v>
      </c>
      <c r="AH15" s="6">
        <v>137768</v>
      </c>
      <c r="AI15" s="9">
        <f t="shared" si="12"/>
        <v>12380</v>
      </c>
      <c r="AJ15" s="22">
        <v>150148</v>
      </c>
      <c r="AK15" s="10">
        <f t="shared" si="13"/>
        <v>0.86596534938980785</v>
      </c>
      <c r="AL15" s="6">
        <v>176069</v>
      </c>
      <c r="AM15" s="6">
        <v>137512</v>
      </c>
      <c r="AN15" s="9">
        <f t="shared" si="14"/>
        <v>13770</v>
      </c>
      <c r="AO15" s="22">
        <v>151282</v>
      </c>
      <c r="AP15" s="10">
        <f t="shared" si="15"/>
        <v>0.85921996490012442</v>
      </c>
      <c r="AQ15" s="6">
        <v>592372</v>
      </c>
      <c r="AR15" s="6">
        <v>449150</v>
      </c>
      <c r="AS15" s="9">
        <f t="shared" si="16"/>
        <v>100191</v>
      </c>
      <c r="AT15" s="22">
        <v>549341</v>
      </c>
      <c r="AU15" s="10">
        <f t="shared" si="17"/>
        <v>0.92735814657006066</v>
      </c>
    </row>
    <row r="16" spans="1:48" x14ac:dyDescent="0.3">
      <c r="A16" s="20">
        <v>8</v>
      </c>
      <c r="B16" s="2" t="s">
        <v>15</v>
      </c>
      <c r="C16" s="6">
        <v>399525</v>
      </c>
      <c r="D16" s="6">
        <v>308273</v>
      </c>
      <c r="E16" s="9">
        <f t="shared" si="0"/>
        <v>69322</v>
      </c>
      <c r="F16" s="22">
        <v>377595</v>
      </c>
      <c r="G16" s="10">
        <f t="shared" si="1"/>
        <v>0.94510981790876669</v>
      </c>
      <c r="H16" s="6">
        <v>126607</v>
      </c>
      <c r="I16" s="6">
        <v>96765</v>
      </c>
      <c r="J16" s="9">
        <f t="shared" si="2"/>
        <v>5699</v>
      </c>
      <c r="K16" s="22">
        <v>102464</v>
      </c>
      <c r="L16" s="10">
        <f t="shared" si="3"/>
        <v>0.80930754223700108</v>
      </c>
      <c r="M16" s="6">
        <v>435929</v>
      </c>
      <c r="N16" s="6">
        <v>333154</v>
      </c>
      <c r="O16" s="9">
        <f t="shared" si="4"/>
        <v>77980</v>
      </c>
      <c r="P16" s="22">
        <v>411134</v>
      </c>
      <c r="Q16" s="10">
        <f t="shared" si="5"/>
        <v>0.94312147161579063</v>
      </c>
      <c r="R16" s="6">
        <v>119115</v>
      </c>
      <c r="S16" s="6">
        <v>98715</v>
      </c>
      <c r="T16" s="9">
        <f t="shared" si="6"/>
        <v>6370</v>
      </c>
      <c r="U16" s="22">
        <v>105085</v>
      </c>
      <c r="V16" s="10">
        <f t="shared" si="7"/>
        <v>0.88221466649876168</v>
      </c>
      <c r="W16" s="6">
        <v>119566</v>
      </c>
      <c r="X16" s="6">
        <v>99286</v>
      </c>
      <c r="Y16" s="9">
        <f t="shared" si="8"/>
        <v>7877</v>
      </c>
      <c r="Z16" s="22">
        <v>107163</v>
      </c>
      <c r="AA16" s="10">
        <f t="shared" si="9"/>
        <v>0.89626649716474582</v>
      </c>
      <c r="AB16" s="6">
        <v>433360</v>
      </c>
      <c r="AC16" s="6">
        <v>333036</v>
      </c>
      <c r="AD16" s="9">
        <f t="shared" si="10"/>
        <v>79142</v>
      </c>
      <c r="AE16" s="22">
        <v>412178</v>
      </c>
      <c r="AF16" s="10">
        <f t="shared" si="11"/>
        <v>0.951121469448034</v>
      </c>
      <c r="AG16" s="6">
        <v>121543</v>
      </c>
      <c r="AH16" s="6">
        <v>98827</v>
      </c>
      <c r="AI16" s="9">
        <f t="shared" si="12"/>
        <v>8643</v>
      </c>
      <c r="AJ16" s="22">
        <v>107470</v>
      </c>
      <c r="AK16" s="10">
        <f t="shared" si="13"/>
        <v>0.88421381733213755</v>
      </c>
      <c r="AL16" s="6">
        <v>122081</v>
      </c>
      <c r="AM16" s="6">
        <v>98438</v>
      </c>
      <c r="AN16" s="9">
        <f t="shared" si="14"/>
        <v>9230</v>
      </c>
      <c r="AO16" s="22">
        <v>107668</v>
      </c>
      <c r="AP16" s="10">
        <f t="shared" si="15"/>
        <v>0.88193904047312854</v>
      </c>
      <c r="AQ16" s="6">
        <v>455889</v>
      </c>
      <c r="AR16" s="6">
        <v>335895</v>
      </c>
      <c r="AS16" s="9">
        <f t="shared" si="16"/>
        <v>94231</v>
      </c>
      <c r="AT16" s="22">
        <v>430126</v>
      </c>
      <c r="AU16" s="10">
        <f t="shared" si="17"/>
        <v>0.94348843687827522</v>
      </c>
    </row>
    <row r="17" spans="1:47" x14ac:dyDescent="0.3">
      <c r="A17" s="20">
        <v>9</v>
      </c>
      <c r="B17" s="2" t="s">
        <v>16</v>
      </c>
      <c r="C17" s="6">
        <v>738006</v>
      </c>
      <c r="D17" s="6">
        <v>554678</v>
      </c>
      <c r="E17" s="9">
        <f t="shared" si="0"/>
        <v>125743</v>
      </c>
      <c r="F17" s="22">
        <v>680421</v>
      </c>
      <c r="G17" s="10">
        <f t="shared" si="1"/>
        <v>0.92197217908797491</v>
      </c>
      <c r="H17" s="6">
        <v>278909</v>
      </c>
      <c r="I17" s="6">
        <v>200539</v>
      </c>
      <c r="J17" s="9">
        <f t="shared" si="2"/>
        <v>20032</v>
      </c>
      <c r="K17" s="22">
        <v>220571</v>
      </c>
      <c r="L17" s="10">
        <f t="shared" si="3"/>
        <v>0.79083500353161784</v>
      </c>
      <c r="M17" s="6">
        <v>887856</v>
      </c>
      <c r="N17" s="6">
        <v>632208</v>
      </c>
      <c r="O17" s="9">
        <f t="shared" si="4"/>
        <v>168610</v>
      </c>
      <c r="P17" s="22">
        <v>800818</v>
      </c>
      <c r="Q17" s="10">
        <f t="shared" si="5"/>
        <v>0.90196833720783554</v>
      </c>
      <c r="R17" s="6">
        <v>272330</v>
      </c>
      <c r="S17" s="6">
        <v>205339</v>
      </c>
      <c r="T17" s="9">
        <f t="shared" si="6"/>
        <v>23002</v>
      </c>
      <c r="U17" s="22">
        <v>228341</v>
      </c>
      <c r="V17" s="10">
        <f t="shared" si="7"/>
        <v>0.83847170712003816</v>
      </c>
      <c r="W17" s="6">
        <v>275780</v>
      </c>
      <c r="X17" s="6">
        <v>207820</v>
      </c>
      <c r="Y17" s="9">
        <f t="shared" si="8"/>
        <v>28167</v>
      </c>
      <c r="Z17" s="22">
        <v>235987</v>
      </c>
      <c r="AA17" s="10">
        <f t="shared" si="9"/>
        <v>0.85570744796576981</v>
      </c>
      <c r="AB17" s="6">
        <v>847512</v>
      </c>
      <c r="AC17" s="6">
        <v>599829</v>
      </c>
      <c r="AD17" s="9">
        <f t="shared" si="10"/>
        <v>170084</v>
      </c>
      <c r="AE17" s="22">
        <v>769913</v>
      </c>
      <c r="AF17" s="10">
        <f t="shared" si="11"/>
        <v>0.90843905455026008</v>
      </c>
      <c r="AG17" s="6">
        <v>284469</v>
      </c>
      <c r="AH17" s="6">
        <v>204934</v>
      </c>
      <c r="AI17" s="9">
        <f t="shared" si="12"/>
        <v>31555</v>
      </c>
      <c r="AJ17" s="22">
        <v>236489</v>
      </c>
      <c r="AK17" s="10">
        <f t="shared" si="13"/>
        <v>0.83133487304416298</v>
      </c>
      <c r="AL17" s="6">
        <v>289980</v>
      </c>
      <c r="AM17" s="6">
        <v>203422</v>
      </c>
      <c r="AN17" s="9">
        <f t="shared" si="14"/>
        <v>34827</v>
      </c>
      <c r="AO17" s="22">
        <v>238249</v>
      </c>
      <c r="AP17" s="10">
        <f t="shared" si="15"/>
        <v>0.82160493827160497</v>
      </c>
      <c r="AQ17" s="6">
        <v>913159</v>
      </c>
      <c r="AR17" s="6">
        <v>604953</v>
      </c>
      <c r="AS17" s="9">
        <f t="shared" si="16"/>
        <v>211270</v>
      </c>
      <c r="AT17" s="22">
        <v>816223</v>
      </c>
      <c r="AU17" s="10">
        <f t="shared" si="17"/>
        <v>0.89384543108045811</v>
      </c>
    </row>
    <row r="18" spans="1:47" x14ac:dyDescent="0.3">
      <c r="A18" s="21">
        <v>10</v>
      </c>
      <c r="B18" s="2" t="s">
        <v>17</v>
      </c>
      <c r="C18" s="6">
        <v>187455</v>
      </c>
      <c r="D18" s="6">
        <v>128425</v>
      </c>
      <c r="E18" s="9">
        <f t="shared" si="0"/>
        <v>35021</v>
      </c>
      <c r="F18" s="22">
        <v>163446</v>
      </c>
      <c r="G18" s="10">
        <f t="shared" si="1"/>
        <v>0.87192126110266466</v>
      </c>
      <c r="H18" s="6">
        <v>84976</v>
      </c>
      <c r="I18" s="6">
        <v>49200</v>
      </c>
      <c r="J18" s="9">
        <f t="shared" si="2"/>
        <v>10625</v>
      </c>
      <c r="K18" s="22">
        <v>59825</v>
      </c>
      <c r="L18" s="10">
        <f t="shared" si="3"/>
        <v>0.70402231218226319</v>
      </c>
      <c r="M18" s="6">
        <v>222312</v>
      </c>
      <c r="N18" s="6">
        <v>140800</v>
      </c>
      <c r="O18" s="9">
        <f t="shared" si="4"/>
        <v>49132</v>
      </c>
      <c r="P18" s="22">
        <v>189932</v>
      </c>
      <c r="Q18" s="10">
        <f t="shared" si="5"/>
        <v>0.85434884306740078</v>
      </c>
      <c r="R18" s="6">
        <v>80757</v>
      </c>
      <c r="S18" s="6">
        <v>49283</v>
      </c>
      <c r="T18" s="9">
        <f t="shared" si="6"/>
        <v>11744</v>
      </c>
      <c r="U18" s="22">
        <v>61027</v>
      </c>
      <c r="V18" s="10">
        <f t="shared" si="7"/>
        <v>0.75568681352700073</v>
      </c>
      <c r="W18" s="6">
        <v>83269</v>
      </c>
      <c r="X18" s="6">
        <v>49940</v>
      </c>
      <c r="Y18" s="9">
        <f t="shared" si="8"/>
        <v>13396</v>
      </c>
      <c r="Z18" s="22">
        <v>63336</v>
      </c>
      <c r="AA18" s="10">
        <f t="shared" si="9"/>
        <v>0.76061919802087208</v>
      </c>
      <c r="AB18" s="6">
        <v>219776</v>
      </c>
      <c r="AC18" s="6">
        <v>133902</v>
      </c>
      <c r="AD18" s="9">
        <f t="shared" si="10"/>
        <v>53739</v>
      </c>
      <c r="AE18" s="22">
        <v>187641</v>
      </c>
      <c r="AF18" s="10">
        <f t="shared" si="11"/>
        <v>0.85378294263249854</v>
      </c>
      <c r="AG18" s="6">
        <v>86656</v>
      </c>
      <c r="AH18" s="6">
        <v>48109</v>
      </c>
      <c r="AI18" s="9">
        <f t="shared" si="12"/>
        <v>16163</v>
      </c>
      <c r="AJ18" s="22">
        <v>64272</v>
      </c>
      <c r="AK18" s="10">
        <f t="shared" si="13"/>
        <v>0.74169128508124071</v>
      </c>
      <c r="AL18" s="6">
        <v>88999</v>
      </c>
      <c r="AM18" s="6">
        <v>47436</v>
      </c>
      <c r="AN18" s="9">
        <f t="shared" si="14"/>
        <v>17496</v>
      </c>
      <c r="AO18" s="22">
        <v>64932</v>
      </c>
      <c r="AP18" s="10">
        <f t="shared" si="15"/>
        <v>0.72958123124978935</v>
      </c>
      <c r="AQ18" s="6">
        <v>238741</v>
      </c>
      <c r="AR18" s="6">
        <v>130725</v>
      </c>
      <c r="AS18" s="9">
        <f t="shared" si="16"/>
        <v>69318</v>
      </c>
      <c r="AT18" s="22">
        <v>200043</v>
      </c>
      <c r="AU18" s="10">
        <f t="shared" si="17"/>
        <v>0.83790802585228341</v>
      </c>
    </row>
    <row r="19" spans="1:47" x14ac:dyDescent="0.3">
      <c r="A19" s="21">
        <v>11</v>
      </c>
      <c r="B19" s="2" t="s">
        <v>18</v>
      </c>
      <c r="C19" s="6">
        <v>3154</v>
      </c>
      <c r="D19" s="6">
        <v>2521</v>
      </c>
      <c r="E19" s="9">
        <f t="shared" si="0"/>
        <v>365</v>
      </c>
      <c r="F19" s="22">
        <v>2886</v>
      </c>
      <c r="G19" s="10">
        <f t="shared" si="1"/>
        <v>0.91502853519340521</v>
      </c>
      <c r="H19" s="6">
        <v>1843</v>
      </c>
      <c r="I19" s="6">
        <v>1343</v>
      </c>
      <c r="J19" s="9">
        <f t="shared" si="2"/>
        <v>222</v>
      </c>
      <c r="K19" s="22">
        <v>1565</v>
      </c>
      <c r="L19" s="10">
        <f t="shared" si="3"/>
        <v>0.84915897992403688</v>
      </c>
      <c r="M19" s="6">
        <v>3804</v>
      </c>
      <c r="N19" s="6">
        <v>2770</v>
      </c>
      <c r="O19" s="9">
        <f t="shared" si="4"/>
        <v>653</v>
      </c>
      <c r="P19" s="22">
        <v>3423</v>
      </c>
      <c r="Q19" s="10">
        <f t="shared" si="5"/>
        <v>0.89984227129337535</v>
      </c>
      <c r="R19" s="6">
        <v>1925</v>
      </c>
      <c r="S19" s="6">
        <v>1407</v>
      </c>
      <c r="T19" s="9">
        <f t="shared" si="6"/>
        <v>281</v>
      </c>
      <c r="U19" s="22">
        <v>1688</v>
      </c>
      <c r="V19" s="10">
        <f t="shared" si="7"/>
        <v>0.87688311688311693</v>
      </c>
      <c r="W19" s="6">
        <v>1983</v>
      </c>
      <c r="X19" s="6">
        <v>1445</v>
      </c>
      <c r="Y19" s="9">
        <f t="shared" si="8"/>
        <v>308</v>
      </c>
      <c r="Z19" s="22">
        <v>1753</v>
      </c>
      <c r="AA19" s="10">
        <f t="shared" si="9"/>
        <v>0.88401412002017143</v>
      </c>
      <c r="AB19" s="6">
        <v>4003</v>
      </c>
      <c r="AC19" s="6">
        <v>2811</v>
      </c>
      <c r="AD19" s="9">
        <f t="shared" si="10"/>
        <v>815</v>
      </c>
      <c r="AE19" s="22">
        <v>3626</v>
      </c>
      <c r="AF19" s="10">
        <f t="shared" si="11"/>
        <v>0.90582063452410688</v>
      </c>
      <c r="AG19" s="6">
        <v>2072</v>
      </c>
      <c r="AH19" s="6">
        <v>1424</v>
      </c>
      <c r="AI19" s="9">
        <f t="shared" si="12"/>
        <v>377</v>
      </c>
      <c r="AJ19" s="22">
        <v>1801</v>
      </c>
      <c r="AK19" s="10">
        <f t="shared" si="13"/>
        <v>0.86920849420849422</v>
      </c>
      <c r="AL19" s="6">
        <v>2145</v>
      </c>
      <c r="AM19" s="6">
        <v>1423</v>
      </c>
      <c r="AN19" s="9">
        <f t="shared" si="14"/>
        <v>406</v>
      </c>
      <c r="AO19" s="22">
        <v>1829</v>
      </c>
      <c r="AP19" s="10">
        <f t="shared" si="15"/>
        <v>0.85268065268065263</v>
      </c>
      <c r="AQ19" s="6">
        <v>4449</v>
      </c>
      <c r="AR19" s="6">
        <v>2805</v>
      </c>
      <c r="AS19" s="9">
        <f t="shared" si="16"/>
        <v>1162</v>
      </c>
      <c r="AT19" s="22">
        <v>3967</v>
      </c>
      <c r="AU19" s="10">
        <f t="shared" si="17"/>
        <v>0.89166104742638796</v>
      </c>
    </row>
    <row r="20" spans="1:47" x14ac:dyDescent="0.3">
      <c r="A20" s="21">
        <v>12</v>
      </c>
      <c r="B20" s="2" t="s">
        <v>19</v>
      </c>
      <c r="C20" s="6">
        <v>4103</v>
      </c>
      <c r="D20" s="6">
        <v>2743</v>
      </c>
      <c r="E20" s="9">
        <f t="shared" si="0"/>
        <v>698</v>
      </c>
      <c r="F20" s="22">
        <v>3441</v>
      </c>
      <c r="G20" s="10">
        <f t="shared" si="1"/>
        <v>0.83865464294418723</v>
      </c>
      <c r="H20" s="6">
        <v>2893</v>
      </c>
      <c r="I20" s="6">
        <v>1654</v>
      </c>
      <c r="J20" s="9">
        <f t="shared" si="2"/>
        <v>434</v>
      </c>
      <c r="K20" s="22">
        <v>2088</v>
      </c>
      <c r="L20" s="10">
        <f t="shared" si="3"/>
        <v>0.72174213619080541</v>
      </c>
      <c r="M20" s="6">
        <v>6068</v>
      </c>
      <c r="N20" s="6">
        <v>3443</v>
      </c>
      <c r="O20" s="9">
        <f t="shared" si="4"/>
        <v>1317</v>
      </c>
      <c r="P20" s="22">
        <v>4760</v>
      </c>
      <c r="Q20" s="10">
        <f t="shared" si="5"/>
        <v>0.78444297956493081</v>
      </c>
      <c r="R20" s="6">
        <v>3316</v>
      </c>
      <c r="S20" s="6">
        <v>1828</v>
      </c>
      <c r="T20" s="9">
        <f t="shared" si="6"/>
        <v>581</v>
      </c>
      <c r="U20" s="22">
        <v>2409</v>
      </c>
      <c r="V20" s="10">
        <f t="shared" si="7"/>
        <v>0.72647768395657419</v>
      </c>
      <c r="W20" s="6">
        <v>3452</v>
      </c>
      <c r="X20" s="6">
        <v>1898</v>
      </c>
      <c r="Y20" s="9">
        <f t="shared" si="8"/>
        <v>667</v>
      </c>
      <c r="Z20" s="22">
        <v>2565</v>
      </c>
      <c r="AA20" s="10">
        <f t="shared" si="9"/>
        <v>0.74304750869061409</v>
      </c>
      <c r="AB20" s="6">
        <v>6705</v>
      </c>
      <c r="AC20" s="6">
        <v>3660</v>
      </c>
      <c r="AD20" s="9">
        <f t="shared" si="10"/>
        <v>1740</v>
      </c>
      <c r="AE20" s="22">
        <v>5400</v>
      </c>
      <c r="AF20" s="10">
        <f t="shared" si="11"/>
        <v>0.80536912751677847</v>
      </c>
      <c r="AG20" s="6">
        <v>3592</v>
      </c>
      <c r="AH20" s="6">
        <v>1885</v>
      </c>
      <c r="AI20" s="9">
        <f t="shared" si="12"/>
        <v>765</v>
      </c>
      <c r="AJ20" s="22">
        <v>2650</v>
      </c>
      <c r="AK20" s="10">
        <f t="shared" si="13"/>
        <v>0.73775055679287305</v>
      </c>
      <c r="AL20" s="6">
        <v>3771</v>
      </c>
      <c r="AM20" s="6">
        <v>1849</v>
      </c>
      <c r="AN20" s="9">
        <f t="shared" si="14"/>
        <v>865</v>
      </c>
      <c r="AO20" s="22">
        <v>2714</v>
      </c>
      <c r="AP20" s="10">
        <f t="shared" si="15"/>
        <v>0.71970299655263859</v>
      </c>
      <c r="AQ20" s="6">
        <v>8072</v>
      </c>
      <c r="AR20" s="6">
        <v>3574</v>
      </c>
      <c r="AS20" s="9">
        <f t="shared" si="16"/>
        <v>2604</v>
      </c>
      <c r="AT20" s="22">
        <v>6178</v>
      </c>
      <c r="AU20" s="10">
        <f t="shared" si="17"/>
        <v>0.76536174430128845</v>
      </c>
    </row>
    <row r="21" spans="1:47" x14ac:dyDescent="0.3">
      <c r="A21" s="21">
        <v>13</v>
      </c>
      <c r="B21" s="2" t="s">
        <v>20</v>
      </c>
      <c r="C21" s="6">
        <v>3917</v>
      </c>
      <c r="D21" s="6">
        <v>2301</v>
      </c>
      <c r="E21" s="9">
        <f t="shared" si="0"/>
        <v>836</v>
      </c>
      <c r="F21" s="22">
        <v>3137</v>
      </c>
      <c r="G21" s="10">
        <f t="shared" si="1"/>
        <v>0.8008680112330866</v>
      </c>
      <c r="H21" s="6">
        <v>3140</v>
      </c>
      <c r="I21" s="6">
        <v>1564</v>
      </c>
      <c r="J21" s="9">
        <f t="shared" si="2"/>
        <v>674</v>
      </c>
      <c r="K21" s="22">
        <v>2238</v>
      </c>
      <c r="L21" s="10">
        <f t="shared" si="3"/>
        <v>0.71273885350318467</v>
      </c>
      <c r="M21" s="6">
        <v>4915</v>
      </c>
      <c r="N21" s="6">
        <v>2592</v>
      </c>
      <c r="O21" s="9">
        <f t="shared" si="4"/>
        <v>1217</v>
      </c>
      <c r="P21" s="22">
        <v>3809</v>
      </c>
      <c r="Q21" s="10">
        <f t="shared" si="5"/>
        <v>0.77497456765005091</v>
      </c>
      <c r="R21" s="6">
        <v>3199</v>
      </c>
      <c r="S21" s="6">
        <v>1597</v>
      </c>
      <c r="T21" s="9">
        <f t="shared" si="6"/>
        <v>780</v>
      </c>
      <c r="U21" s="22">
        <v>2377</v>
      </c>
      <c r="V21" s="10">
        <f t="shared" si="7"/>
        <v>0.74304470146920909</v>
      </c>
      <c r="W21" s="6">
        <v>3272</v>
      </c>
      <c r="X21" s="6">
        <v>1576</v>
      </c>
      <c r="Y21" s="9">
        <f t="shared" si="8"/>
        <v>851</v>
      </c>
      <c r="Z21" s="22">
        <v>2427</v>
      </c>
      <c r="AA21" s="10">
        <f t="shared" si="9"/>
        <v>0.74174816625916873</v>
      </c>
      <c r="AB21" s="6">
        <v>4778</v>
      </c>
      <c r="AC21" s="6">
        <v>2406</v>
      </c>
      <c r="AD21" s="9">
        <f t="shared" si="10"/>
        <v>1362</v>
      </c>
      <c r="AE21" s="22">
        <v>3768</v>
      </c>
      <c r="AF21" s="10">
        <f t="shared" si="11"/>
        <v>0.78861448304730009</v>
      </c>
      <c r="AG21" s="6">
        <v>3224</v>
      </c>
      <c r="AH21" s="6">
        <v>1513</v>
      </c>
      <c r="AI21" s="9">
        <f t="shared" si="12"/>
        <v>914</v>
      </c>
      <c r="AJ21" s="22">
        <v>2427</v>
      </c>
      <c r="AK21" s="10">
        <f t="shared" si="13"/>
        <v>0.75279156327543428</v>
      </c>
      <c r="AL21" s="6">
        <v>3218</v>
      </c>
      <c r="AM21" s="6">
        <v>1474</v>
      </c>
      <c r="AN21" s="9">
        <f t="shared" si="14"/>
        <v>938</v>
      </c>
      <c r="AO21" s="22">
        <v>2412</v>
      </c>
      <c r="AP21" s="10">
        <f t="shared" si="15"/>
        <v>0.74953387197016785</v>
      </c>
      <c r="AQ21" s="6">
        <v>4904</v>
      </c>
      <c r="AR21" s="6">
        <v>2230</v>
      </c>
      <c r="AS21" s="9">
        <f t="shared" si="16"/>
        <v>1591</v>
      </c>
      <c r="AT21" s="22">
        <v>3821</v>
      </c>
      <c r="AU21" s="10">
        <f t="shared" si="17"/>
        <v>0.77915986949429039</v>
      </c>
    </row>
    <row r="22" spans="1:47" x14ac:dyDescent="0.3">
      <c r="A22" s="21">
        <v>14</v>
      </c>
      <c r="B22" s="2" t="s">
        <v>21</v>
      </c>
      <c r="C22" s="6">
        <v>4283</v>
      </c>
      <c r="D22" s="6">
        <v>2860</v>
      </c>
      <c r="E22" s="9">
        <f t="shared" si="0"/>
        <v>620</v>
      </c>
      <c r="F22" s="22">
        <v>3480</v>
      </c>
      <c r="G22" s="10">
        <f t="shared" si="1"/>
        <v>0.81251459257529768</v>
      </c>
      <c r="H22" s="6">
        <v>3367</v>
      </c>
      <c r="I22" s="6">
        <v>1942</v>
      </c>
      <c r="J22" s="9">
        <f t="shared" si="2"/>
        <v>447</v>
      </c>
      <c r="K22" s="22">
        <v>2389</v>
      </c>
      <c r="L22" s="10">
        <f t="shared" si="3"/>
        <v>0.70953370953370953</v>
      </c>
      <c r="M22" s="6">
        <v>6564</v>
      </c>
      <c r="N22" s="6">
        <v>3787</v>
      </c>
      <c r="O22" s="9">
        <f t="shared" si="4"/>
        <v>1157</v>
      </c>
      <c r="P22" s="22">
        <v>4944</v>
      </c>
      <c r="Q22" s="10">
        <f t="shared" si="5"/>
        <v>0.75319926873857401</v>
      </c>
      <c r="R22" s="6">
        <v>4160</v>
      </c>
      <c r="S22" s="6">
        <v>2153</v>
      </c>
      <c r="T22" s="9">
        <f t="shared" si="6"/>
        <v>605</v>
      </c>
      <c r="U22" s="22">
        <v>2758</v>
      </c>
      <c r="V22" s="10">
        <f t="shared" si="7"/>
        <v>0.66298076923076921</v>
      </c>
      <c r="W22" s="6">
        <v>4393</v>
      </c>
      <c r="X22" s="6">
        <v>2234</v>
      </c>
      <c r="Y22" s="9">
        <f t="shared" si="8"/>
        <v>682</v>
      </c>
      <c r="Z22" s="22">
        <v>2916</v>
      </c>
      <c r="AA22" s="10">
        <f t="shared" si="9"/>
        <v>0.66378329160027316</v>
      </c>
      <c r="AB22" s="6">
        <v>7712</v>
      </c>
      <c r="AC22" s="6">
        <v>4026</v>
      </c>
      <c r="AD22" s="9">
        <f t="shared" si="10"/>
        <v>1561</v>
      </c>
      <c r="AE22" s="22">
        <v>5587</v>
      </c>
      <c r="AF22" s="10">
        <f t="shared" si="11"/>
        <v>0.72445539419087135</v>
      </c>
      <c r="AG22" s="6">
        <v>4792</v>
      </c>
      <c r="AH22" s="6">
        <v>2255</v>
      </c>
      <c r="AI22" s="9">
        <f t="shared" si="12"/>
        <v>823</v>
      </c>
      <c r="AJ22" s="22">
        <v>3078</v>
      </c>
      <c r="AK22" s="10">
        <f t="shared" si="13"/>
        <v>0.64232053422370616</v>
      </c>
      <c r="AL22" s="6">
        <v>4940</v>
      </c>
      <c r="AM22" s="6">
        <v>2236</v>
      </c>
      <c r="AN22" s="9">
        <f t="shared" si="14"/>
        <v>873</v>
      </c>
      <c r="AO22" s="22">
        <v>3109</v>
      </c>
      <c r="AP22" s="10">
        <f t="shared" si="15"/>
        <v>0.62935222672064772</v>
      </c>
      <c r="AQ22" s="6">
        <v>8603</v>
      </c>
      <c r="AR22" s="6">
        <v>3901</v>
      </c>
      <c r="AS22" s="9">
        <f t="shared" si="16"/>
        <v>2113</v>
      </c>
      <c r="AT22" s="22">
        <v>6014</v>
      </c>
      <c r="AU22" s="10">
        <f t="shared" si="17"/>
        <v>0.69905846797628735</v>
      </c>
    </row>
    <row r="23" spans="1:47" x14ac:dyDescent="0.3">
      <c r="A23" s="21">
        <v>15</v>
      </c>
      <c r="B23" s="2" t="s">
        <v>22</v>
      </c>
      <c r="C23" s="6">
        <v>2451</v>
      </c>
      <c r="D23" s="6">
        <v>1720</v>
      </c>
      <c r="E23" s="9">
        <f t="shared" si="0"/>
        <v>336</v>
      </c>
      <c r="F23" s="22">
        <v>2056</v>
      </c>
      <c r="G23" s="10">
        <f t="shared" si="1"/>
        <v>0.83884128926968582</v>
      </c>
      <c r="H23" s="6">
        <v>1965</v>
      </c>
      <c r="I23" s="6">
        <v>1232</v>
      </c>
      <c r="J23" s="9">
        <f t="shared" si="2"/>
        <v>300</v>
      </c>
      <c r="K23" s="22">
        <v>1532</v>
      </c>
      <c r="L23" s="10">
        <f t="shared" si="3"/>
        <v>0.77964376590330786</v>
      </c>
      <c r="M23" s="6">
        <v>3300</v>
      </c>
      <c r="N23" s="6">
        <v>2101</v>
      </c>
      <c r="O23" s="9">
        <f t="shared" si="4"/>
        <v>554</v>
      </c>
      <c r="P23" s="22">
        <v>2655</v>
      </c>
      <c r="Q23" s="10">
        <f t="shared" si="5"/>
        <v>0.80454545454545456</v>
      </c>
      <c r="R23" s="6">
        <v>2275</v>
      </c>
      <c r="S23" s="6">
        <v>1364</v>
      </c>
      <c r="T23" s="9">
        <f t="shared" si="6"/>
        <v>363</v>
      </c>
      <c r="U23" s="22">
        <v>1727</v>
      </c>
      <c r="V23" s="10">
        <f t="shared" si="7"/>
        <v>0.75912087912087911</v>
      </c>
      <c r="W23" s="6">
        <v>2370</v>
      </c>
      <c r="X23" s="6">
        <v>1399</v>
      </c>
      <c r="Y23" s="9">
        <f t="shared" si="8"/>
        <v>377</v>
      </c>
      <c r="Z23" s="22">
        <v>1776</v>
      </c>
      <c r="AA23" s="10">
        <f t="shared" si="9"/>
        <v>0.74936708860759493</v>
      </c>
      <c r="AB23" s="6">
        <v>3748</v>
      </c>
      <c r="AC23" s="6">
        <v>2284</v>
      </c>
      <c r="AD23" s="9">
        <f t="shared" si="10"/>
        <v>690</v>
      </c>
      <c r="AE23" s="22">
        <v>2974</v>
      </c>
      <c r="AF23" s="10">
        <f t="shared" si="11"/>
        <v>0.79348986125933829</v>
      </c>
      <c r="AG23" s="6">
        <v>2479</v>
      </c>
      <c r="AH23" s="6">
        <v>1419</v>
      </c>
      <c r="AI23" s="9">
        <f t="shared" si="12"/>
        <v>411</v>
      </c>
      <c r="AJ23" s="22">
        <v>1830</v>
      </c>
      <c r="AK23" s="10">
        <f t="shared" si="13"/>
        <v>0.73820088745461876</v>
      </c>
      <c r="AL23" s="6">
        <v>2578</v>
      </c>
      <c r="AM23" s="6">
        <v>1461</v>
      </c>
      <c r="AN23" s="9">
        <f t="shared" si="14"/>
        <v>430</v>
      </c>
      <c r="AO23" s="22">
        <v>1891</v>
      </c>
      <c r="AP23" s="10">
        <f t="shared" si="15"/>
        <v>0.73351435221101624</v>
      </c>
      <c r="AQ23" s="6">
        <v>4048</v>
      </c>
      <c r="AR23" s="6">
        <v>2309</v>
      </c>
      <c r="AS23" s="9">
        <f t="shared" si="16"/>
        <v>811</v>
      </c>
      <c r="AT23" s="22">
        <v>3120</v>
      </c>
      <c r="AU23" s="10">
        <f t="shared" si="17"/>
        <v>0.77075098814229248</v>
      </c>
    </row>
    <row r="24" spans="1:47" x14ac:dyDescent="0.3">
      <c r="A24" s="21">
        <v>16</v>
      </c>
      <c r="B24" s="2" t="s">
        <v>23</v>
      </c>
      <c r="C24" s="6">
        <v>13528</v>
      </c>
      <c r="D24" s="6">
        <v>10411</v>
      </c>
      <c r="E24" s="9">
        <f t="shared" si="0"/>
        <v>1757</v>
      </c>
      <c r="F24" s="22">
        <v>12168</v>
      </c>
      <c r="G24" s="10">
        <f t="shared" si="1"/>
        <v>0.8994677705499704</v>
      </c>
      <c r="H24" s="6">
        <v>6493</v>
      </c>
      <c r="I24" s="6">
        <v>4496</v>
      </c>
      <c r="J24" s="9">
        <f t="shared" si="2"/>
        <v>718</v>
      </c>
      <c r="K24" s="22">
        <v>5214</v>
      </c>
      <c r="L24" s="10">
        <f t="shared" si="3"/>
        <v>0.80301863545356533</v>
      </c>
      <c r="M24" s="6">
        <v>16398</v>
      </c>
      <c r="N24" s="6">
        <v>11658</v>
      </c>
      <c r="O24" s="9">
        <f t="shared" si="4"/>
        <v>2827</v>
      </c>
      <c r="P24" s="22">
        <v>14485</v>
      </c>
      <c r="Q24" s="10">
        <f t="shared" si="5"/>
        <v>0.88333943163800466</v>
      </c>
      <c r="R24" s="6">
        <v>6743</v>
      </c>
      <c r="S24" s="6">
        <v>4621</v>
      </c>
      <c r="T24" s="9">
        <f t="shared" si="6"/>
        <v>837</v>
      </c>
      <c r="U24" s="22">
        <v>5458</v>
      </c>
      <c r="V24" s="10">
        <f t="shared" si="7"/>
        <v>0.8094320035592466</v>
      </c>
      <c r="W24" s="6">
        <v>6966</v>
      </c>
      <c r="X24" s="6">
        <v>4679</v>
      </c>
      <c r="Y24" s="9">
        <f t="shared" si="8"/>
        <v>1011</v>
      </c>
      <c r="Z24" s="22">
        <v>5690</v>
      </c>
      <c r="AA24" s="10">
        <f t="shared" si="9"/>
        <v>0.81682457651449902</v>
      </c>
      <c r="AB24" s="6">
        <v>16864</v>
      </c>
      <c r="AC24" s="6">
        <v>11299</v>
      </c>
      <c r="AD24" s="9">
        <f t="shared" si="10"/>
        <v>3434</v>
      </c>
      <c r="AE24" s="22">
        <v>14733</v>
      </c>
      <c r="AF24" s="10">
        <f t="shared" si="11"/>
        <v>0.87363614800759015</v>
      </c>
      <c r="AG24" s="6">
        <v>7129</v>
      </c>
      <c r="AH24" s="6">
        <v>4581</v>
      </c>
      <c r="AI24" s="9">
        <f t="shared" si="12"/>
        <v>1139</v>
      </c>
      <c r="AJ24" s="22">
        <v>5720</v>
      </c>
      <c r="AK24" s="10">
        <f t="shared" si="13"/>
        <v>0.80235657174919339</v>
      </c>
      <c r="AL24" s="6">
        <v>7224</v>
      </c>
      <c r="AM24" s="6">
        <v>4554</v>
      </c>
      <c r="AN24" s="9">
        <f t="shared" si="14"/>
        <v>1227</v>
      </c>
      <c r="AO24" s="22">
        <v>5781</v>
      </c>
      <c r="AP24" s="10">
        <f t="shared" si="15"/>
        <v>0.80024916943521596</v>
      </c>
      <c r="AQ24" s="6">
        <v>17562</v>
      </c>
      <c r="AR24" s="6">
        <v>10884</v>
      </c>
      <c r="AS24" s="9">
        <f t="shared" si="16"/>
        <v>4327</v>
      </c>
      <c r="AT24" s="22">
        <v>15211</v>
      </c>
      <c r="AU24" s="10">
        <f t="shared" si="17"/>
        <v>0.8661314201116046</v>
      </c>
    </row>
    <row r="25" spans="1:47" x14ac:dyDescent="0.3">
      <c r="A25" s="21">
        <v>17</v>
      </c>
      <c r="B25" s="2" t="s">
        <v>24</v>
      </c>
      <c r="C25" s="6">
        <v>11989</v>
      </c>
      <c r="D25" s="6">
        <v>7830</v>
      </c>
      <c r="E25" s="9">
        <f t="shared" si="0"/>
        <v>2072</v>
      </c>
      <c r="F25" s="22">
        <v>9902</v>
      </c>
      <c r="G25" s="10">
        <f t="shared" si="1"/>
        <v>0.82592376344982898</v>
      </c>
      <c r="H25" s="6">
        <v>7595</v>
      </c>
      <c r="I25" s="6">
        <v>4171</v>
      </c>
      <c r="J25" s="9">
        <f t="shared" si="2"/>
        <v>1317</v>
      </c>
      <c r="K25" s="22">
        <v>5488</v>
      </c>
      <c r="L25" s="10">
        <f t="shared" si="3"/>
        <v>0.72258064516129028</v>
      </c>
      <c r="M25" s="6">
        <v>14696</v>
      </c>
      <c r="N25" s="6">
        <v>8521</v>
      </c>
      <c r="O25" s="9">
        <f t="shared" si="4"/>
        <v>3223</v>
      </c>
      <c r="P25" s="22">
        <v>11744</v>
      </c>
      <c r="Q25" s="10">
        <f t="shared" si="5"/>
        <v>0.799129014697877</v>
      </c>
      <c r="R25" s="6">
        <v>8161</v>
      </c>
      <c r="S25" s="6">
        <v>4409</v>
      </c>
      <c r="T25" s="9">
        <f t="shared" si="6"/>
        <v>1603</v>
      </c>
      <c r="U25" s="22">
        <v>6012</v>
      </c>
      <c r="V25" s="10">
        <f t="shared" si="7"/>
        <v>0.73667442715353515</v>
      </c>
      <c r="W25" s="6">
        <v>8403</v>
      </c>
      <c r="X25" s="6">
        <v>4517</v>
      </c>
      <c r="Y25" s="9">
        <f t="shared" si="8"/>
        <v>1726</v>
      </c>
      <c r="Z25" s="22">
        <v>6243</v>
      </c>
      <c r="AA25" s="10">
        <f t="shared" si="9"/>
        <v>0.74294894680471257</v>
      </c>
      <c r="AB25" s="6">
        <v>15398</v>
      </c>
      <c r="AC25" s="6">
        <v>8677</v>
      </c>
      <c r="AD25" s="9">
        <f t="shared" si="10"/>
        <v>3682</v>
      </c>
      <c r="AE25" s="22">
        <v>12359</v>
      </c>
      <c r="AF25" s="10">
        <f t="shared" si="11"/>
        <v>0.80263670606572279</v>
      </c>
      <c r="AG25" s="6">
        <v>8752</v>
      </c>
      <c r="AH25" s="6">
        <v>4358</v>
      </c>
      <c r="AI25" s="9">
        <f t="shared" si="12"/>
        <v>1962</v>
      </c>
      <c r="AJ25" s="22">
        <v>6320</v>
      </c>
      <c r="AK25" s="10">
        <f t="shared" si="13"/>
        <v>0.72212065813528337</v>
      </c>
      <c r="AL25" s="6">
        <v>8845</v>
      </c>
      <c r="AM25" s="6">
        <v>4270</v>
      </c>
      <c r="AN25" s="9">
        <f t="shared" si="14"/>
        <v>2107</v>
      </c>
      <c r="AO25" s="22">
        <v>6377</v>
      </c>
      <c r="AP25" s="10">
        <f t="shared" si="15"/>
        <v>0.7209723007348785</v>
      </c>
      <c r="AQ25" s="6">
        <v>16327</v>
      </c>
      <c r="AR25" s="6">
        <v>8402</v>
      </c>
      <c r="AS25" s="9">
        <f t="shared" si="16"/>
        <v>4534</v>
      </c>
      <c r="AT25" s="22">
        <v>12936</v>
      </c>
      <c r="AU25" s="10">
        <f t="shared" si="17"/>
        <v>0.79230722116739138</v>
      </c>
    </row>
    <row r="26" spans="1:47" x14ac:dyDescent="0.3">
      <c r="A26" s="21">
        <v>18</v>
      </c>
      <c r="B26" s="2" t="s">
        <v>25</v>
      </c>
      <c r="C26" s="6">
        <v>97283</v>
      </c>
      <c r="D26" s="6">
        <v>58279</v>
      </c>
      <c r="E26" s="9">
        <f t="shared" si="0"/>
        <v>19650</v>
      </c>
      <c r="F26" s="22">
        <v>77929</v>
      </c>
      <c r="G26" s="10">
        <f t="shared" si="1"/>
        <v>0.80105465497568951</v>
      </c>
      <c r="H26" s="6">
        <v>56748</v>
      </c>
      <c r="I26" s="6">
        <v>29892</v>
      </c>
      <c r="J26" s="9">
        <f t="shared" si="2"/>
        <v>7058</v>
      </c>
      <c r="K26" s="22">
        <v>36950</v>
      </c>
      <c r="L26" s="10">
        <f t="shared" si="3"/>
        <v>0.65112426869669415</v>
      </c>
      <c r="M26" s="6">
        <v>114311</v>
      </c>
      <c r="N26" s="6">
        <v>64329</v>
      </c>
      <c r="O26" s="9">
        <f t="shared" si="4"/>
        <v>26358</v>
      </c>
      <c r="P26" s="22">
        <v>90687</v>
      </c>
      <c r="Q26" s="10">
        <f t="shared" si="5"/>
        <v>0.79333572447096079</v>
      </c>
      <c r="R26" s="6">
        <v>54732</v>
      </c>
      <c r="S26" s="6">
        <v>30510</v>
      </c>
      <c r="T26" s="9">
        <f t="shared" si="6"/>
        <v>7817</v>
      </c>
      <c r="U26" s="22">
        <v>38327</v>
      </c>
      <c r="V26" s="10">
        <f t="shared" si="7"/>
        <v>0.70026675436673247</v>
      </c>
      <c r="W26" s="6">
        <v>55786</v>
      </c>
      <c r="X26" s="6">
        <v>30609</v>
      </c>
      <c r="Y26" s="9">
        <f t="shared" si="8"/>
        <v>8883</v>
      </c>
      <c r="Z26" s="22">
        <v>39492</v>
      </c>
      <c r="AA26" s="10">
        <f t="shared" si="9"/>
        <v>0.70791954970781201</v>
      </c>
      <c r="AB26" s="6">
        <v>114563</v>
      </c>
      <c r="AC26" s="6">
        <v>62828</v>
      </c>
      <c r="AD26" s="9">
        <f t="shared" si="10"/>
        <v>28768</v>
      </c>
      <c r="AE26" s="22">
        <v>91596</v>
      </c>
      <c r="AF26" s="10">
        <f t="shared" si="11"/>
        <v>0.79952515209971808</v>
      </c>
      <c r="AG26" s="6">
        <v>56208</v>
      </c>
      <c r="AH26" s="6">
        <v>29477</v>
      </c>
      <c r="AI26" s="9">
        <f t="shared" si="12"/>
        <v>10042</v>
      </c>
      <c r="AJ26" s="22">
        <v>39519</v>
      </c>
      <c r="AK26" s="10">
        <f t="shared" si="13"/>
        <v>0.70308497011101623</v>
      </c>
      <c r="AL26" s="6">
        <v>57763</v>
      </c>
      <c r="AM26" s="6">
        <v>29012</v>
      </c>
      <c r="AN26" s="9">
        <f t="shared" si="14"/>
        <v>10833</v>
      </c>
      <c r="AO26" s="22">
        <v>39845</v>
      </c>
      <c r="AP26" s="10">
        <f t="shared" si="15"/>
        <v>0.68980142998112981</v>
      </c>
      <c r="AQ26" s="6">
        <v>122022</v>
      </c>
      <c r="AR26" s="6">
        <v>59686</v>
      </c>
      <c r="AS26" s="9">
        <f t="shared" si="16"/>
        <v>35930</v>
      </c>
      <c r="AT26" s="22">
        <v>95616</v>
      </c>
      <c r="AU26" s="10">
        <f t="shared" si="17"/>
        <v>0.78359640064906333</v>
      </c>
    </row>
    <row r="27" spans="1:47" x14ac:dyDescent="0.3">
      <c r="A27" s="21">
        <v>19</v>
      </c>
      <c r="B27" s="2" t="s">
        <v>26</v>
      </c>
      <c r="C27" s="6">
        <v>347020</v>
      </c>
      <c r="D27" s="6">
        <v>283210</v>
      </c>
      <c r="E27" s="9">
        <f t="shared" si="0"/>
        <v>27882</v>
      </c>
      <c r="F27" s="22">
        <v>311092</v>
      </c>
      <c r="G27" s="10">
        <f t="shared" si="1"/>
        <v>0.89646706241715179</v>
      </c>
      <c r="H27" s="6">
        <v>162480</v>
      </c>
      <c r="I27" s="6">
        <v>117667</v>
      </c>
      <c r="J27" s="9">
        <f t="shared" si="2"/>
        <v>11993</v>
      </c>
      <c r="K27" s="22">
        <v>129660</v>
      </c>
      <c r="L27" s="10">
        <f t="shared" si="3"/>
        <v>0.79800590841949781</v>
      </c>
      <c r="M27" s="6">
        <v>416031</v>
      </c>
      <c r="N27" s="6">
        <v>334128</v>
      </c>
      <c r="O27" s="9">
        <f t="shared" si="4"/>
        <v>50599</v>
      </c>
      <c r="P27" s="22">
        <v>384727</v>
      </c>
      <c r="Q27" s="10">
        <f t="shared" si="5"/>
        <v>0.92475560715427452</v>
      </c>
      <c r="R27" s="6">
        <v>158774</v>
      </c>
      <c r="S27" s="6">
        <v>121883</v>
      </c>
      <c r="T27" s="9">
        <f t="shared" si="6"/>
        <v>14618</v>
      </c>
      <c r="U27" s="22">
        <v>136501</v>
      </c>
      <c r="V27" s="10">
        <f t="shared" si="7"/>
        <v>0.85971884565483014</v>
      </c>
      <c r="W27" s="6">
        <v>161708</v>
      </c>
      <c r="X27" s="6">
        <v>123286</v>
      </c>
      <c r="Y27" s="9">
        <f t="shared" si="8"/>
        <v>16787</v>
      </c>
      <c r="Z27" s="22">
        <v>140073</v>
      </c>
      <c r="AA27" s="10">
        <f t="shared" si="9"/>
        <v>0.86620946397209786</v>
      </c>
      <c r="AB27" s="6">
        <v>443892</v>
      </c>
      <c r="AC27" s="6">
        <v>344268</v>
      </c>
      <c r="AD27" s="9">
        <f t="shared" si="10"/>
        <v>64104</v>
      </c>
      <c r="AE27" s="22">
        <v>408372</v>
      </c>
      <c r="AF27" s="10">
        <f t="shared" si="11"/>
        <v>0.91998053580600692</v>
      </c>
      <c r="AG27" s="6">
        <v>164959</v>
      </c>
      <c r="AH27" s="6">
        <v>121834</v>
      </c>
      <c r="AI27" s="9">
        <f t="shared" si="12"/>
        <v>19962</v>
      </c>
      <c r="AJ27" s="22">
        <v>141796</v>
      </c>
      <c r="AK27" s="10">
        <f t="shared" si="13"/>
        <v>0.85958329039337045</v>
      </c>
      <c r="AL27" s="6">
        <v>167478</v>
      </c>
      <c r="AM27" s="6">
        <v>121103</v>
      </c>
      <c r="AN27" s="9">
        <f t="shared" si="14"/>
        <v>22155</v>
      </c>
      <c r="AO27" s="22">
        <v>143258</v>
      </c>
      <c r="AP27" s="10">
        <f t="shared" si="15"/>
        <v>0.85538399073311122</v>
      </c>
      <c r="AQ27" s="6">
        <v>472982</v>
      </c>
      <c r="AR27" s="6">
        <v>343521</v>
      </c>
      <c r="AS27" s="9">
        <f t="shared" si="16"/>
        <v>87045</v>
      </c>
      <c r="AT27" s="22">
        <v>430566</v>
      </c>
      <c r="AU27" s="10">
        <f t="shared" si="17"/>
        <v>0.91032216870832294</v>
      </c>
    </row>
    <row r="28" spans="1:47" x14ac:dyDescent="0.3">
      <c r="A28" s="21">
        <v>20</v>
      </c>
      <c r="B28" s="2" t="s">
        <v>27</v>
      </c>
      <c r="C28" s="6">
        <v>82880</v>
      </c>
      <c r="D28" s="6">
        <v>64366</v>
      </c>
      <c r="E28" s="9">
        <f t="shared" si="0"/>
        <v>11664</v>
      </c>
      <c r="F28" s="22">
        <v>76030</v>
      </c>
      <c r="G28" s="10">
        <f t="shared" si="1"/>
        <v>0.91735038610038611</v>
      </c>
      <c r="H28" s="6">
        <v>43355</v>
      </c>
      <c r="I28" s="6">
        <v>32023</v>
      </c>
      <c r="J28" s="9">
        <f t="shared" si="2"/>
        <v>3843</v>
      </c>
      <c r="K28" s="22">
        <v>35866</v>
      </c>
      <c r="L28" s="10">
        <f t="shared" si="3"/>
        <v>0.82726329143120747</v>
      </c>
      <c r="M28" s="6">
        <v>100685</v>
      </c>
      <c r="N28" s="6">
        <v>73455</v>
      </c>
      <c r="O28" s="9">
        <f t="shared" si="4"/>
        <v>17296</v>
      </c>
      <c r="P28" s="22">
        <v>90751</v>
      </c>
      <c r="Q28" s="10">
        <f t="shared" si="5"/>
        <v>0.901335849431395</v>
      </c>
      <c r="R28" s="6">
        <v>44777</v>
      </c>
      <c r="S28" s="6">
        <v>33711</v>
      </c>
      <c r="T28" s="9">
        <f t="shared" si="6"/>
        <v>4519</v>
      </c>
      <c r="U28" s="22">
        <v>38230</v>
      </c>
      <c r="V28" s="10">
        <f t="shared" si="7"/>
        <v>0.85378654219800343</v>
      </c>
      <c r="W28" s="6">
        <v>45978</v>
      </c>
      <c r="X28" s="6">
        <v>34322</v>
      </c>
      <c r="Y28" s="9">
        <f t="shared" si="8"/>
        <v>5111</v>
      </c>
      <c r="Z28" s="22">
        <v>39433</v>
      </c>
      <c r="AA28" s="10">
        <f t="shared" si="9"/>
        <v>0.85764931053982341</v>
      </c>
      <c r="AB28" s="6">
        <v>108087</v>
      </c>
      <c r="AC28" s="6">
        <v>76636</v>
      </c>
      <c r="AD28" s="9">
        <f t="shared" si="10"/>
        <v>20857</v>
      </c>
      <c r="AE28" s="22">
        <v>97493</v>
      </c>
      <c r="AF28" s="10">
        <f t="shared" si="11"/>
        <v>0.90198636283734401</v>
      </c>
      <c r="AG28" s="6">
        <v>47997</v>
      </c>
      <c r="AH28" s="6">
        <v>33695</v>
      </c>
      <c r="AI28" s="9">
        <f t="shared" si="12"/>
        <v>6822</v>
      </c>
      <c r="AJ28" s="22">
        <v>40517</v>
      </c>
      <c r="AK28" s="10">
        <f t="shared" si="13"/>
        <v>0.8441569264745713</v>
      </c>
      <c r="AL28" s="6">
        <v>48997</v>
      </c>
      <c r="AM28" s="6">
        <v>33138</v>
      </c>
      <c r="AN28" s="9">
        <f t="shared" si="14"/>
        <v>7943</v>
      </c>
      <c r="AO28" s="22">
        <v>41081</v>
      </c>
      <c r="AP28" s="10">
        <f t="shared" si="15"/>
        <v>0.83843908810743517</v>
      </c>
      <c r="AQ28" s="6">
        <v>117217</v>
      </c>
      <c r="AR28" s="6">
        <v>73740</v>
      </c>
      <c r="AS28" s="9">
        <f t="shared" si="16"/>
        <v>29726</v>
      </c>
      <c r="AT28" s="22">
        <v>103466</v>
      </c>
      <c r="AU28" s="10">
        <f t="shared" si="17"/>
        <v>0.88268766475852478</v>
      </c>
    </row>
    <row r="29" spans="1:47" x14ac:dyDescent="0.3">
      <c r="A29" s="21">
        <v>21</v>
      </c>
      <c r="B29" s="2" t="s">
        <v>28</v>
      </c>
      <c r="C29" s="6">
        <v>139875</v>
      </c>
      <c r="D29" s="6">
        <v>96806</v>
      </c>
      <c r="E29" s="9">
        <f t="shared" si="0"/>
        <v>25971</v>
      </c>
      <c r="F29" s="22">
        <v>122777</v>
      </c>
      <c r="G29" s="10">
        <f t="shared" si="1"/>
        <v>0.87776228775692577</v>
      </c>
      <c r="H29" s="6">
        <v>57678</v>
      </c>
      <c r="I29" s="6">
        <v>36623</v>
      </c>
      <c r="J29" s="9">
        <f t="shared" si="2"/>
        <v>6664</v>
      </c>
      <c r="K29" s="22">
        <v>43287</v>
      </c>
      <c r="L29" s="10">
        <f t="shared" si="3"/>
        <v>0.75049412254239056</v>
      </c>
      <c r="M29" s="6">
        <v>162133</v>
      </c>
      <c r="N29" s="6">
        <v>104518</v>
      </c>
      <c r="O29" s="9">
        <f t="shared" si="4"/>
        <v>34789</v>
      </c>
      <c r="P29" s="22">
        <v>139307</v>
      </c>
      <c r="Q29" s="10">
        <f t="shared" si="5"/>
        <v>0.85921434871371039</v>
      </c>
      <c r="R29" s="6">
        <v>59901</v>
      </c>
      <c r="S29" s="6">
        <v>37458</v>
      </c>
      <c r="T29" s="9">
        <f t="shared" si="6"/>
        <v>7656</v>
      </c>
      <c r="U29" s="22">
        <v>45114</v>
      </c>
      <c r="V29" s="10">
        <f t="shared" si="7"/>
        <v>0.75314268543096108</v>
      </c>
      <c r="W29" s="6">
        <v>61437</v>
      </c>
      <c r="X29" s="6">
        <v>37903</v>
      </c>
      <c r="Y29" s="9">
        <f t="shared" si="8"/>
        <v>8531</v>
      </c>
      <c r="Z29" s="22">
        <v>46434</v>
      </c>
      <c r="AA29" s="10">
        <f t="shared" si="9"/>
        <v>0.75579862297963762</v>
      </c>
      <c r="AB29" s="6">
        <v>168723</v>
      </c>
      <c r="AC29" s="6">
        <v>104201</v>
      </c>
      <c r="AD29" s="9">
        <f t="shared" si="10"/>
        <v>39110</v>
      </c>
      <c r="AE29" s="22">
        <v>143311</v>
      </c>
      <c r="AF29" s="10">
        <f t="shared" si="11"/>
        <v>0.84938627217391816</v>
      </c>
      <c r="AG29" s="6">
        <v>64080</v>
      </c>
      <c r="AH29" s="6">
        <v>37265</v>
      </c>
      <c r="AI29" s="9">
        <f t="shared" si="12"/>
        <v>9943</v>
      </c>
      <c r="AJ29" s="22">
        <v>47208</v>
      </c>
      <c r="AK29" s="10">
        <f t="shared" si="13"/>
        <v>0.73670411985018724</v>
      </c>
      <c r="AL29" s="6">
        <v>65194</v>
      </c>
      <c r="AM29" s="6">
        <v>36922</v>
      </c>
      <c r="AN29" s="9">
        <f t="shared" si="14"/>
        <v>10807</v>
      </c>
      <c r="AO29" s="22">
        <v>47729</v>
      </c>
      <c r="AP29" s="10">
        <f t="shared" si="15"/>
        <v>0.73210724913335579</v>
      </c>
      <c r="AQ29" s="6">
        <v>183516</v>
      </c>
      <c r="AR29" s="6">
        <v>102084</v>
      </c>
      <c r="AS29" s="9">
        <f t="shared" si="16"/>
        <v>50066</v>
      </c>
      <c r="AT29" s="22">
        <v>152150</v>
      </c>
      <c r="AU29" s="10">
        <f t="shared" si="17"/>
        <v>0.82908302273371259</v>
      </c>
    </row>
    <row r="30" spans="1:47" x14ac:dyDescent="0.3">
      <c r="A30" s="21">
        <v>22</v>
      </c>
      <c r="B30" s="2" t="s">
        <v>44</v>
      </c>
      <c r="C30" s="6">
        <v>83399</v>
      </c>
      <c r="D30" s="6">
        <v>56262</v>
      </c>
      <c r="E30" s="9">
        <f t="shared" si="0"/>
        <v>16370</v>
      </c>
      <c r="F30" s="22">
        <v>72632</v>
      </c>
      <c r="G30" s="10">
        <f t="shared" si="1"/>
        <v>0.87089773258672165</v>
      </c>
      <c r="H30" s="6">
        <v>37862</v>
      </c>
      <c r="I30" s="6">
        <v>25395</v>
      </c>
      <c r="J30" s="9">
        <f t="shared" si="2"/>
        <v>3854</v>
      </c>
      <c r="K30" s="22">
        <v>29249</v>
      </c>
      <c r="L30" s="10">
        <f t="shared" si="3"/>
        <v>0.77251597908192915</v>
      </c>
      <c r="M30" s="6">
        <v>93983</v>
      </c>
      <c r="N30" s="6">
        <v>60376</v>
      </c>
      <c r="O30" s="9">
        <f t="shared" si="4"/>
        <v>20871</v>
      </c>
      <c r="P30" s="22">
        <v>81247</v>
      </c>
      <c r="Q30" s="10">
        <f t="shared" si="5"/>
        <v>0.86448613047040423</v>
      </c>
      <c r="R30" s="6">
        <v>36736</v>
      </c>
      <c r="S30" s="6">
        <v>25596</v>
      </c>
      <c r="T30" s="9">
        <f t="shared" si="6"/>
        <v>4431</v>
      </c>
      <c r="U30" s="22">
        <v>30027</v>
      </c>
      <c r="V30" s="10">
        <f t="shared" si="7"/>
        <v>0.81737260452961669</v>
      </c>
      <c r="W30" s="6">
        <v>37342</v>
      </c>
      <c r="X30" s="6">
        <v>25655</v>
      </c>
      <c r="Y30" s="9">
        <f t="shared" si="8"/>
        <v>5037</v>
      </c>
      <c r="Z30" s="22">
        <v>30692</v>
      </c>
      <c r="AA30" s="10">
        <f t="shared" si="9"/>
        <v>0.82191634084944565</v>
      </c>
      <c r="AB30" s="6">
        <v>90937</v>
      </c>
      <c r="AC30" s="6">
        <v>57652</v>
      </c>
      <c r="AD30" s="9">
        <f t="shared" si="10"/>
        <v>21960</v>
      </c>
      <c r="AE30" s="22">
        <v>79612</v>
      </c>
      <c r="AF30" s="10">
        <f t="shared" si="11"/>
        <v>0.87546323278753424</v>
      </c>
      <c r="AG30" s="6">
        <v>37890</v>
      </c>
      <c r="AH30" s="6">
        <v>24703</v>
      </c>
      <c r="AI30" s="9">
        <f t="shared" si="12"/>
        <v>5938</v>
      </c>
      <c r="AJ30" s="22">
        <v>30641</v>
      </c>
      <c r="AK30" s="10">
        <f t="shared" si="13"/>
        <v>0.80868302982317231</v>
      </c>
      <c r="AL30" s="6">
        <v>37957</v>
      </c>
      <c r="AM30" s="6">
        <v>24210</v>
      </c>
      <c r="AN30" s="9">
        <f t="shared" si="14"/>
        <v>6521</v>
      </c>
      <c r="AO30" s="22">
        <v>30731</v>
      </c>
      <c r="AP30" s="10">
        <f t="shared" si="15"/>
        <v>0.80962668282530237</v>
      </c>
      <c r="AQ30" s="6">
        <v>94349</v>
      </c>
      <c r="AR30" s="6">
        <v>54166</v>
      </c>
      <c r="AS30" s="9">
        <f t="shared" si="16"/>
        <v>27516</v>
      </c>
      <c r="AT30" s="22">
        <v>81682</v>
      </c>
      <c r="AU30" s="10">
        <f t="shared" si="17"/>
        <v>0.86574314513137396</v>
      </c>
    </row>
    <row r="31" spans="1:47" x14ac:dyDescent="0.3">
      <c r="A31" s="21">
        <v>23</v>
      </c>
      <c r="B31" s="2" t="s">
        <v>29</v>
      </c>
      <c r="C31" s="6">
        <v>257308</v>
      </c>
      <c r="D31" s="6">
        <v>197192</v>
      </c>
      <c r="E31" s="9">
        <f t="shared" si="0"/>
        <v>43653</v>
      </c>
      <c r="F31" s="22">
        <v>240845</v>
      </c>
      <c r="G31" s="10">
        <f t="shared" si="1"/>
        <v>0.93601831268363211</v>
      </c>
      <c r="H31" s="6">
        <v>94897</v>
      </c>
      <c r="I31" s="6">
        <v>73169</v>
      </c>
      <c r="J31" s="9">
        <f t="shared" si="2"/>
        <v>7085</v>
      </c>
      <c r="K31" s="22">
        <v>80254</v>
      </c>
      <c r="L31" s="10">
        <f t="shared" si="3"/>
        <v>0.84569585972159289</v>
      </c>
      <c r="M31" s="6">
        <v>290350</v>
      </c>
      <c r="N31" s="6">
        <v>212157</v>
      </c>
      <c r="O31" s="9">
        <f t="shared" si="4"/>
        <v>53552</v>
      </c>
      <c r="P31" s="22">
        <v>265709</v>
      </c>
      <c r="Q31" s="10">
        <f t="shared" si="5"/>
        <v>0.91513345961770276</v>
      </c>
      <c r="R31" s="6">
        <v>95518</v>
      </c>
      <c r="S31" s="6">
        <v>73937</v>
      </c>
      <c r="T31" s="9">
        <f t="shared" si="6"/>
        <v>8298</v>
      </c>
      <c r="U31" s="22">
        <v>82235</v>
      </c>
      <c r="V31" s="10">
        <f t="shared" si="7"/>
        <v>0.86093720555288011</v>
      </c>
      <c r="W31" s="6">
        <v>97097</v>
      </c>
      <c r="X31" s="6">
        <v>74302</v>
      </c>
      <c r="Y31" s="9">
        <f t="shared" si="8"/>
        <v>9334</v>
      </c>
      <c r="Z31" s="22">
        <v>83636</v>
      </c>
      <c r="AA31" s="10">
        <f t="shared" si="9"/>
        <v>0.86136543868502635</v>
      </c>
      <c r="AB31" s="6">
        <v>286853</v>
      </c>
      <c r="AC31" s="6">
        <v>205783</v>
      </c>
      <c r="AD31" s="9">
        <f t="shared" si="10"/>
        <v>56146</v>
      </c>
      <c r="AE31" s="22">
        <v>261929</v>
      </c>
      <c r="AF31" s="10">
        <f t="shared" si="11"/>
        <v>0.91311229096436153</v>
      </c>
      <c r="AG31" s="6">
        <v>99962</v>
      </c>
      <c r="AH31" s="6">
        <v>72633</v>
      </c>
      <c r="AI31" s="9">
        <f t="shared" si="12"/>
        <v>11514</v>
      </c>
      <c r="AJ31" s="22">
        <v>84147</v>
      </c>
      <c r="AK31" s="10">
        <f t="shared" si="13"/>
        <v>0.84178988015445866</v>
      </c>
      <c r="AL31" s="6">
        <v>100963</v>
      </c>
      <c r="AM31" s="6">
        <v>71679</v>
      </c>
      <c r="AN31" s="9">
        <f t="shared" si="14"/>
        <v>12801</v>
      </c>
      <c r="AO31" s="22">
        <v>84480</v>
      </c>
      <c r="AP31" s="10">
        <f t="shared" si="15"/>
        <v>0.83674217287521169</v>
      </c>
      <c r="AQ31" s="6">
        <v>304929</v>
      </c>
      <c r="AR31" s="6">
        <v>201758</v>
      </c>
      <c r="AS31" s="9">
        <f t="shared" si="16"/>
        <v>72146</v>
      </c>
      <c r="AT31" s="22">
        <v>273904</v>
      </c>
      <c r="AU31" s="10">
        <f t="shared" si="17"/>
        <v>0.8982550036237944</v>
      </c>
    </row>
    <row r="32" spans="1:47" x14ac:dyDescent="0.3">
      <c r="A32" s="21">
        <v>24</v>
      </c>
      <c r="B32" s="2" t="s">
        <v>45</v>
      </c>
      <c r="C32" s="6">
        <v>564539</v>
      </c>
      <c r="D32" s="6">
        <v>471922</v>
      </c>
      <c r="E32" s="9">
        <f t="shared" si="0"/>
        <v>68669</v>
      </c>
      <c r="F32" s="22">
        <v>540591</v>
      </c>
      <c r="G32" s="10">
        <f t="shared" si="1"/>
        <v>0.95757954720577321</v>
      </c>
      <c r="H32" s="6">
        <v>224696</v>
      </c>
      <c r="I32" s="6">
        <v>196120</v>
      </c>
      <c r="J32" s="9">
        <f t="shared" si="2"/>
        <v>8460</v>
      </c>
      <c r="K32" s="22">
        <v>204580</v>
      </c>
      <c r="L32" s="10">
        <f t="shared" si="3"/>
        <v>0.91047459678854992</v>
      </c>
      <c r="M32" s="6">
        <v>682019</v>
      </c>
      <c r="N32" s="6">
        <v>561269</v>
      </c>
      <c r="O32" s="9">
        <f t="shared" si="4"/>
        <v>94835</v>
      </c>
      <c r="P32" s="22">
        <v>656104</v>
      </c>
      <c r="Q32" s="10">
        <f t="shared" si="5"/>
        <v>0.96200252485634563</v>
      </c>
      <c r="R32" s="6">
        <v>225967</v>
      </c>
      <c r="S32" s="6">
        <v>202803</v>
      </c>
      <c r="T32" s="9">
        <f t="shared" si="6"/>
        <v>9815</v>
      </c>
      <c r="U32" s="22">
        <v>212618</v>
      </c>
      <c r="V32" s="10">
        <f t="shared" si="7"/>
        <v>0.94092500232334808</v>
      </c>
      <c r="W32" s="6">
        <v>228262</v>
      </c>
      <c r="X32" s="6">
        <v>204605</v>
      </c>
      <c r="Y32" s="9">
        <f t="shared" si="8"/>
        <v>11707</v>
      </c>
      <c r="Z32" s="22">
        <v>216312</v>
      </c>
      <c r="AA32" s="10">
        <f t="shared" si="9"/>
        <v>0.94764787831526931</v>
      </c>
      <c r="AB32" s="6">
        <v>698869</v>
      </c>
      <c r="AC32" s="6">
        <v>577834</v>
      </c>
      <c r="AD32" s="9">
        <f t="shared" si="10"/>
        <v>100367</v>
      </c>
      <c r="AE32" s="22">
        <v>678201</v>
      </c>
      <c r="AF32" s="10">
        <f t="shared" si="11"/>
        <v>0.9704265033933398</v>
      </c>
      <c r="AG32" s="6">
        <v>232401</v>
      </c>
      <c r="AH32" s="6">
        <v>204839</v>
      </c>
      <c r="AI32" s="9">
        <f t="shared" si="12"/>
        <v>13773</v>
      </c>
      <c r="AJ32" s="22">
        <v>218612</v>
      </c>
      <c r="AK32" s="10">
        <f t="shared" si="13"/>
        <v>0.94066720883300847</v>
      </c>
      <c r="AL32" s="6">
        <v>234200</v>
      </c>
      <c r="AM32" s="6">
        <v>204768</v>
      </c>
      <c r="AN32" s="9">
        <f t="shared" si="14"/>
        <v>14855</v>
      </c>
      <c r="AO32" s="22">
        <v>219623</v>
      </c>
      <c r="AP32" s="10">
        <f t="shared" si="15"/>
        <v>0.93775832621690858</v>
      </c>
      <c r="AQ32" s="6">
        <v>733311</v>
      </c>
      <c r="AR32" s="6">
        <v>589784</v>
      </c>
      <c r="AS32" s="9">
        <f t="shared" si="16"/>
        <v>118440</v>
      </c>
      <c r="AT32" s="22">
        <v>708224</v>
      </c>
      <c r="AU32" s="10">
        <f t="shared" si="17"/>
        <v>0.9657894126775679</v>
      </c>
    </row>
    <row r="33" spans="1:47" x14ac:dyDescent="0.3">
      <c r="A33" s="21">
        <v>25</v>
      </c>
      <c r="B33" s="2" t="s">
        <v>30</v>
      </c>
      <c r="C33" s="6">
        <v>4349</v>
      </c>
      <c r="D33" s="6">
        <v>3701</v>
      </c>
      <c r="E33" s="9">
        <f t="shared" si="0"/>
        <v>499</v>
      </c>
      <c r="F33" s="22">
        <v>4200</v>
      </c>
      <c r="G33" s="10">
        <f t="shared" si="1"/>
        <v>0.96573925040239139</v>
      </c>
      <c r="H33" s="6">
        <v>2512</v>
      </c>
      <c r="I33" s="6">
        <v>2230</v>
      </c>
      <c r="J33" s="9">
        <f t="shared" si="2"/>
        <v>110</v>
      </c>
      <c r="K33" s="22">
        <v>2340</v>
      </c>
      <c r="L33" s="10">
        <f t="shared" si="3"/>
        <v>0.93152866242038213</v>
      </c>
      <c r="M33" s="6">
        <v>5056</v>
      </c>
      <c r="N33" s="6">
        <v>4154</v>
      </c>
      <c r="O33" s="9">
        <f t="shared" si="4"/>
        <v>661</v>
      </c>
      <c r="P33" s="22">
        <v>4815</v>
      </c>
      <c r="Q33" s="10">
        <f t="shared" si="5"/>
        <v>0.95233386075949367</v>
      </c>
      <c r="R33" s="6">
        <v>2614</v>
      </c>
      <c r="S33" s="6">
        <v>2318</v>
      </c>
      <c r="T33" s="9">
        <f t="shared" si="6"/>
        <v>119</v>
      </c>
      <c r="U33" s="22">
        <v>2437</v>
      </c>
      <c r="V33" s="10">
        <f t="shared" si="7"/>
        <v>0.93228768171384846</v>
      </c>
      <c r="W33" s="6">
        <v>2634</v>
      </c>
      <c r="X33" s="6">
        <v>2329</v>
      </c>
      <c r="Y33" s="9">
        <f t="shared" si="8"/>
        <v>143</v>
      </c>
      <c r="Z33" s="22">
        <v>2472</v>
      </c>
      <c r="AA33" s="10">
        <f t="shared" si="9"/>
        <v>0.93849658314350792</v>
      </c>
      <c r="AB33" s="6">
        <v>5254</v>
      </c>
      <c r="AC33" s="6">
        <v>4240</v>
      </c>
      <c r="AD33" s="9">
        <f t="shared" si="10"/>
        <v>755</v>
      </c>
      <c r="AE33" s="22">
        <v>4995</v>
      </c>
      <c r="AF33" s="10">
        <f t="shared" si="11"/>
        <v>0.95070422535211263</v>
      </c>
      <c r="AG33" s="6">
        <v>2675</v>
      </c>
      <c r="AH33" s="6">
        <v>2350</v>
      </c>
      <c r="AI33" s="9">
        <f t="shared" si="12"/>
        <v>138</v>
      </c>
      <c r="AJ33" s="22">
        <v>2488</v>
      </c>
      <c r="AK33" s="10">
        <f t="shared" si="13"/>
        <v>0.93009345794392528</v>
      </c>
      <c r="AL33" s="6">
        <v>2694</v>
      </c>
      <c r="AM33" s="6">
        <v>2353</v>
      </c>
      <c r="AN33" s="9">
        <f t="shared" si="14"/>
        <v>144</v>
      </c>
      <c r="AO33" s="22">
        <v>2497</v>
      </c>
      <c r="AP33" s="10">
        <f t="shared" si="15"/>
        <v>0.92687453600593916</v>
      </c>
      <c r="AQ33" s="6">
        <v>5460</v>
      </c>
      <c r="AR33" s="6">
        <v>4285</v>
      </c>
      <c r="AS33" s="9">
        <f t="shared" si="16"/>
        <v>868</v>
      </c>
      <c r="AT33" s="22">
        <v>5153</v>
      </c>
      <c r="AU33" s="10">
        <f t="shared" si="17"/>
        <v>0.94377289377289375</v>
      </c>
    </row>
    <row r="34" spans="1:47" x14ac:dyDescent="0.3">
      <c r="A34" s="21">
        <v>26</v>
      </c>
      <c r="B34" s="2" t="s">
        <v>31</v>
      </c>
      <c r="C34" s="6">
        <v>5291</v>
      </c>
      <c r="D34" s="6">
        <v>4544</v>
      </c>
      <c r="E34" s="9">
        <f t="shared" si="0"/>
        <v>517</v>
      </c>
      <c r="F34" s="22">
        <v>5061</v>
      </c>
      <c r="G34" s="10">
        <f t="shared" si="1"/>
        <v>0.95652995652995654</v>
      </c>
      <c r="H34" s="6">
        <v>3208</v>
      </c>
      <c r="I34" s="6">
        <v>2837</v>
      </c>
      <c r="J34" s="9">
        <f t="shared" si="2"/>
        <v>100</v>
      </c>
      <c r="K34" s="22">
        <v>2937</v>
      </c>
      <c r="L34" s="10">
        <f t="shared" si="3"/>
        <v>0.91552369077306728</v>
      </c>
      <c r="M34" s="6">
        <v>6403</v>
      </c>
      <c r="N34" s="6">
        <v>5319</v>
      </c>
      <c r="O34" s="9">
        <f t="shared" si="4"/>
        <v>741</v>
      </c>
      <c r="P34" s="22">
        <v>6060</v>
      </c>
      <c r="Q34" s="10">
        <f t="shared" si="5"/>
        <v>0.94643136029985941</v>
      </c>
      <c r="R34" s="6">
        <v>3324</v>
      </c>
      <c r="S34" s="6">
        <v>2943</v>
      </c>
      <c r="T34" s="9">
        <f t="shared" si="6"/>
        <v>115</v>
      </c>
      <c r="U34" s="22">
        <v>3058</v>
      </c>
      <c r="V34" s="10">
        <f t="shared" si="7"/>
        <v>0.91997593261131172</v>
      </c>
      <c r="W34" s="6">
        <v>3388</v>
      </c>
      <c r="X34" s="6">
        <v>2978</v>
      </c>
      <c r="Y34" s="9">
        <f t="shared" si="8"/>
        <v>138</v>
      </c>
      <c r="Z34" s="22">
        <v>3116</v>
      </c>
      <c r="AA34" s="10">
        <f t="shared" si="9"/>
        <v>0.91971664698937428</v>
      </c>
      <c r="AB34" s="6">
        <v>6809</v>
      </c>
      <c r="AC34" s="6">
        <v>5529</v>
      </c>
      <c r="AD34" s="9">
        <f t="shared" si="10"/>
        <v>862</v>
      </c>
      <c r="AE34" s="22">
        <v>6391</v>
      </c>
      <c r="AF34" s="10">
        <f t="shared" si="11"/>
        <v>0.93861066235864299</v>
      </c>
      <c r="AG34" s="6">
        <v>3462</v>
      </c>
      <c r="AH34" s="6">
        <v>2985</v>
      </c>
      <c r="AI34" s="9">
        <f t="shared" si="12"/>
        <v>188</v>
      </c>
      <c r="AJ34" s="22">
        <v>3173</v>
      </c>
      <c r="AK34" s="10">
        <f t="shared" si="13"/>
        <v>0.91652224147891392</v>
      </c>
      <c r="AL34" s="6">
        <v>3496</v>
      </c>
      <c r="AM34" s="6">
        <v>2990</v>
      </c>
      <c r="AN34" s="9">
        <f t="shared" si="14"/>
        <v>203</v>
      </c>
      <c r="AO34" s="22">
        <v>3193</v>
      </c>
      <c r="AP34" s="10">
        <f t="shared" si="15"/>
        <v>0.91332951945080088</v>
      </c>
      <c r="AQ34" s="6">
        <v>7150</v>
      </c>
      <c r="AR34" s="6">
        <v>5654</v>
      </c>
      <c r="AS34" s="9">
        <f t="shared" si="16"/>
        <v>1010</v>
      </c>
      <c r="AT34" s="22">
        <v>6664</v>
      </c>
      <c r="AU34" s="10">
        <f t="shared" si="17"/>
        <v>0.93202797202797205</v>
      </c>
    </row>
    <row r="35" spans="1:47" x14ac:dyDescent="0.3">
      <c r="A35" s="21">
        <v>27</v>
      </c>
      <c r="B35" s="2" t="s">
        <v>46</v>
      </c>
      <c r="C35" s="6">
        <v>914892</v>
      </c>
      <c r="D35" s="6">
        <v>719136</v>
      </c>
      <c r="E35" s="9">
        <f t="shared" si="0"/>
        <v>145168</v>
      </c>
      <c r="F35" s="22">
        <v>864304</v>
      </c>
      <c r="G35" s="10">
        <f t="shared" si="1"/>
        <v>0.94470604180602735</v>
      </c>
      <c r="H35" s="6">
        <v>336894</v>
      </c>
      <c r="I35" s="6">
        <v>274069</v>
      </c>
      <c r="J35" s="9">
        <f t="shared" si="2"/>
        <v>22988</v>
      </c>
      <c r="K35" s="22">
        <v>297057</v>
      </c>
      <c r="L35" s="10">
        <f t="shared" si="3"/>
        <v>0.88175212381342505</v>
      </c>
      <c r="M35" s="6">
        <v>1060520</v>
      </c>
      <c r="N35" s="6">
        <v>813583</v>
      </c>
      <c r="O35" s="9">
        <f t="shared" si="4"/>
        <v>190493</v>
      </c>
      <c r="P35" s="22">
        <v>1004076</v>
      </c>
      <c r="Q35" s="10">
        <f t="shared" si="5"/>
        <v>0.94677705276656732</v>
      </c>
      <c r="R35" s="6">
        <v>338572</v>
      </c>
      <c r="S35" s="6">
        <v>281860</v>
      </c>
      <c r="T35" s="9">
        <f t="shared" si="6"/>
        <v>26624</v>
      </c>
      <c r="U35" s="22">
        <v>308484</v>
      </c>
      <c r="V35" s="10">
        <f t="shared" si="7"/>
        <v>0.91113263943858325</v>
      </c>
      <c r="W35" s="6">
        <v>341709</v>
      </c>
      <c r="X35" s="6">
        <v>283207</v>
      </c>
      <c r="Y35" s="9">
        <f t="shared" si="8"/>
        <v>30176</v>
      </c>
      <c r="Z35" s="22">
        <v>313383</v>
      </c>
      <c r="AA35" s="10">
        <f t="shared" si="9"/>
        <v>0.91710490505078879</v>
      </c>
      <c r="AB35" s="6">
        <v>1094504</v>
      </c>
      <c r="AC35" s="6">
        <v>831309</v>
      </c>
      <c r="AD35" s="9">
        <f t="shared" si="10"/>
        <v>211151</v>
      </c>
      <c r="AE35" s="22">
        <v>1042460</v>
      </c>
      <c r="AF35" s="10">
        <f t="shared" si="11"/>
        <v>0.95244969410801605</v>
      </c>
      <c r="AG35" s="6">
        <v>348478</v>
      </c>
      <c r="AH35" s="6">
        <v>280404</v>
      </c>
      <c r="AI35" s="9">
        <f t="shared" si="12"/>
        <v>36078</v>
      </c>
      <c r="AJ35" s="22">
        <v>316482</v>
      </c>
      <c r="AK35" s="10">
        <f t="shared" si="13"/>
        <v>0.90818358691222978</v>
      </c>
      <c r="AL35" s="6">
        <v>352081</v>
      </c>
      <c r="AM35" s="6">
        <v>279040</v>
      </c>
      <c r="AN35" s="9">
        <f t="shared" si="14"/>
        <v>39186</v>
      </c>
      <c r="AO35" s="22">
        <v>318226</v>
      </c>
      <c r="AP35" s="10">
        <f t="shared" si="15"/>
        <v>0.90384314972974966</v>
      </c>
      <c r="AQ35" s="6">
        <v>1148243</v>
      </c>
      <c r="AR35" s="6">
        <v>833059</v>
      </c>
      <c r="AS35" s="9">
        <f t="shared" si="16"/>
        <v>254045</v>
      </c>
      <c r="AT35" s="22">
        <v>1087104</v>
      </c>
      <c r="AU35" s="10">
        <f t="shared" si="17"/>
        <v>0.94675430200750188</v>
      </c>
    </row>
    <row r="36" spans="1:47" x14ac:dyDescent="0.3">
      <c r="A36" s="21">
        <v>29</v>
      </c>
      <c r="B36" s="2" t="s">
        <v>32</v>
      </c>
      <c r="C36" s="6">
        <v>503407</v>
      </c>
      <c r="D36" s="6">
        <v>384319</v>
      </c>
      <c r="E36" s="9">
        <f t="shared" si="0"/>
        <v>76416</v>
      </c>
      <c r="F36" s="22">
        <v>460735</v>
      </c>
      <c r="G36" s="10">
        <f t="shared" si="1"/>
        <v>0.91523359826144646</v>
      </c>
      <c r="H36" s="6">
        <v>312358</v>
      </c>
      <c r="I36" s="6">
        <v>244243</v>
      </c>
      <c r="J36" s="9">
        <f t="shared" si="2"/>
        <v>32468</v>
      </c>
      <c r="K36" s="22">
        <v>276711</v>
      </c>
      <c r="L36" s="10">
        <f t="shared" si="3"/>
        <v>0.88587774284634935</v>
      </c>
      <c r="M36" s="6">
        <v>553919</v>
      </c>
      <c r="N36" s="6">
        <v>400740</v>
      </c>
      <c r="O36" s="9">
        <f t="shared" si="4"/>
        <v>94067</v>
      </c>
      <c r="P36" s="22">
        <v>494807</v>
      </c>
      <c r="Q36" s="10">
        <f t="shared" si="5"/>
        <v>0.89328403611358342</v>
      </c>
      <c r="R36" s="6">
        <v>318679</v>
      </c>
      <c r="S36" s="6">
        <v>248455</v>
      </c>
      <c r="T36" s="9">
        <f t="shared" si="6"/>
        <v>35620</v>
      </c>
      <c r="U36" s="22">
        <v>284075</v>
      </c>
      <c r="V36" s="10">
        <f t="shared" si="7"/>
        <v>0.89141424442777839</v>
      </c>
      <c r="W36" s="6">
        <v>324721</v>
      </c>
      <c r="X36" s="6">
        <v>250616</v>
      </c>
      <c r="Y36" s="9">
        <f t="shared" si="8"/>
        <v>38965</v>
      </c>
      <c r="Z36" s="22">
        <v>289581</v>
      </c>
      <c r="AA36" s="10">
        <f t="shared" si="9"/>
        <v>0.8917840238235285</v>
      </c>
      <c r="AB36" s="6">
        <v>556414</v>
      </c>
      <c r="AC36" s="6">
        <v>397527</v>
      </c>
      <c r="AD36" s="9">
        <f t="shared" si="10"/>
        <v>102243</v>
      </c>
      <c r="AE36" s="22">
        <v>499770</v>
      </c>
      <c r="AF36" s="10">
        <f t="shared" si="11"/>
        <v>0.89819810428925229</v>
      </c>
      <c r="AG36" s="6">
        <v>333690</v>
      </c>
      <c r="AH36" s="6">
        <v>246359</v>
      </c>
      <c r="AI36" s="9">
        <f t="shared" si="12"/>
        <v>47436</v>
      </c>
      <c r="AJ36" s="22">
        <v>293795</v>
      </c>
      <c r="AK36" s="10">
        <f t="shared" si="13"/>
        <v>0.88044292606910601</v>
      </c>
      <c r="AL36" s="6">
        <v>339216</v>
      </c>
      <c r="AM36" s="6">
        <v>244436</v>
      </c>
      <c r="AN36" s="9">
        <f t="shared" si="14"/>
        <v>52344</v>
      </c>
      <c r="AO36" s="22">
        <v>296780</v>
      </c>
      <c r="AP36" s="10">
        <f t="shared" si="15"/>
        <v>0.87489976887882648</v>
      </c>
      <c r="AQ36" s="6">
        <v>590015</v>
      </c>
      <c r="AR36" s="6">
        <v>389982</v>
      </c>
      <c r="AS36" s="9">
        <f t="shared" si="16"/>
        <v>131215</v>
      </c>
      <c r="AT36" s="22">
        <v>521197</v>
      </c>
      <c r="AU36" s="10">
        <f t="shared" si="17"/>
        <v>0.88336228739947287</v>
      </c>
    </row>
    <row r="37" spans="1:47" x14ac:dyDescent="0.3">
      <c r="A37" s="21">
        <v>30</v>
      </c>
      <c r="B37" s="2" t="s">
        <v>33</v>
      </c>
      <c r="C37" s="6">
        <v>22196</v>
      </c>
      <c r="D37" s="6">
        <v>18039</v>
      </c>
      <c r="E37" s="9">
        <f t="shared" si="0"/>
        <v>2480</v>
      </c>
      <c r="F37" s="22">
        <v>20519</v>
      </c>
      <c r="G37" s="10">
        <f t="shared" si="1"/>
        <v>0.92444584609839608</v>
      </c>
      <c r="H37" s="6">
        <v>10774</v>
      </c>
      <c r="I37" s="6">
        <v>8605</v>
      </c>
      <c r="J37" s="9">
        <f t="shared" si="2"/>
        <v>974</v>
      </c>
      <c r="K37" s="22">
        <v>9579</v>
      </c>
      <c r="L37" s="10">
        <f t="shared" si="3"/>
        <v>0.88908483385929094</v>
      </c>
      <c r="M37" s="6">
        <v>25339</v>
      </c>
      <c r="N37" s="6">
        <v>20038</v>
      </c>
      <c r="O37" s="9">
        <f t="shared" si="4"/>
        <v>3471</v>
      </c>
      <c r="P37" s="22">
        <v>23509</v>
      </c>
      <c r="Q37" s="10">
        <f t="shared" si="5"/>
        <v>0.92777931252219903</v>
      </c>
      <c r="R37" s="6">
        <v>11292</v>
      </c>
      <c r="S37" s="6">
        <v>8877</v>
      </c>
      <c r="T37" s="9">
        <f t="shared" si="6"/>
        <v>1126</v>
      </c>
      <c r="U37" s="22">
        <v>10003</v>
      </c>
      <c r="V37" s="10">
        <f t="shared" si="7"/>
        <v>0.88584838823946155</v>
      </c>
      <c r="W37" s="6">
        <v>11570</v>
      </c>
      <c r="X37" s="6">
        <v>8962</v>
      </c>
      <c r="Y37" s="9">
        <f t="shared" si="8"/>
        <v>1310</v>
      </c>
      <c r="Z37" s="22">
        <v>10272</v>
      </c>
      <c r="AA37" s="10">
        <f t="shared" si="9"/>
        <v>0.88781331028522037</v>
      </c>
      <c r="AB37" s="6">
        <v>26231</v>
      </c>
      <c r="AC37" s="6">
        <v>19986</v>
      </c>
      <c r="AD37" s="9">
        <f t="shared" si="10"/>
        <v>4253</v>
      </c>
      <c r="AE37" s="22">
        <v>24239</v>
      </c>
      <c r="AF37" s="10">
        <f t="shared" si="11"/>
        <v>0.92405931912622474</v>
      </c>
      <c r="AG37" s="6">
        <v>11769</v>
      </c>
      <c r="AH37" s="6">
        <v>8863</v>
      </c>
      <c r="AI37" s="9">
        <f t="shared" si="12"/>
        <v>1485</v>
      </c>
      <c r="AJ37" s="22">
        <v>10348</v>
      </c>
      <c r="AK37" s="10">
        <f t="shared" si="13"/>
        <v>0.87925907043928964</v>
      </c>
      <c r="AL37" s="6">
        <v>11924</v>
      </c>
      <c r="AM37" s="6">
        <v>8797</v>
      </c>
      <c r="AN37" s="9">
        <f t="shared" si="14"/>
        <v>1655</v>
      </c>
      <c r="AO37" s="22">
        <v>10452</v>
      </c>
      <c r="AP37" s="10">
        <f t="shared" si="15"/>
        <v>0.8765514927876551</v>
      </c>
      <c r="AQ37" s="6">
        <v>27578</v>
      </c>
      <c r="AR37" s="6">
        <v>19628</v>
      </c>
      <c r="AS37" s="9">
        <f t="shared" si="16"/>
        <v>5566</v>
      </c>
      <c r="AT37" s="22">
        <v>25194</v>
      </c>
      <c r="AU37" s="10">
        <f t="shared" si="17"/>
        <v>0.91355428239901371</v>
      </c>
    </row>
    <row r="38" spans="1:47" x14ac:dyDescent="0.3">
      <c r="A38" s="21">
        <v>31</v>
      </c>
      <c r="B38" s="2" t="s">
        <v>34</v>
      </c>
      <c r="C38" s="6">
        <v>90</v>
      </c>
      <c r="D38" s="6">
        <v>44</v>
      </c>
      <c r="E38" s="9">
        <f t="shared" si="0"/>
        <v>21</v>
      </c>
      <c r="F38" s="22">
        <v>65</v>
      </c>
      <c r="G38" s="10">
        <f t="shared" si="1"/>
        <v>0.72222222222222221</v>
      </c>
      <c r="H38" s="6">
        <v>152</v>
      </c>
      <c r="I38" s="6">
        <v>51</v>
      </c>
      <c r="J38" s="9">
        <f t="shared" si="2"/>
        <v>18</v>
      </c>
      <c r="K38" s="22">
        <v>69</v>
      </c>
      <c r="L38" s="10">
        <f t="shared" si="3"/>
        <v>0.45394736842105265</v>
      </c>
      <c r="M38" s="6">
        <v>258</v>
      </c>
      <c r="N38" s="6">
        <v>96</v>
      </c>
      <c r="O38" s="9">
        <f t="shared" si="4"/>
        <v>61</v>
      </c>
      <c r="P38" s="22">
        <v>157</v>
      </c>
      <c r="Q38" s="10">
        <f t="shared" si="5"/>
        <v>0.60852713178294571</v>
      </c>
      <c r="R38" s="6">
        <v>176</v>
      </c>
      <c r="S38" s="6">
        <v>64</v>
      </c>
      <c r="T38" s="9">
        <f t="shared" si="6"/>
        <v>23</v>
      </c>
      <c r="U38" s="22">
        <v>87</v>
      </c>
      <c r="V38" s="10">
        <f t="shared" si="7"/>
        <v>0.49431818181818182</v>
      </c>
      <c r="W38" s="6">
        <v>179</v>
      </c>
      <c r="X38" s="6">
        <v>64</v>
      </c>
      <c r="Y38" s="9">
        <f t="shared" si="8"/>
        <v>24</v>
      </c>
      <c r="Z38" s="22">
        <v>88</v>
      </c>
      <c r="AA38" s="10">
        <f t="shared" si="9"/>
        <v>0.49162011173184356</v>
      </c>
      <c r="AB38" s="6">
        <v>253</v>
      </c>
      <c r="AC38" s="6">
        <v>98</v>
      </c>
      <c r="AD38" s="9">
        <f t="shared" si="10"/>
        <v>62</v>
      </c>
      <c r="AE38" s="22">
        <v>160</v>
      </c>
      <c r="AF38" s="10">
        <f t="shared" si="11"/>
        <v>0.6324110671936759</v>
      </c>
      <c r="AG38" s="6">
        <v>185</v>
      </c>
      <c r="AH38" s="6">
        <v>58</v>
      </c>
      <c r="AI38" s="9">
        <f t="shared" si="12"/>
        <v>30</v>
      </c>
      <c r="AJ38" s="22">
        <v>88</v>
      </c>
      <c r="AK38" s="10">
        <f t="shared" si="13"/>
        <v>0.4756756756756757</v>
      </c>
      <c r="AL38" s="6">
        <v>187</v>
      </c>
      <c r="AM38" s="6">
        <v>52</v>
      </c>
      <c r="AN38" s="9">
        <f t="shared" si="14"/>
        <v>32</v>
      </c>
      <c r="AO38" s="22">
        <v>84</v>
      </c>
      <c r="AP38" s="10">
        <f t="shared" si="15"/>
        <v>0.44919786096256686</v>
      </c>
      <c r="AQ38" s="6">
        <v>265</v>
      </c>
      <c r="AR38" s="6">
        <v>82</v>
      </c>
      <c r="AS38" s="9">
        <f t="shared" si="16"/>
        <v>79</v>
      </c>
      <c r="AT38" s="22">
        <v>161</v>
      </c>
      <c r="AU38" s="10">
        <f t="shared" si="17"/>
        <v>0.60754716981132073</v>
      </c>
    </row>
    <row r="39" spans="1:47" x14ac:dyDescent="0.3">
      <c r="A39" s="21">
        <v>32</v>
      </c>
      <c r="B39" s="2" t="s">
        <v>35</v>
      </c>
      <c r="C39" s="6">
        <v>215930</v>
      </c>
      <c r="D39" s="6">
        <v>179651</v>
      </c>
      <c r="E39" s="9">
        <f t="shared" si="0"/>
        <v>27794</v>
      </c>
      <c r="F39" s="22">
        <v>207445</v>
      </c>
      <c r="G39" s="10">
        <f t="shared" si="1"/>
        <v>0.96070485805585148</v>
      </c>
      <c r="H39" s="6">
        <v>127093</v>
      </c>
      <c r="I39" s="6">
        <v>107843</v>
      </c>
      <c r="J39" s="9">
        <f t="shared" si="2"/>
        <v>11715</v>
      </c>
      <c r="K39" s="22">
        <v>119558</v>
      </c>
      <c r="L39" s="10">
        <f t="shared" si="3"/>
        <v>0.94071270644331317</v>
      </c>
      <c r="M39" s="6">
        <v>233233</v>
      </c>
      <c r="N39" s="6">
        <v>187432</v>
      </c>
      <c r="O39" s="9">
        <f t="shared" si="4"/>
        <v>35025</v>
      </c>
      <c r="P39" s="22">
        <v>222457</v>
      </c>
      <c r="Q39" s="10">
        <f t="shared" si="5"/>
        <v>0.95379727568568773</v>
      </c>
      <c r="R39" s="6">
        <v>127401</v>
      </c>
      <c r="S39" s="6">
        <v>108168</v>
      </c>
      <c r="T39" s="9">
        <f t="shared" si="6"/>
        <v>13246</v>
      </c>
      <c r="U39" s="22">
        <v>121414</v>
      </c>
      <c r="V39" s="10">
        <f t="shared" si="7"/>
        <v>0.95300664829946391</v>
      </c>
      <c r="W39" s="6">
        <v>129531</v>
      </c>
      <c r="X39" s="6">
        <v>108962</v>
      </c>
      <c r="Y39" s="9">
        <f t="shared" si="8"/>
        <v>14732</v>
      </c>
      <c r="Z39" s="22">
        <v>123694</v>
      </c>
      <c r="AA39" s="10">
        <f t="shared" si="9"/>
        <v>0.95493742810601323</v>
      </c>
      <c r="AB39" s="6">
        <v>234754</v>
      </c>
      <c r="AC39" s="6">
        <v>184822</v>
      </c>
      <c r="AD39" s="9">
        <f t="shared" si="10"/>
        <v>39525</v>
      </c>
      <c r="AE39" s="22">
        <v>224347</v>
      </c>
      <c r="AF39" s="10">
        <f t="shared" si="11"/>
        <v>0.95566848701193585</v>
      </c>
      <c r="AG39" s="6">
        <v>132146</v>
      </c>
      <c r="AH39" s="6">
        <v>107858</v>
      </c>
      <c r="AI39" s="9">
        <f t="shared" si="12"/>
        <v>17568</v>
      </c>
      <c r="AJ39" s="22">
        <v>125426</v>
      </c>
      <c r="AK39" s="10">
        <f t="shared" si="13"/>
        <v>0.94914715541900629</v>
      </c>
      <c r="AL39" s="6">
        <v>133611</v>
      </c>
      <c r="AM39" s="6">
        <v>107297</v>
      </c>
      <c r="AN39" s="9">
        <f t="shared" si="14"/>
        <v>19247</v>
      </c>
      <c r="AO39" s="22">
        <v>126544</v>
      </c>
      <c r="AP39" s="10">
        <f t="shared" si="15"/>
        <v>0.94710764832236871</v>
      </c>
      <c r="AQ39" s="6">
        <v>245761</v>
      </c>
      <c r="AR39" s="6">
        <v>182504</v>
      </c>
      <c r="AS39" s="9">
        <f t="shared" si="16"/>
        <v>50864</v>
      </c>
      <c r="AT39" s="22">
        <v>233368</v>
      </c>
      <c r="AU39" s="10">
        <f t="shared" si="17"/>
        <v>0.94957295909440476</v>
      </c>
    </row>
    <row r="40" spans="1:47" x14ac:dyDescent="0.3">
      <c r="A40" s="21">
        <v>33</v>
      </c>
      <c r="B40" s="2" t="s">
        <v>36</v>
      </c>
      <c r="C40" s="6">
        <v>624866</v>
      </c>
      <c r="D40" s="6">
        <v>493847</v>
      </c>
      <c r="E40" s="9">
        <f t="shared" si="0"/>
        <v>75621</v>
      </c>
      <c r="F40" s="22">
        <v>569468</v>
      </c>
      <c r="G40" s="10">
        <f t="shared" si="1"/>
        <v>0.91134419219480656</v>
      </c>
      <c r="H40" s="6">
        <v>436886</v>
      </c>
      <c r="I40" s="6">
        <v>345177</v>
      </c>
      <c r="J40" s="9">
        <f t="shared" si="2"/>
        <v>35840</v>
      </c>
      <c r="K40" s="22">
        <v>381017</v>
      </c>
      <c r="L40" s="10">
        <f t="shared" si="3"/>
        <v>0.87211995806686415</v>
      </c>
      <c r="M40" s="6">
        <v>700632</v>
      </c>
      <c r="N40" s="6">
        <v>523129</v>
      </c>
      <c r="O40" s="9">
        <f t="shared" si="4"/>
        <v>101901</v>
      </c>
      <c r="P40" s="22">
        <v>625030</v>
      </c>
      <c r="Q40" s="10">
        <f t="shared" si="5"/>
        <v>0.89209456604893866</v>
      </c>
      <c r="R40" s="6">
        <v>444591</v>
      </c>
      <c r="S40" s="6">
        <v>351203</v>
      </c>
      <c r="T40" s="9">
        <f t="shared" si="6"/>
        <v>39778</v>
      </c>
      <c r="U40" s="22">
        <v>390981</v>
      </c>
      <c r="V40" s="10">
        <f t="shared" si="7"/>
        <v>0.87941726215780347</v>
      </c>
      <c r="W40" s="6">
        <v>452148</v>
      </c>
      <c r="X40" s="6">
        <v>354149</v>
      </c>
      <c r="Y40" s="9">
        <f t="shared" si="8"/>
        <v>43505</v>
      </c>
      <c r="Z40" s="22">
        <v>397654</v>
      </c>
      <c r="AA40" s="10">
        <f t="shared" si="9"/>
        <v>0.87947751621150594</v>
      </c>
      <c r="AB40" s="6">
        <v>712131</v>
      </c>
      <c r="AC40" s="6">
        <v>523313</v>
      </c>
      <c r="AD40" s="9">
        <f t="shared" si="10"/>
        <v>112273</v>
      </c>
      <c r="AE40" s="22">
        <v>635586</v>
      </c>
      <c r="AF40" s="10">
        <f t="shared" si="11"/>
        <v>0.89251275397363683</v>
      </c>
      <c r="AG40" s="6">
        <v>463481</v>
      </c>
      <c r="AH40" s="6">
        <v>350079</v>
      </c>
      <c r="AI40" s="9">
        <f t="shared" si="12"/>
        <v>52802</v>
      </c>
      <c r="AJ40" s="22">
        <v>402881</v>
      </c>
      <c r="AK40" s="10">
        <f t="shared" si="13"/>
        <v>0.86925030368019396</v>
      </c>
      <c r="AL40" s="6">
        <v>472374</v>
      </c>
      <c r="AM40" s="6">
        <v>350056</v>
      </c>
      <c r="AN40" s="9">
        <f t="shared" si="14"/>
        <v>58029</v>
      </c>
      <c r="AO40" s="22">
        <v>408085</v>
      </c>
      <c r="AP40" s="10">
        <f t="shared" si="15"/>
        <v>0.86390233162705821</v>
      </c>
      <c r="AQ40" s="6">
        <v>750910</v>
      </c>
      <c r="AR40" s="6">
        <v>520158</v>
      </c>
      <c r="AS40" s="9">
        <f t="shared" si="16"/>
        <v>139021</v>
      </c>
      <c r="AT40" s="22">
        <v>659179</v>
      </c>
      <c r="AU40" s="10">
        <f t="shared" si="17"/>
        <v>0.87784022053242061</v>
      </c>
    </row>
    <row r="41" spans="1:47" x14ac:dyDescent="0.3">
      <c r="A41" s="21">
        <v>34</v>
      </c>
      <c r="B41" s="2" t="s">
        <v>37</v>
      </c>
      <c r="C41" s="6">
        <v>14080</v>
      </c>
      <c r="D41" s="6">
        <v>10983</v>
      </c>
      <c r="E41" s="9">
        <f t="shared" si="0"/>
        <v>2029</v>
      </c>
      <c r="F41" s="22">
        <v>13012</v>
      </c>
      <c r="G41" s="10">
        <f t="shared" si="1"/>
        <v>0.92414772727272732</v>
      </c>
      <c r="H41" s="6">
        <v>9277</v>
      </c>
      <c r="I41" s="6">
        <v>7407</v>
      </c>
      <c r="J41" s="9">
        <f t="shared" si="2"/>
        <v>1018</v>
      </c>
      <c r="K41" s="22">
        <v>8425</v>
      </c>
      <c r="L41" s="10">
        <f t="shared" si="3"/>
        <v>0.90815996550609035</v>
      </c>
      <c r="M41" s="6">
        <v>15568</v>
      </c>
      <c r="N41" s="6">
        <v>11649</v>
      </c>
      <c r="O41" s="9">
        <f t="shared" si="4"/>
        <v>2594</v>
      </c>
      <c r="P41" s="22">
        <v>14243</v>
      </c>
      <c r="Q41" s="10">
        <f t="shared" si="5"/>
        <v>0.91488951695786225</v>
      </c>
      <c r="R41" s="6">
        <v>9544</v>
      </c>
      <c r="S41" s="6">
        <v>7581</v>
      </c>
      <c r="T41" s="9">
        <f t="shared" si="6"/>
        <v>1107</v>
      </c>
      <c r="U41" s="22">
        <v>8688</v>
      </c>
      <c r="V41" s="10">
        <f t="shared" si="7"/>
        <v>0.91031014249790443</v>
      </c>
      <c r="W41" s="6">
        <v>9607</v>
      </c>
      <c r="X41" s="6">
        <v>7627</v>
      </c>
      <c r="Y41" s="9">
        <f t="shared" si="8"/>
        <v>1181</v>
      </c>
      <c r="Z41" s="22">
        <v>8808</v>
      </c>
      <c r="AA41" s="10">
        <f t="shared" si="9"/>
        <v>0.91683147704798584</v>
      </c>
      <c r="AB41" s="6">
        <v>15975</v>
      </c>
      <c r="AC41" s="6">
        <v>11786</v>
      </c>
      <c r="AD41" s="9">
        <f t="shared" si="10"/>
        <v>2915</v>
      </c>
      <c r="AE41" s="22">
        <v>14701</v>
      </c>
      <c r="AF41" s="10">
        <f t="shared" si="11"/>
        <v>0.9202503912363067</v>
      </c>
      <c r="AG41" s="6">
        <v>9858</v>
      </c>
      <c r="AH41" s="6">
        <v>7544</v>
      </c>
      <c r="AI41" s="9">
        <f t="shared" si="12"/>
        <v>1456</v>
      </c>
      <c r="AJ41" s="22">
        <v>9000</v>
      </c>
      <c r="AK41" s="10">
        <f t="shared" si="13"/>
        <v>0.9129640900791236</v>
      </c>
      <c r="AL41" s="6">
        <v>10005</v>
      </c>
      <c r="AM41" s="6">
        <v>7548</v>
      </c>
      <c r="AN41" s="9">
        <f t="shared" si="14"/>
        <v>1591</v>
      </c>
      <c r="AO41" s="22">
        <v>9139</v>
      </c>
      <c r="AP41" s="10">
        <f t="shared" si="15"/>
        <v>0.91344327836081962</v>
      </c>
      <c r="AQ41" s="6">
        <v>16887</v>
      </c>
      <c r="AR41" s="6">
        <v>11754</v>
      </c>
      <c r="AS41" s="9">
        <f t="shared" si="16"/>
        <v>3625</v>
      </c>
      <c r="AT41" s="22">
        <v>15379</v>
      </c>
      <c r="AU41" s="10">
        <f t="shared" si="17"/>
        <v>0.91070053887605851</v>
      </c>
    </row>
    <row r="42" spans="1:47" x14ac:dyDescent="0.3">
      <c r="A42" s="21">
        <v>35</v>
      </c>
      <c r="B42" s="2" t="s">
        <v>47</v>
      </c>
      <c r="C42" s="6">
        <v>2489</v>
      </c>
      <c r="D42" s="6">
        <v>1384</v>
      </c>
      <c r="E42" s="9">
        <f t="shared" si="0"/>
        <v>522</v>
      </c>
      <c r="F42" s="22">
        <v>1906</v>
      </c>
      <c r="G42" s="10">
        <f t="shared" si="1"/>
        <v>0.76576938529529937</v>
      </c>
      <c r="H42" s="6">
        <v>2208</v>
      </c>
      <c r="I42" s="6">
        <v>1088</v>
      </c>
      <c r="J42" s="9">
        <f t="shared" si="2"/>
        <v>396</v>
      </c>
      <c r="K42" s="22">
        <v>1484</v>
      </c>
      <c r="L42" s="10">
        <f t="shared" si="3"/>
        <v>0.67210144927536231</v>
      </c>
      <c r="M42" s="6">
        <v>3908</v>
      </c>
      <c r="N42" s="6">
        <v>1809</v>
      </c>
      <c r="O42" s="9">
        <f t="shared" si="4"/>
        <v>1032</v>
      </c>
      <c r="P42" s="22">
        <v>2841</v>
      </c>
      <c r="Q42" s="10">
        <f t="shared" si="5"/>
        <v>0.72697031729785055</v>
      </c>
      <c r="R42" s="6">
        <v>2368</v>
      </c>
      <c r="S42" s="6">
        <v>1130</v>
      </c>
      <c r="T42" s="9">
        <f t="shared" si="6"/>
        <v>481</v>
      </c>
      <c r="U42" s="22">
        <v>1611</v>
      </c>
      <c r="V42" s="10">
        <f t="shared" si="7"/>
        <v>0.68032094594594594</v>
      </c>
      <c r="W42" s="6">
        <v>2430</v>
      </c>
      <c r="X42" s="6">
        <v>1130</v>
      </c>
      <c r="Y42" s="9">
        <f t="shared" si="8"/>
        <v>534</v>
      </c>
      <c r="Z42" s="22">
        <v>1664</v>
      </c>
      <c r="AA42" s="10">
        <f t="shared" si="9"/>
        <v>0.68477366255144034</v>
      </c>
      <c r="AB42" s="6">
        <v>4016</v>
      </c>
      <c r="AC42" s="6">
        <v>1767</v>
      </c>
      <c r="AD42" s="9">
        <f t="shared" si="10"/>
        <v>1181</v>
      </c>
      <c r="AE42" s="22">
        <v>2948</v>
      </c>
      <c r="AF42" s="10">
        <f t="shared" si="11"/>
        <v>0.73406374501992033</v>
      </c>
      <c r="AG42" s="6">
        <v>2484</v>
      </c>
      <c r="AH42" s="6">
        <v>1091</v>
      </c>
      <c r="AI42" s="9">
        <f t="shared" si="12"/>
        <v>587</v>
      </c>
      <c r="AJ42" s="22">
        <v>1678</v>
      </c>
      <c r="AK42" s="10">
        <f t="shared" si="13"/>
        <v>0.67552334943639292</v>
      </c>
      <c r="AL42" s="6">
        <v>2518</v>
      </c>
      <c r="AM42" s="6">
        <v>1074</v>
      </c>
      <c r="AN42" s="9">
        <f t="shared" si="14"/>
        <v>608</v>
      </c>
      <c r="AO42" s="22">
        <v>1682</v>
      </c>
      <c r="AP42" s="10">
        <f t="shared" si="15"/>
        <v>0.66799046862589362</v>
      </c>
      <c r="AQ42" s="6">
        <v>4246</v>
      </c>
      <c r="AR42" s="6">
        <v>1646</v>
      </c>
      <c r="AS42" s="9">
        <f t="shared" si="16"/>
        <v>1422</v>
      </c>
      <c r="AT42" s="22">
        <v>3068</v>
      </c>
      <c r="AU42" s="10">
        <f t="shared" si="17"/>
        <v>0.72256241168158264</v>
      </c>
    </row>
    <row r="43" spans="1:47" x14ac:dyDescent="0.3">
      <c r="A43" s="21">
        <v>36</v>
      </c>
      <c r="B43" s="2" t="s">
        <v>38</v>
      </c>
      <c r="C43" s="6">
        <v>201614</v>
      </c>
      <c r="D43" s="6">
        <v>154366</v>
      </c>
      <c r="E43" s="9">
        <f t="shared" si="0"/>
        <v>24885</v>
      </c>
      <c r="F43" s="22">
        <v>179251</v>
      </c>
      <c r="G43" s="10">
        <f t="shared" si="1"/>
        <v>0.88908012340412867</v>
      </c>
      <c r="H43" s="6">
        <v>142285</v>
      </c>
      <c r="I43" s="6">
        <v>105888</v>
      </c>
      <c r="J43" s="9">
        <f t="shared" si="2"/>
        <v>13776</v>
      </c>
      <c r="K43" s="22">
        <v>119664</v>
      </c>
      <c r="L43" s="10">
        <f t="shared" si="3"/>
        <v>0.84101627016199876</v>
      </c>
      <c r="M43" s="6">
        <v>234895</v>
      </c>
      <c r="N43" s="6">
        <v>168714</v>
      </c>
      <c r="O43" s="9">
        <f t="shared" si="4"/>
        <v>35001</v>
      </c>
      <c r="P43" s="22">
        <v>203715</v>
      </c>
      <c r="Q43" s="10">
        <f t="shared" si="5"/>
        <v>0.86725983950275654</v>
      </c>
      <c r="R43" s="6">
        <v>144948</v>
      </c>
      <c r="S43" s="6">
        <v>108893</v>
      </c>
      <c r="T43" s="9">
        <f t="shared" si="6"/>
        <v>15659</v>
      </c>
      <c r="U43" s="22">
        <v>124552</v>
      </c>
      <c r="V43" s="10">
        <f t="shared" si="7"/>
        <v>0.85928746860943239</v>
      </c>
      <c r="W43" s="6">
        <v>148881</v>
      </c>
      <c r="X43" s="6">
        <v>110096</v>
      </c>
      <c r="Y43" s="9">
        <f t="shared" si="8"/>
        <v>17555</v>
      </c>
      <c r="Z43" s="22">
        <v>127651</v>
      </c>
      <c r="AA43" s="10">
        <f t="shared" si="9"/>
        <v>0.85740289224279798</v>
      </c>
      <c r="AB43" s="6">
        <v>241225</v>
      </c>
      <c r="AC43" s="6">
        <v>168267</v>
      </c>
      <c r="AD43" s="9">
        <f t="shared" si="10"/>
        <v>41030</v>
      </c>
      <c r="AE43" s="22">
        <v>209297</v>
      </c>
      <c r="AF43" s="10">
        <f t="shared" si="11"/>
        <v>0.86764224271945278</v>
      </c>
      <c r="AG43" s="6">
        <v>154073</v>
      </c>
      <c r="AH43" s="6">
        <v>108737</v>
      </c>
      <c r="AI43" s="9">
        <f t="shared" si="12"/>
        <v>21341</v>
      </c>
      <c r="AJ43" s="22">
        <v>130078</v>
      </c>
      <c r="AK43" s="10">
        <f t="shared" si="13"/>
        <v>0.84426213548123297</v>
      </c>
      <c r="AL43" s="6">
        <v>157538</v>
      </c>
      <c r="AM43" s="6">
        <v>108308</v>
      </c>
      <c r="AN43" s="9">
        <f t="shared" si="14"/>
        <v>23683</v>
      </c>
      <c r="AO43" s="22">
        <v>131991</v>
      </c>
      <c r="AP43" s="10">
        <f t="shared" si="15"/>
        <v>0.83783595069126182</v>
      </c>
      <c r="AQ43" s="6">
        <v>259182</v>
      </c>
      <c r="AR43" s="6">
        <v>165472</v>
      </c>
      <c r="AS43" s="9">
        <f t="shared" si="16"/>
        <v>55146</v>
      </c>
      <c r="AT43" s="22">
        <v>220618</v>
      </c>
      <c r="AU43" s="10">
        <f t="shared" si="17"/>
        <v>0.85120880308046087</v>
      </c>
    </row>
    <row r="44" spans="1:47" x14ac:dyDescent="0.3">
      <c r="A44" s="21">
        <v>37</v>
      </c>
      <c r="B44" s="2" t="s">
        <v>39</v>
      </c>
      <c r="C44" s="6">
        <v>198028</v>
      </c>
      <c r="D44" s="6">
        <v>149926</v>
      </c>
      <c r="E44" s="9">
        <f t="shared" si="0"/>
        <v>26732</v>
      </c>
      <c r="F44" s="22">
        <v>176658</v>
      </c>
      <c r="G44" s="10">
        <f t="shared" si="1"/>
        <v>0.89208596764093961</v>
      </c>
      <c r="H44" s="6">
        <v>129603</v>
      </c>
      <c r="I44" s="6">
        <v>100118</v>
      </c>
      <c r="J44" s="9">
        <f t="shared" si="2"/>
        <v>10406</v>
      </c>
      <c r="K44" s="22">
        <v>110524</v>
      </c>
      <c r="L44" s="10">
        <f t="shared" si="3"/>
        <v>0.85278890149147779</v>
      </c>
      <c r="M44" s="6">
        <v>216950</v>
      </c>
      <c r="N44" s="6">
        <v>158358</v>
      </c>
      <c r="O44" s="9">
        <f t="shared" si="4"/>
        <v>33751</v>
      </c>
      <c r="P44" s="22">
        <v>192109</v>
      </c>
      <c r="Q44" s="10">
        <f t="shared" si="5"/>
        <v>0.88549896289467622</v>
      </c>
      <c r="R44" s="6">
        <v>129192</v>
      </c>
      <c r="S44" s="6">
        <v>102060</v>
      </c>
      <c r="T44" s="9">
        <f t="shared" si="6"/>
        <v>11754</v>
      </c>
      <c r="U44" s="22">
        <v>113814</v>
      </c>
      <c r="V44" s="10">
        <f t="shared" si="7"/>
        <v>0.88096786178710751</v>
      </c>
      <c r="W44" s="6">
        <v>132744</v>
      </c>
      <c r="X44" s="6">
        <v>103504</v>
      </c>
      <c r="Y44" s="9">
        <f t="shared" si="8"/>
        <v>13179</v>
      </c>
      <c r="Z44" s="22">
        <v>116683</v>
      </c>
      <c r="AA44" s="10">
        <f t="shared" si="9"/>
        <v>0.87900771409630563</v>
      </c>
      <c r="AB44" s="6">
        <v>215764</v>
      </c>
      <c r="AC44" s="6">
        <v>157114</v>
      </c>
      <c r="AD44" s="9">
        <f t="shared" si="10"/>
        <v>36157</v>
      </c>
      <c r="AE44" s="22">
        <v>193271</v>
      </c>
      <c r="AF44" s="10">
        <f t="shared" si="11"/>
        <v>0.89575183997330421</v>
      </c>
      <c r="AG44" s="6">
        <v>134716</v>
      </c>
      <c r="AH44" s="6">
        <v>102518</v>
      </c>
      <c r="AI44" s="9">
        <f t="shared" si="12"/>
        <v>15809</v>
      </c>
      <c r="AJ44" s="22">
        <v>118327</v>
      </c>
      <c r="AK44" s="10">
        <f t="shared" si="13"/>
        <v>0.8783440719736334</v>
      </c>
      <c r="AL44" s="6">
        <v>136843</v>
      </c>
      <c r="AM44" s="6">
        <v>102169</v>
      </c>
      <c r="AN44" s="9">
        <f t="shared" si="14"/>
        <v>17428</v>
      </c>
      <c r="AO44" s="22">
        <v>119597</v>
      </c>
      <c r="AP44" s="10">
        <f t="shared" si="15"/>
        <v>0.87397236248839916</v>
      </c>
      <c r="AQ44" s="6">
        <v>226630</v>
      </c>
      <c r="AR44" s="6">
        <v>155869</v>
      </c>
      <c r="AS44" s="9">
        <f t="shared" si="16"/>
        <v>45594</v>
      </c>
      <c r="AT44" s="22">
        <v>201463</v>
      </c>
      <c r="AU44" s="10">
        <f t="shared" si="17"/>
        <v>0.88895115386312495</v>
      </c>
    </row>
    <row r="45" spans="1:47" x14ac:dyDescent="0.3">
      <c r="A45" s="21">
        <v>38</v>
      </c>
      <c r="B45" s="2" t="s">
        <v>40</v>
      </c>
      <c r="C45" s="15">
        <v>0</v>
      </c>
      <c r="D45" s="15">
        <v>0</v>
      </c>
      <c r="E45" s="15">
        <v>0</v>
      </c>
      <c r="F45" s="22">
        <v>0</v>
      </c>
      <c r="G45" s="15">
        <v>0</v>
      </c>
      <c r="H45" s="15">
        <v>0</v>
      </c>
      <c r="I45" s="15">
        <v>0</v>
      </c>
      <c r="J45" s="15">
        <v>0</v>
      </c>
      <c r="K45" s="22">
        <v>0</v>
      </c>
      <c r="L45" s="15">
        <v>0</v>
      </c>
      <c r="M45" s="15">
        <v>0</v>
      </c>
      <c r="N45" s="15">
        <v>0</v>
      </c>
      <c r="O45" s="15">
        <v>0</v>
      </c>
      <c r="P45" s="22">
        <v>0</v>
      </c>
      <c r="Q45" s="15">
        <v>0</v>
      </c>
      <c r="R45" s="15">
        <v>0</v>
      </c>
      <c r="S45" s="15">
        <v>0</v>
      </c>
      <c r="T45" s="15">
        <v>0</v>
      </c>
      <c r="U45" s="22">
        <v>0</v>
      </c>
      <c r="V45" s="15">
        <v>0</v>
      </c>
      <c r="W45" s="15">
        <v>0</v>
      </c>
      <c r="X45" s="15">
        <v>0</v>
      </c>
      <c r="Y45" s="15">
        <v>0</v>
      </c>
      <c r="Z45" s="22">
        <v>0</v>
      </c>
      <c r="AA45" s="15">
        <v>0</v>
      </c>
      <c r="AB45" s="15">
        <v>0</v>
      </c>
      <c r="AC45" s="15">
        <v>0</v>
      </c>
      <c r="AD45" s="15">
        <v>0</v>
      </c>
      <c r="AE45" s="22">
        <v>0</v>
      </c>
      <c r="AF45" s="15">
        <v>0</v>
      </c>
      <c r="AG45" s="15">
        <v>0</v>
      </c>
      <c r="AH45" s="15">
        <v>0</v>
      </c>
      <c r="AI45" s="15">
        <v>0</v>
      </c>
      <c r="AJ45" s="22">
        <v>0</v>
      </c>
      <c r="AK45" s="15">
        <v>0</v>
      </c>
      <c r="AL45" s="15">
        <v>0</v>
      </c>
      <c r="AM45" s="15">
        <v>0</v>
      </c>
      <c r="AN45" s="15">
        <v>0</v>
      </c>
      <c r="AO45" s="22">
        <v>0</v>
      </c>
      <c r="AP45" s="15">
        <v>0</v>
      </c>
      <c r="AQ45" s="15">
        <v>0</v>
      </c>
      <c r="AR45" s="15">
        <v>0</v>
      </c>
      <c r="AS45" s="15">
        <v>0</v>
      </c>
      <c r="AT45" s="22">
        <v>0</v>
      </c>
      <c r="AU45" s="15">
        <v>0</v>
      </c>
    </row>
    <row r="46" spans="1:47" x14ac:dyDescent="0.3">
      <c r="A46" s="21">
        <v>97</v>
      </c>
      <c r="B46" s="2" t="s">
        <v>41</v>
      </c>
      <c r="C46" s="6">
        <v>0</v>
      </c>
      <c r="D46" s="6">
        <v>0</v>
      </c>
      <c r="E46" s="6">
        <v>0</v>
      </c>
      <c r="F46" s="22">
        <v>0</v>
      </c>
      <c r="G46" s="6">
        <v>0</v>
      </c>
      <c r="H46" s="6">
        <v>20</v>
      </c>
      <c r="I46" s="6">
        <v>18</v>
      </c>
      <c r="J46" s="9">
        <f t="shared" si="2"/>
        <v>1</v>
      </c>
      <c r="K46" s="22">
        <v>19</v>
      </c>
      <c r="L46" s="10">
        <f t="shared" si="3"/>
        <v>0.95</v>
      </c>
      <c r="M46" s="6">
        <v>25</v>
      </c>
      <c r="N46" s="6">
        <v>22</v>
      </c>
      <c r="O46" s="9">
        <f t="shared" si="4"/>
        <v>1</v>
      </c>
      <c r="P46" s="22">
        <v>23</v>
      </c>
      <c r="Q46" s="10">
        <f t="shared" si="5"/>
        <v>0.92</v>
      </c>
      <c r="R46" s="6">
        <v>29</v>
      </c>
      <c r="S46" s="6">
        <v>26</v>
      </c>
      <c r="T46" s="9">
        <f t="shared" si="6"/>
        <v>1</v>
      </c>
      <c r="U46" s="22">
        <v>27</v>
      </c>
      <c r="V46" s="10">
        <f t="shared" si="7"/>
        <v>0.93103448275862066</v>
      </c>
      <c r="W46" s="6">
        <v>32</v>
      </c>
      <c r="X46" s="6">
        <v>28</v>
      </c>
      <c r="Y46" s="9">
        <f t="shared" si="8"/>
        <v>2</v>
      </c>
      <c r="Z46" s="22">
        <v>30</v>
      </c>
      <c r="AA46" s="10">
        <f t="shared" si="9"/>
        <v>0.9375</v>
      </c>
      <c r="AB46" s="6">
        <v>36</v>
      </c>
      <c r="AC46" s="6">
        <v>32</v>
      </c>
      <c r="AD46" s="9">
        <f t="shared" si="10"/>
        <v>1</v>
      </c>
      <c r="AE46" s="22">
        <v>33</v>
      </c>
      <c r="AF46" s="10">
        <f t="shared" si="11"/>
        <v>0.91666666666666663</v>
      </c>
      <c r="AG46" s="6">
        <v>40</v>
      </c>
      <c r="AH46" s="6">
        <v>36</v>
      </c>
      <c r="AI46" s="9">
        <f t="shared" si="12"/>
        <v>1</v>
      </c>
      <c r="AJ46" s="22">
        <v>37</v>
      </c>
      <c r="AK46" s="10">
        <f t="shared" si="13"/>
        <v>0.92500000000000004</v>
      </c>
      <c r="AL46" s="6">
        <v>45</v>
      </c>
      <c r="AM46" s="6">
        <v>39</v>
      </c>
      <c r="AN46" s="9">
        <f t="shared" si="14"/>
        <v>1</v>
      </c>
      <c r="AO46" s="22">
        <v>40</v>
      </c>
      <c r="AP46" s="10">
        <f t="shared" si="15"/>
        <v>0.88888888888888884</v>
      </c>
      <c r="AQ46" s="6">
        <v>49</v>
      </c>
      <c r="AR46" s="6">
        <v>41</v>
      </c>
      <c r="AS46" s="9">
        <f t="shared" si="16"/>
        <v>1</v>
      </c>
      <c r="AT46" s="22">
        <v>42</v>
      </c>
      <c r="AU46" s="10">
        <f t="shared" si="17"/>
        <v>0.8571428571428571</v>
      </c>
    </row>
    <row r="47" spans="1:47" s="3" customFormat="1" ht="15.6" x14ac:dyDescent="0.3">
      <c r="A47" s="29" t="s">
        <v>42</v>
      </c>
      <c r="B47" s="29"/>
      <c r="C47" s="13">
        <f>SUM(C9:C46)</f>
        <v>6783589</v>
      </c>
      <c r="D47" s="14">
        <f>SUM(D9:D46)</f>
        <v>5294003</v>
      </c>
      <c r="E47" s="11">
        <f>F47-D47</f>
        <v>989606</v>
      </c>
      <c r="F47" s="13">
        <f>SUM(F9:F46)</f>
        <v>6283609</v>
      </c>
      <c r="G47" s="12">
        <f>F47/C47</f>
        <v>0.92629565264051228</v>
      </c>
      <c r="H47" s="13">
        <f>SUM(H9:H46)</f>
        <v>3147516</v>
      </c>
      <c r="I47" s="14">
        <f>SUM(I9:I46)</f>
        <v>2429526</v>
      </c>
      <c r="J47" s="11">
        <f t="shared" si="2"/>
        <v>240299</v>
      </c>
      <c r="K47" s="13">
        <f>SUM(K9:K46)</f>
        <v>2669825</v>
      </c>
      <c r="L47" s="12">
        <f t="shared" si="3"/>
        <v>0.8482323838862138</v>
      </c>
      <c r="M47" s="13">
        <f>SUM(M9:M46)</f>
        <v>7837037</v>
      </c>
      <c r="N47" s="14">
        <f>SUM(N9:N46)</f>
        <v>5895044</v>
      </c>
      <c r="O47" s="11">
        <f t="shared" si="4"/>
        <v>1297228</v>
      </c>
      <c r="P47" s="13">
        <f>SUM(P9:P46)</f>
        <v>7192272</v>
      </c>
      <c r="Q47" s="12">
        <f t="shared" si="5"/>
        <v>0.91772847314616479</v>
      </c>
      <c r="R47" s="13">
        <f>SUM(R9:R46)</f>
        <v>3159981</v>
      </c>
      <c r="S47" s="14">
        <f>SUM(S9:S46)</f>
        <v>2489133</v>
      </c>
      <c r="T47" s="11">
        <f t="shared" si="6"/>
        <v>273688</v>
      </c>
      <c r="U47" s="13">
        <f>SUM(U9:U46)</f>
        <v>2762821</v>
      </c>
      <c r="V47" s="12">
        <f t="shared" si="7"/>
        <v>0.87431569999946201</v>
      </c>
      <c r="W47" s="13">
        <f>SUM(W9:W46)</f>
        <v>3211544</v>
      </c>
      <c r="X47" s="14">
        <f>SUM(X9:X46)</f>
        <v>2511554</v>
      </c>
      <c r="Y47" s="11">
        <f t="shared" si="8"/>
        <v>309682</v>
      </c>
      <c r="Z47" s="13">
        <f>SUM(Z9:Z46)</f>
        <v>2821236</v>
      </c>
      <c r="AA47" s="12">
        <f t="shared" si="9"/>
        <v>0.87846717964941479</v>
      </c>
      <c r="AB47" s="13">
        <f>SUM(AB9:AB46)</f>
        <v>7970876</v>
      </c>
      <c r="AC47" s="14">
        <f>SUM(AC9:AC46)</f>
        <v>5918870</v>
      </c>
      <c r="AD47" s="11">
        <f t="shared" si="10"/>
        <v>1416920</v>
      </c>
      <c r="AE47" s="13">
        <f>SUM(AE9:AE46)</f>
        <v>7335790</v>
      </c>
      <c r="AF47" s="12">
        <f t="shared" si="11"/>
        <v>0.92032419021447576</v>
      </c>
      <c r="AG47" s="13">
        <f>SUM(AG9:AG46)</f>
        <v>3292692</v>
      </c>
      <c r="AH47" s="14">
        <f>SUM(AH9:AH46)</f>
        <v>2484931</v>
      </c>
      <c r="AI47" s="11">
        <f t="shared" si="12"/>
        <v>368895</v>
      </c>
      <c r="AJ47" s="13">
        <f>SUM(AJ9:AJ46)</f>
        <v>2853826</v>
      </c>
      <c r="AK47" s="12">
        <f t="shared" si="13"/>
        <v>0.86671513764421326</v>
      </c>
      <c r="AL47" s="13">
        <f>SUM(AL9:AL46)</f>
        <v>3342910</v>
      </c>
      <c r="AM47" s="14">
        <f>SUM(AM9:AM46)</f>
        <v>2473175</v>
      </c>
      <c r="AN47" s="11">
        <f t="shared" si="14"/>
        <v>405345</v>
      </c>
      <c r="AO47" s="13">
        <f>SUM(AO9:AO46)</f>
        <v>2878520</v>
      </c>
      <c r="AP47" s="12">
        <f t="shared" si="15"/>
        <v>0.86108211109482458</v>
      </c>
      <c r="AQ47" s="13">
        <f>SUM(AQ9:AQ46)</f>
        <v>8455633</v>
      </c>
      <c r="AR47" s="14">
        <f>SUM(AR9:AR46)</f>
        <v>5921703</v>
      </c>
      <c r="AS47" s="11">
        <f t="shared" si="16"/>
        <v>1763082</v>
      </c>
      <c r="AT47" s="13">
        <f>SUM(AT9:AT46)</f>
        <v>7684785</v>
      </c>
      <c r="AU47" s="12">
        <f t="shared" si="17"/>
        <v>0.90883615691456809</v>
      </c>
    </row>
    <row r="48" spans="1:47" x14ac:dyDescent="0.3">
      <c r="G48"/>
      <c r="L48"/>
      <c r="Q48"/>
      <c r="V48"/>
      <c r="AA48"/>
      <c r="AF48"/>
      <c r="AK48"/>
      <c r="AP48"/>
      <c r="AU48"/>
    </row>
    <row r="49" spans="1:47" x14ac:dyDescent="0.3">
      <c r="G49"/>
      <c r="L49"/>
      <c r="Q49"/>
      <c r="V49"/>
      <c r="AA49"/>
      <c r="AF49"/>
      <c r="AK49"/>
      <c r="AP49"/>
      <c r="AU49"/>
    </row>
    <row r="50" spans="1:47" x14ac:dyDescent="0.3">
      <c r="G50"/>
      <c r="L50"/>
      <c r="Q50"/>
      <c r="V50"/>
      <c r="AA50"/>
      <c r="AF50"/>
      <c r="AK50"/>
      <c r="AP50"/>
      <c r="AU50"/>
    </row>
    <row r="51" spans="1:47" x14ac:dyDescent="0.3">
      <c r="G51"/>
      <c r="L51"/>
      <c r="Q51"/>
      <c r="V51"/>
      <c r="AA51"/>
      <c r="AF51"/>
      <c r="AK51"/>
      <c r="AP51"/>
      <c r="AU51"/>
    </row>
    <row r="52" spans="1:47" x14ac:dyDescent="0.3">
      <c r="G52"/>
      <c r="L52"/>
      <c r="Q52"/>
      <c r="V52"/>
      <c r="AA52"/>
      <c r="AF52"/>
      <c r="AK52"/>
      <c r="AP52"/>
      <c r="AU52"/>
    </row>
    <row r="53" spans="1:47" x14ac:dyDescent="0.3">
      <c r="G53"/>
      <c r="L53"/>
      <c r="Q53"/>
      <c r="V53"/>
      <c r="AA53"/>
      <c r="AF53"/>
      <c r="AK53"/>
      <c r="AP53"/>
      <c r="AU53"/>
    </row>
    <row r="54" spans="1:47" x14ac:dyDescent="0.3">
      <c r="G54"/>
      <c r="L54"/>
      <c r="Q54"/>
      <c r="V54"/>
      <c r="AA54"/>
      <c r="AF54"/>
      <c r="AK54"/>
      <c r="AP54"/>
      <c r="AU54"/>
    </row>
    <row r="55" spans="1:47" x14ac:dyDescent="0.3">
      <c r="C55" s="4"/>
      <c r="D55" s="4"/>
      <c r="E55" s="4"/>
      <c r="F55" s="4"/>
      <c r="H55" s="4"/>
      <c r="I55" s="4"/>
      <c r="J55" s="4"/>
      <c r="K55" s="4"/>
      <c r="M55" s="4"/>
      <c r="N55" s="4"/>
      <c r="O55" s="4"/>
      <c r="P55" s="4"/>
      <c r="R55" s="4"/>
      <c r="S55" s="4"/>
      <c r="T55" s="4"/>
      <c r="U55" s="4"/>
      <c r="W55" s="4"/>
      <c r="X55" s="4"/>
      <c r="Y55" s="4"/>
      <c r="Z55" s="4"/>
      <c r="AB55" s="4"/>
      <c r="AC55" s="4"/>
      <c r="AD55" s="4"/>
      <c r="AE55" s="4"/>
      <c r="AG55" s="4"/>
      <c r="AH55" s="4"/>
      <c r="AI55" s="4"/>
      <c r="AJ55" s="4"/>
      <c r="AL55" s="4"/>
      <c r="AM55" s="4"/>
      <c r="AN55" s="4"/>
      <c r="AO55" s="4"/>
      <c r="AQ55" s="4"/>
      <c r="AR55" s="4"/>
      <c r="AS55" s="4"/>
      <c r="AT55" s="4"/>
    </row>
    <row r="56" spans="1:47" x14ac:dyDescent="0.3">
      <c r="A56" s="30" t="s">
        <v>43</v>
      </c>
      <c r="B56" s="30"/>
      <c r="C56" s="30"/>
      <c r="D56" s="30"/>
      <c r="E56" s="30"/>
      <c r="F56" s="5"/>
    </row>
  </sheetData>
  <mergeCells count="15">
    <mergeCell ref="AQ7:AU7"/>
    <mergeCell ref="A47:B47"/>
    <mergeCell ref="A56:E56"/>
    <mergeCell ref="M7:Q7"/>
    <mergeCell ref="R7:V7"/>
    <mergeCell ref="W7:AA7"/>
    <mergeCell ref="AB7:AF7"/>
    <mergeCell ref="AG7:AK7"/>
    <mergeCell ref="AL7:AP7"/>
    <mergeCell ref="H7:L7"/>
    <mergeCell ref="A3:B3"/>
    <mergeCell ref="A5:C5"/>
    <mergeCell ref="A7:A8"/>
    <mergeCell ref="B7:B8"/>
    <mergeCell ref="C7:G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GSTR-1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Budhiraja</dc:creator>
  <cp:lastModifiedBy>Krishan Pal Singh</cp:lastModifiedBy>
  <dcterms:created xsi:type="dcterms:W3CDTF">2021-04-12T06:23:37Z</dcterms:created>
  <dcterms:modified xsi:type="dcterms:W3CDTF">2026-09-09T11:41:10Z</dcterms:modified>
</cp:coreProperties>
</file>