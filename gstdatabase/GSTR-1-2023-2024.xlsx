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GSTN\Krishnan Sir\Monthly Report\Jul-26\GST Statistics Downloads 31st Jul 26\Downloads\GSTR 1\"/>
    </mc:Choice>
  </mc:AlternateContent>
  <xr:revisionPtr revIDLastSave="0" documentId="13_ncr:1_{00A326D8-06CB-4999-B744-41CED5C78AD7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2" l="1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C48" i="2"/>
  <c r="P48" i="2"/>
  <c r="BD48" i="2"/>
  <c r="BB48" i="2"/>
  <c r="BA48" i="2"/>
  <c r="BE47" i="2"/>
  <c r="BC47" i="2"/>
  <c r="BE46" i="2"/>
  <c r="BC46" i="2"/>
  <c r="BE45" i="2"/>
  <c r="BC45" i="2"/>
  <c r="BE44" i="2"/>
  <c r="BC44" i="2"/>
  <c r="BE43" i="2"/>
  <c r="BC43" i="2"/>
  <c r="BE42" i="2"/>
  <c r="BC42" i="2"/>
  <c r="BE41" i="2"/>
  <c r="BC41" i="2"/>
  <c r="BE40" i="2"/>
  <c r="BC40" i="2"/>
  <c r="BE39" i="2"/>
  <c r="BC39" i="2"/>
  <c r="BE38" i="2"/>
  <c r="BC38" i="2"/>
  <c r="BE37" i="2"/>
  <c r="BC37" i="2"/>
  <c r="BE36" i="2"/>
  <c r="BC36" i="2"/>
  <c r="BE35" i="2"/>
  <c r="BC35" i="2"/>
  <c r="BE33" i="2"/>
  <c r="BC33" i="2"/>
  <c r="BE32" i="2"/>
  <c r="BC32" i="2"/>
  <c r="BE31" i="2"/>
  <c r="BC31" i="2"/>
  <c r="BE30" i="2"/>
  <c r="BC30" i="2"/>
  <c r="BE29" i="2"/>
  <c r="BC29" i="2"/>
  <c r="BE28" i="2"/>
  <c r="BC28" i="2"/>
  <c r="BE27" i="2"/>
  <c r="BC27" i="2"/>
  <c r="BE26" i="2"/>
  <c r="BC26" i="2"/>
  <c r="BE25" i="2"/>
  <c r="BC25" i="2"/>
  <c r="BE24" i="2"/>
  <c r="BC24" i="2"/>
  <c r="BE23" i="2"/>
  <c r="BC23" i="2"/>
  <c r="BE22" i="2"/>
  <c r="BC22" i="2"/>
  <c r="BE21" i="2"/>
  <c r="BC21" i="2"/>
  <c r="BE20" i="2"/>
  <c r="BC20" i="2"/>
  <c r="BE19" i="2"/>
  <c r="BC19" i="2"/>
  <c r="BE18" i="2"/>
  <c r="BC18" i="2"/>
  <c r="BE17" i="2"/>
  <c r="BC17" i="2"/>
  <c r="BE16" i="2"/>
  <c r="BC16" i="2"/>
  <c r="BE15" i="2"/>
  <c r="BC15" i="2"/>
  <c r="BE14" i="2"/>
  <c r="BC14" i="2"/>
  <c r="BE13" i="2"/>
  <c r="BC13" i="2"/>
  <c r="BE12" i="2"/>
  <c r="BC12" i="2"/>
  <c r="BE11" i="2"/>
  <c r="BC11" i="2"/>
  <c r="BE10" i="2"/>
  <c r="BC10" i="2"/>
  <c r="AY48" i="2"/>
  <c r="AW48" i="2"/>
  <c r="AV48" i="2"/>
  <c r="AZ47" i="2"/>
  <c r="AX47" i="2"/>
  <c r="AZ46" i="2"/>
  <c r="AX46" i="2"/>
  <c r="AZ45" i="2"/>
  <c r="AX45" i="2"/>
  <c r="AZ44" i="2"/>
  <c r="AX44" i="2"/>
  <c r="AZ43" i="2"/>
  <c r="AX43" i="2"/>
  <c r="AZ42" i="2"/>
  <c r="AX42" i="2"/>
  <c r="AZ41" i="2"/>
  <c r="AX41" i="2"/>
  <c r="AZ40" i="2"/>
  <c r="AX40" i="2"/>
  <c r="AZ39" i="2"/>
  <c r="AX39" i="2"/>
  <c r="AZ38" i="2"/>
  <c r="AX38" i="2"/>
  <c r="AZ37" i="2"/>
  <c r="AX37" i="2"/>
  <c r="AZ36" i="2"/>
  <c r="AX36" i="2"/>
  <c r="AZ35" i="2"/>
  <c r="AX35" i="2"/>
  <c r="AZ33" i="2"/>
  <c r="AX33" i="2"/>
  <c r="AZ32" i="2"/>
  <c r="AX32" i="2"/>
  <c r="AZ31" i="2"/>
  <c r="AX31" i="2"/>
  <c r="AZ30" i="2"/>
  <c r="AX30" i="2"/>
  <c r="AZ29" i="2"/>
  <c r="AX29" i="2"/>
  <c r="AZ28" i="2"/>
  <c r="AX28" i="2"/>
  <c r="AZ27" i="2"/>
  <c r="AX27" i="2"/>
  <c r="AZ26" i="2"/>
  <c r="AX26" i="2"/>
  <c r="AZ25" i="2"/>
  <c r="AX25" i="2"/>
  <c r="AZ24" i="2"/>
  <c r="AX24" i="2"/>
  <c r="AZ23" i="2"/>
  <c r="AX23" i="2"/>
  <c r="AZ22" i="2"/>
  <c r="AX22" i="2"/>
  <c r="AZ21" i="2"/>
  <c r="AX21" i="2"/>
  <c r="AZ20" i="2"/>
  <c r="AX20" i="2"/>
  <c r="AZ19" i="2"/>
  <c r="AX19" i="2"/>
  <c r="AZ18" i="2"/>
  <c r="AX18" i="2"/>
  <c r="AZ17" i="2"/>
  <c r="AX17" i="2"/>
  <c r="AZ16" i="2"/>
  <c r="AX16" i="2"/>
  <c r="AZ15" i="2"/>
  <c r="AX15" i="2"/>
  <c r="AZ14" i="2"/>
  <c r="AX14" i="2"/>
  <c r="AZ13" i="2"/>
  <c r="AX13" i="2"/>
  <c r="AZ12" i="2"/>
  <c r="AX12" i="2"/>
  <c r="AZ11" i="2"/>
  <c r="AX11" i="2"/>
  <c r="AZ10" i="2"/>
  <c r="AX10" i="2"/>
  <c r="BF48" i="2"/>
  <c r="BC48" i="2" l="1"/>
  <c r="BE48" i="2"/>
  <c r="AX48" i="2"/>
  <c r="AZ48" i="2"/>
  <c r="AT48" i="2"/>
  <c r="AR48" i="2"/>
  <c r="AQ48" i="2"/>
  <c r="AU47" i="2"/>
  <c r="AS47" i="2"/>
  <c r="AU46" i="2"/>
  <c r="AS46" i="2"/>
  <c r="AU45" i="2"/>
  <c r="AS45" i="2"/>
  <c r="AU44" i="2"/>
  <c r="AS44" i="2"/>
  <c r="AU43" i="2"/>
  <c r="AS43" i="2"/>
  <c r="AU42" i="2"/>
  <c r="AS42" i="2"/>
  <c r="AU41" i="2"/>
  <c r="AS41" i="2"/>
  <c r="AU40" i="2"/>
  <c r="AS40" i="2"/>
  <c r="AU39" i="2"/>
  <c r="AS39" i="2"/>
  <c r="AU38" i="2"/>
  <c r="AS38" i="2"/>
  <c r="AU37" i="2"/>
  <c r="AS37" i="2"/>
  <c r="AU36" i="2"/>
  <c r="AS36" i="2"/>
  <c r="AU35" i="2"/>
  <c r="AS35" i="2"/>
  <c r="AU33" i="2"/>
  <c r="AS33" i="2"/>
  <c r="AU32" i="2"/>
  <c r="AS32" i="2"/>
  <c r="AU31" i="2"/>
  <c r="AS31" i="2"/>
  <c r="AU30" i="2"/>
  <c r="AS30" i="2"/>
  <c r="AU29" i="2"/>
  <c r="AS29" i="2"/>
  <c r="AU28" i="2"/>
  <c r="AS28" i="2"/>
  <c r="AU27" i="2"/>
  <c r="AS27" i="2"/>
  <c r="AU26" i="2"/>
  <c r="AS26" i="2"/>
  <c r="AU25" i="2"/>
  <c r="AS25" i="2"/>
  <c r="AU24" i="2"/>
  <c r="AS24" i="2"/>
  <c r="AU23" i="2"/>
  <c r="AS23" i="2"/>
  <c r="AU22" i="2"/>
  <c r="AS22" i="2"/>
  <c r="AU21" i="2"/>
  <c r="AS21" i="2"/>
  <c r="AU20" i="2"/>
  <c r="AS20" i="2"/>
  <c r="AU19" i="2"/>
  <c r="AS19" i="2"/>
  <c r="AU18" i="2"/>
  <c r="AS18" i="2"/>
  <c r="AU17" i="2"/>
  <c r="AS17" i="2"/>
  <c r="AU16" i="2"/>
  <c r="AS16" i="2"/>
  <c r="AU15" i="2"/>
  <c r="AS15" i="2"/>
  <c r="AU14" i="2"/>
  <c r="AS14" i="2"/>
  <c r="AU13" i="2"/>
  <c r="AS13" i="2"/>
  <c r="AU12" i="2"/>
  <c r="AS12" i="2"/>
  <c r="AU11" i="2"/>
  <c r="AS11" i="2"/>
  <c r="AU10" i="2"/>
  <c r="AS10" i="2"/>
  <c r="AO48" i="2"/>
  <c r="AM48" i="2"/>
  <c r="AL48" i="2"/>
  <c r="AP47" i="2"/>
  <c r="AN47" i="2"/>
  <c r="AP46" i="2"/>
  <c r="AN46" i="2"/>
  <c r="AP45" i="2"/>
  <c r="AN45" i="2"/>
  <c r="AP44" i="2"/>
  <c r="AN44" i="2"/>
  <c r="AP43" i="2"/>
  <c r="AN43" i="2"/>
  <c r="AP42" i="2"/>
  <c r="AN42" i="2"/>
  <c r="AP41" i="2"/>
  <c r="AN41" i="2"/>
  <c r="AP40" i="2"/>
  <c r="AN40" i="2"/>
  <c r="AP39" i="2"/>
  <c r="AN39" i="2"/>
  <c r="AP38" i="2"/>
  <c r="AN38" i="2"/>
  <c r="AP37" i="2"/>
  <c r="AN37" i="2"/>
  <c r="AP36" i="2"/>
  <c r="AN36" i="2"/>
  <c r="AP35" i="2"/>
  <c r="AN35" i="2"/>
  <c r="AP33" i="2"/>
  <c r="AN33" i="2"/>
  <c r="AP32" i="2"/>
  <c r="AN32" i="2"/>
  <c r="AP31" i="2"/>
  <c r="AN31" i="2"/>
  <c r="AP30" i="2"/>
  <c r="AN30" i="2"/>
  <c r="AP29" i="2"/>
  <c r="AN29" i="2"/>
  <c r="AP28" i="2"/>
  <c r="AN28" i="2"/>
  <c r="AP27" i="2"/>
  <c r="AN27" i="2"/>
  <c r="AP26" i="2"/>
  <c r="AN26" i="2"/>
  <c r="AP25" i="2"/>
  <c r="AN25" i="2"/>
  <c r="AP24" i="2"/>
  <c r="AN24" i="2"/>
  <c r="AP23" i="2"/>
  <c r="AN23" i="2"/>
  <c r="AP22" i="2"/>
  <c r="AN22" i="2"/>
  <c r="AP21" i="2"/>
  <c r="AN21" i="2"/>
  <c r="AP20" i="2"/>
  <c r="AN20" i="2"/>
  <c r="AP19" i="2"/>
  <c r="AN19" i="2"/>
  <c r="AP18" i="2"/>
  <c r="AN18" i="2"/>
  <c r="AP17" i="2"/>
  <c r="AN17" i="2"/>
  <c r="AP16" i="2"/>
  <c r="AN16" i="2"/>
  <c r="AP15" i="2"/>
  <c r="AN15" i="2"/>
  <c r="AP14" i="2"/>
  <c r="AN14" i="2"/>
  <c r="AP13" i="2"/>
  <c r="AN13" i="2"/>
  <c r="AP12" i="2"/>
  <c r="AN12" i="2"/>
  <c r="AP11" i="2"/>
  <c r="AN11" i="2"/>
  <c r="AP10" i="2"/>
  <c r="AN10" i="2"/>
  <c r="AU48" i="2" l="1"/>
  <c r="AP48" i="2"/>
  <c r="AS48" i="2"/>
  <c r="AN48" i="2"/>
  <c r="AJ48" i="2"/>
  <c r="AH48" i="2"/>
  <c r="AG48" i="2"/>
  <c r="AK47" i="2"/>
  <c r="AI47" i="2"/>
  <c r="AK46" i="2"/>
  <c r="AI46" i="2"/>
  <c r="AK45" i="2"/>
  <c r="AI45" i="2"/>
  <c r="AK44" i="2"/>
  <c r="AI44" i="2"/>
  <c r="AK43" i="2"/>
  <c r="AI43" i="2"/>
  <c r="AK42" i="2"/>
  <c r="AI42" i="2"/>
  <c r="AK41" i="2"/>
  <c r="AI41" i="2"/>
  <c r="AK40" i="2"/>
  <c r="AI40" i="2"/>
  <c r="AK39" i="2"/>
  <c r="AI39" i="2"/>
  <c r="AK38" i="2"/>
  <c r="AI38" i="2"/>
  <c r="AK37" i="2"/>
  <c r="AI37" i="2"/>
  <c r="AK36" i="2"/>
  <c r="AI36" i="2"/>
  <c r="AK35" i="2"/>
  <c r="AI35" i="2"/>
  <c r="AK33" i="2"/>
  <c r="AI33" i="2"/>
  <c r="AK32" i="2"/>
  <c r="AI32" i="2"/>
  <c r="AK31" i="2"/>
  <c r="AI31" i="2"/>
  <c r="AK30" i="2"/>
  <c r="AI30" i="2"/>
  <c r="AK29" i="2"/>
  <c r="AI29" i="2"/>
  <c r="AK28" i="2"/>
  <c r="AI28" i="2"/>
  <c r="AK27" i="2"/>
  <c r="AI27" i="2"/>
  <c r="AK26" i="2"/>
  <c r="AI26" i="2"/>
  <c r="AK25" i="2"/>
  <c r="AI25" i="2"/>
  <c r="AK24" i="2"/>
  <c r="AI24" i="2"/>
  <c r="AK23" i="2"/>
  <c r="AI23" i="2"/>
  <c r="AK22" i="2"/>
  <c r="AI22" i="2"/>
  <c r="AK21" i="2"/>
  <c r="AI21" i="2"/>
  <c r="AK20" i="2"/>
  <c r="AI20" i="2"/>
  <c r="AK19" i="2"/>
  <c r="AI19" i="2"/>
  <c r="AK18" i="2"/>
  <c r="AI18" i="2"/>
  <c r="AK17" i="2"/>
  <c r="AI17" i="2"/>
  <c r="AK16" i="2"/>
  <c r="AI16" i="2"/>
  <c r="AK15" i="2"/>
  <c r="AI15" i="2"/>
  <c r="AK14" i="2"/>
  <c r="AI14" i="2"/>
  <c r="AK13" i="2"/>
  <c r="AI13" i="2"/>
  <c r="AK12" i="2"/>
  <c r="AI12" i="2"/>
  <c r="AK11" i="2"/>
  <c r="AI11" i="2"/>
  <c r="AK10" i="2"/>
  <c r="AI10" i="2"/>
  <c r="AI48" i="2" l="1"/>
  <c r="AK48" i="2"/>
  <c r="AE48" i="2"/>
  <c r="AC48" i="2"/>
  <c r="AB48" i="2"/>
  <c r="AF47" i="2"/>
  <c r="AD47" i="2"/>
  <c r="AF46" i="2"/>
  <c r="AD46" i="2"/>
  <c r="AF45" i="2"/>
  <c r="AD45" i="2"/>
  <c r="AF44" i="2"/>
  <c r="AD44" i="2"/>
  <c r="AF43" i="2"/>
  <c r="AD43" i="2"/>
  <c r="AF42" i="2"/>
  <c r="AD42" i="2"/>
  <c r="AF41" i="2"/>
  <c r="AD41" i="2"/>
  <c r="AF40" i="2"/>
  <c r="AD40" i="2"/>
  <c r="AF39" i="2"/>
  <c r="AD39" i="2"/>
  <c r="AF38" i="2"/>
  <c r="AD38" i="2"/>
  <c r="AF37" i="2"/>
  <c r="AD37" i="2"/>
  <c r="AF36" i="2"/>
  <c r="AD36" i="2"/>
  <c r="AF35" i="2"/>
  <c r="AD35" i="2"/>
  <c r="AF33" i="2"/>
  <c r="AD33" i="2"/>
  <c r="AF32" i="2"/>
  <c r="AD32" i="2"/>
  <c r="AF31" i="2"/>
  <c r="AD31" i="2"/>
  <c r="AF30" i="2"/>
  <c r="AD30" i="2"/>
  <c r="AF29" i="2"/>
  <c r="AD29" i="2"/>
  <c r="AF28" i="2"/>
  <c r="AD28" i="2"/>
  <c r="AF27" i="2"/>
  <c r="AD27" i="2"/>
  <c r="AF26" i="2"/>
  <c r="AD26" i="2"/>
  <c r="AF25" i="2"/>
  <c r="AD25" i="2"/>
  <c r="AF24" i="2"/>
  <c r="AD24" i="2"/>
  <c r="AF23" i="2"/>
  <c r="AD23" i="2"/>
  <c r="AF22" i="2"/>
  <c r="AD22" i="2"/>
  <c r="AF21" i="2"/>
  <c r="AD21" i="2"/>
  <c r="AF20" i="2"/>
  <c r="AD20" i="2"/>
  <c r="AF19" i="2"/>
  <c r="AD19" i="2"/>
  <c r="AF18" i="2"/>
  <c r="AD18" i="2"/>
  <c r="AF17" i="2"/>
  <c r="AD17" i="2"/>
  <c r="AF16" i="2"/>
  <c r="AD16" i="2"/>
  <c r="AF15" i="2"/>
  <c r="AD15" i="2"/>
  <c r="AF14" i="2"/>
  <c r="AD14" i="2"/>
  <c r="AF13" i="2"/>
  <c r="AD13" i="2"/>
  <c r="AF12" i="2"/>
  <c r="AD12" i="2"/>
  <c r="AF11" i="2"/>
  <c r="AD11" i="2"/>
  <c r="AF10" i="2"/>
  <c r="AD10" i="2"/>
  <c r="AD48" i="2" l="1"/>
  <c r="AF48" i="2"/>
  <c r="Z48" i="2" l="1"/>
  <c r="X48" i="2"/>
  <c r="W48" i="2"/>
  <c r="AA47" i="2"/>
  <c r="Y47" i="2"/>
  <c r="AA46" i="2"/>
  <c r="Y46" i="2"/>
  <c r="AA45" i="2"/>
  <c r="Y45" i="2"/>
  <c r="AA44" i="2"/>
  <c r="Y44" i="2"/>
  <c r="AA43" i="2"/>
  <c r="Y43" i="2"/>
  <c r="AA42" i="2"/>
  <c r="Y42" i="2"/>
  <c r="AA41" i="2"/>
  <c r="Y41" i="2"/>
  <c r="AA40" i="2"/>
  <c r="Y40" i="2"/>
  <c r="AA39" i="2"/>
  <c r="Y39" i="2"/>
  <c r="AA38" i="2"/>
  <c r="Y38" i="2"/>
  <c r="AA37" i="2"/>
  <c r="Y37" i="2"/>
  <c r="AA36" i="2"/>
  <c r="Y36" i="2"/>
  <c r="AA35" i="2"/>
  <c r="Y35" i="2"/>
  <c r="AA33" i="2"/>
  <c r="Y33" i="2"/>
  <c r="AA32" i="2"/>
  <c r="Y32" i="2"/>
  <c r="AA31" i="2"/>
  <c r="Y31" i="2"/>
  <c r="AA30" i="2"/>
  <c r="Y30" i="2"/>
  <c r="AA29" i="2"/>
  <c r="Y29" i="2"/>
  <c r="AA28" i="2"/>
  <c r="Y28" i="2"/>
  <c r="AA27" i="2"/>
  <c r="Y27" i="2"/>
  <c r="AA26" i="2"/>
  <c r="Y26" i="2"/>
  <c r="AA25" i="2"/>
  <c r="Y25" i="2"/>
  <c r="AA24" i="2"/>
  <c r="Y24" i="2"/>
  <c r="AA23" i="2"/>
  <c r="Y23" i="2"/>
  <c r="AA22" i="2"/>
  <c r="Y22" i="2"/>
  <c r="AA21" i="2"/>
  <c r="Y21" i="2"/>
  <c r="AA20" i="2"/>
  <c r="Y20" i="2"/>
  <c r="AA19" i="2"/>
  <c r="Y19" i="2"/>
  <c r="AA18" i="2"/>
  <c r="Y18" i="2"/>
  <c r="AA17" i="2"/>
  <c r="Y17" i="2"/>
  <c r="AA16" i="2"/>
  <c r="Y16" i="2"/>
  <c r="AA15" i="2"/>
  <c r="Y15" i="2"/>
  <c r="AA14" i="2"/>
  <c r="Y14" i="2"/>
  <c r="AA13" i="2"/>
  <c r="Y13" i="2"/>
  <c r="AA12" i="2"/>
  <c r="Y12" i="2"/>
  <c r="AA11" i="2"/>
  <c r="Y11" i="2"/>
  <c r="AA10" i="2"/>
  <c r="Y10" i="2"/>
  <c r="AA48" i="2" l="1"/>
  <c r="Y48" i="2"/>
  <c r="BI48" i="2" l="1"/>
  <c r="BG48" i="2"/>
  <c r="BJ47" i="2"/>
  <c r="BH47" i="2"/>
  <c r="BJ46" i="2"/>
  <c r="BH46" i="2"/>
  <c r="BJ45" i="2"/>
  <c r="BH45" i="2"/>
  <c r="BJ44" i="2"/>
  <c r="BH44" i="2"/>
  <c r="BJ43" i="2"/>
  <c r="BH43" i="2"/>
  <c r="BJ42" i="2"/>
  <c r="BH42" i="2"/>
  <c r="BJ41" i="2"/>
  <c r="BH41" i="2"/>
  <c r="BJ40" i="2"/>
  <c r="BH40" i="2"/>
  <c r="BJ39" i="2"/>
  <c r="BH39" i="2"/>
  <c r="BJ38" i="2"/>
  <c r="BH38" i="2"/>
  <c r="BJ37" i="2"/>
  <c r="BH37" i="2"/>
  <c r="BJ36" i="2"/>
  <c r="BH36" i="2"/>
  <c r="BJ35" i="2"/>
  <c r="BH35" i="2"/>
  <c r="BJ33" i="2"/>
  <c r="BH33" i="2"/>
  <c r="BJ32" i="2"/>
  <c r="BH32" i="2"/>
  <c r="BJ31" i="2"/>
  <c r="BH31" i="2"/>
  <c r="BJ30" i="2"/>
  <c r="BH30" i="2"/>
  <c r="BJ29" i="2"/>
  <c r="BH29" i="2"/>
  <c r="BJ28" i="2"/>
  <c r="BH28" i="2"/>
  <c r="BJ27" i="2"/>
  <c r="BH27" i="2"/>
  <c r="BJ26" i="2"/>
  <c r="BH26" i="2"/>
  <c r="BJ25" i="2"/>
  <c r="BH25" i="2"/>
  <c r="BJ24" i="2"/>
  <c r="BH24" i="2"/>
  <c r="BJ23" i="2"/>
  <c r="BH23" i="2"/>
  <c r="BJ22" i="2"/>
  <c r="BH22" i="2"/>
  <c r="BJ21" i="2"/>
  <c r="BH21" i="2"/>
  <c r="BJ20" i="2"/>
  <c r="BH20" i="2"/>
  <c r="BJ19" i="2"/>
  <c r="BH19" i="2"/>
  <c r="BJ18" i="2"/>
  <c r="BH18" i="2"/>
  <c r="BJ17" i="2"/>
  <c r="BH17" i="2"/>
  <c r="BJ16" i="2"/>
  <c r="BH16" i="2"/>
  <c r="BJ15" i="2"/>
  <c r="BH15" i="2"/>
  <c r="BJ14" i="2"/>
  <c r="BH14" i="2"/>
  <c r="BJ13" i="2"/>
  <c r="BH13" i="2"/>
  <c r="BJ12" i="2"/>
  <c r="BH12" i="2"/>
  <c r="BJ11" i="2"/>
  <c r="BH11" i="2"/>
  <c r="BJ10" i="2"/>
  <c r="BH10" i="2"/>
  <c r="BJ48" i="2" l="1"/>
  <c r="BH48" i="2"/>
  <c r="T47" i="2"/>
  <c r="T46" i="2"/>
  <c r="T45" i="2"/>
  <c r="T44" i="2"/>
  <c r="T43" i="2"/>
  <c r="T42" i="2"/>
  <c r="T41" i="2"/>
  <c r="T40" i="2"/>
  <c r="T39" i="2"/>
  <c r="T38" i="2"/>
  <c r="T37" i="2"/>
  <c r="T36" i="2"/>
  <c r="T35" i="2"/>
  <c r="T33" i="2"/>
  <c r="T32" i="2"/>
  <c r="T31" i="2"/>
  <c r="T30" i="2"/>
  <c r="T29" i="2"/>
  <c r="T28" i="2"/>
  <c r="T27" i="2"/>
  <c r="T26" i="2"/>
  <c r="T25" i="2"/>
  <c r="T24" i="2"/>
  <c r="T23" i="2"/>
  <c r="T22" i="2"/>
  <c r="T21" i="2"/>
  <c r="T20" i="2"/>
  <c r="T19" i="2"/>
  <c r="T18" i="2"/>
  <c r="T17" i="2"/>
  <c r="T16" i="2"/>
  <c r="T15" i="2"/>
  <c r="T14" i="2"/>
  <c r="T13" i="2"/>
  <c r="T12" i="2"/>
  <c r="T11" i="2"/>
  <c r="T10" i="2"/>
  <c r="N48" i="2"/>
  <c r="M48" i="2"/>
  <c r="Q47" i="2"/>
  <c r="O47" i="2"/>
  <c r="Q46" i="2"/>
  <c r="O46" i="2"/>
  <c r="Q45" i="2"/>
  <c r="O45" i="2"/>
  <c r="Q44" i="2"/>
  <c r="O44" i="2"/>
  <c r="Q43" i="2"/>
  <c r="O43" i="2"/>
  <c r="Q42" i="2"/>
  <c r="O42" i="2"/>
  <c r="Q41" i="2"/>
  <c r="O41" i="2"/>
  <c r="Q40" i="2"/>
  <c r="O40" i="2"/>
  <c r="Q39" i="2"/>
  <c r="O39" i="2"/>
  <c r="Q38" i="2"/>
  <c r="O38" i="2"/>
  <c r="Q37" i="2"/>
  <c r="O37" i="2"/>
  <c r="Q36" i="2"/>
  <c r="O36" i="2"/>
  <c r="Q35" i="2"/>
  <c r="O35" i="2"/>
  <c r="Q33" i="2"/>
  <c r="O33" i="2"/>
  <c r="Q32" i="2"/>
  <c r="O32" i="2"/>
  <c r="Q31" i="2"/>
  <c r="O31" i="2"/>
  <c r="Q30" i="2"/>
  <c r="O30" i="2"/>
  <c r="Q29" i="2"/>
  <c r="O29" i="2"/>
  <c r="Q28" i="2"/>
  <c r="O28" i="2"/>
  <c r="Q27" i="2"/>
  <c r="O27" i="2"/>
  <c r="Q26" i="2"/>
  <c r="O26" i="2"/>
  <c r="Q25" i="2"/>
  <c r="O25" i="2"/>
  <c r="Q24" i="2"/>
  <c r="O24" i="2"/>
  <c r="Q23" i="2"/>
  <c r="O23" i="2"/>
  <c r="Q22" i="2"/>
  <c r="O22" i="2"/>
  <c r="Q21" i="2"/>
  <c r="O21" i="2"/>
  <c r="Q20" i="2"/>
  <c r="O20" i="2"/>
  <c r="Q19" i="2"/>
  <c r="O19" i="2"/>
  <c r="Q18" i="2"/>
  <c r="O18" i="2"/>
  <c r="Q17" i="2"/>
  <c r="O17" i="2"/>
  <c r="Q16" i="2"/>
  <c r="O16" i="2"/>
  <c r="Q15" i="2"/>
  <c r="O15" i="2"/>
  <c r="Q14" i="2"/>
  <c r="O14" i="2"/>
  <c r="Q13" i="2"/>
  <c r="O13" i="2"/>
  <c r="Q12" i="2"/>
  <c r="O12" i="2"/>
  <c r="Q11" i="2"/>
  <c r="O11" i="2"/>
  <c r="Q10" i="2"/>
  <c r="O10" i="2"/>
  <c r="O48" i="2" l="1"/>
  <c r="Q48" i="2"/>
  <c r="K48" i="2"/>
  <c r="I48" i="2"/>
  <c r="H48" i="2"/>
  <c r="L47" i="2"/>
  <c r="J47" i="2"/>
  <c r="L46" i="2"/>
  <c r="J46" i="2"/>
  <c r="L45" i="2"/>
  <c r="J45" i="2"/>
  <c r="L44" i="2"/>
  <c r="J44" i="2"/>
  <c r="L43" i="2"/>
  <c r="J43" i="2"/>
  <c r="L42" i="2"/>
  <c r="J42" i="2"/>
  <c r="L41" i="2"/>
  <c r="J41" i="2"/>
  <c r="L40" i="2"/>
  <c r="J40" i="2"/>
  <c r="L39" i="2"/>
  <c r="J39" i="2"/>
  <c r="L38" i="2"/>
  <c r="J38" i="2"/>
  <c r="L37" i="2"/>
  <c r="J37" i="2"/>
  <c r="L36" i="2"/>
  <c r="J36" i="2"/>
  <c r="L35" i="2"/>
  <c r="J35" i="2"/>
  <c r="L33" i="2"/>
  <c r="J33" i="2"/>
  <c r="L32" i="2"/>
  <c r="J32" i="2"/>
  <c r="L31" i="2"/>
  <c r="J31" i="2"/>
  <c r="L30" i="2"/>
  <c r="J30" i="2"/>
  <c r="L29" i="2"/>
  <c r="J29" i="2"/>
  <c r="L28" i="2"/>
  <c r="J28" i="2"/>
  <c r="L27" i="2"/>
  <c r="J27" i="2"/>
  <c r="L26" i="2"/>
  <c r="J26" i="2"/>
  <c r="L25" i="2"/>
  <c r="J25" i="2"/>
  <c r="L24" i="2"/>
  <c r="J24" i="2"/>
  <c r="L23" i="2"/>
  <c r="J23" i="2"/>
  <c r="L22" i="2"/>
  <c r="J22" i="2"/>
  <c r="L21" i="2"/>
  <c r="J21" i="2"/>
  <c r="L20" i="2"/>
  <c r="J20" i="2"/>
  <c r="L19" i="2"/>
  <c r="J19" i="2"/>
  <c r="L18" i="2"/>
  <c r="J18" i="2"/>
  <c r="L17" i="2"/>
  <c r="J17" i="2"/>
  <c r="L16" i="2"/>
  <c r="J16" i="2"/>
  <c r="L15" i="2"/>
  <c r="J15" i="2"/>
  <c r="L14" i="2"/>
  <c r="J14" i="2"/>
  <c r="L13" i="2"/>
  <c r="J13" i="2"/>
  <c r="L12" i="2"/>
  <c r="J12" i="2"/>
  <c r="L11" i="2"/>
  <c r="J11" i="2"/>
  <c r="L10" i="2"/>
  <c r="J10" i="2"/>
  <c r="J48" i="2" l="1"/>
  <c r="L48" i="2"/>
  <c r="U48" i="2"/>
  <c r="S48" i="2"/>
  <c r="R48" i="2"/>
  <c r="V47" i="2"/>
  <c r="V46" i="2"/>
  <c r="V45" i="2"/>
  <c r="V44" i="2"/>
  <c r="V43" i="2"/>
  <c r="V42" i="2"/>
  <c r="V41" i="2"/>
  <c r="V40" i="2"/>
  <c r="V39" i="2"/>
  <c r="V38" i="2"/>
  <c r="V37" i="2"/>
  <c r="V36" i="2"/>
  <c r="V35" i="2"/>
  <c r="V33" i="2"/>
  <c r="V32" i="2"/>
  <c r="V31" i="2"/>
  <c r="V30" i="2"/>
  <c r="V29" i="2"/>
  <c r="V28" i="2"/>
  <c r="V27" i="2"/>
  <c r="V26" i="2"/>
  <c r="V25" i="2"/>
  <c r="V24" i="2"/>
  <c r="V23" i="2"/>
  <c r="V22" i="2"/>
  <c r="V21" i="2"/>
  <c r="V20" i="2"/>
  <c r="V19" i="2"/>
  <c r="V18" i="2"/>
  <c r="V17" i="2"/>
  <c r="V16" i="2"/>
  <c r="V15" i="2"/>
  <c r="V14" i="2"/>
  <c r="V13" i="2"/>
  <c r="V12" i="2"/>
  <c r="V11" i="2"/>
  <c r="V10" i="2"/>
  <c r="T48" i="2" l="1"/>
  <c r="V48" i="2"/>
  <c r="D48" i="2"/>
  <c r="E11" i="2" l="1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F48" i="2" l="1"/>
  <c r="E10" i="2"/>
  <c r="G48" i="2" l="1"/>
  <c r="E48" i="2"/>
</calcChain>
</file>

<file path=xl/sharedStrings.xml><?xml version="1.0" encoding="utf-8"?>
<sst xmlns="http://schemas.openxmlformats.org/spreadsheetml/2006/main" count="128" uniqueCount="50">
  <si>
    <t>STATE WISE RETURN PERIOD WISE GSTR-1 FILING SUMMARY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</si>
  <si>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</si>
  <si>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</si>
  <si>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</si>
  <si>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</si>
  <si>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</si>
  <si>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</si>
  <si>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</si>
  <si>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</si>
  <si>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</si>
  <si>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</si>
  <si>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</si>
  <si>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</si>
  <si>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</si>
  <si>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</si>
  <si>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</si>
  <si>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</si>
  <si>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</si>
  <si>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</si>
  <si>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</si>
  <si>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</si>
  <si>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</si>
  <si>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</si>
  <si>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</si>
  <si>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</si>
  <si>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</si>
  <si>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</si>
  <si>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Madhya Pradesh</t>
  </si>
  <si>
    <t>Daman and Diu</t>
  </si>
  <si>
    <t>Dadra and Nagar Haveli</t>
  </si>
  <si>
    <t>Karnataka</t>
  </si>
  <si>
    <t>Goa</t>
  </si>
  <si>
    <t>Lakshadweep</t>
  </si>
  <si>
    <t>Kerala</t>
  </si>
  <si>
    <t>Tamil Nadu</t>
  </si>
  <si>
    <t>Puducherry</t>
  </si>
  <si>
    <t>Telangana</t>
  </si>
  <si>
    <t>Andhra Pradesh</t>
  </si>
  <si>
    <t>Ladakh</t>
  </si>
  <si>
    <t>Other Territory</t>
  </si>
  <si>
    <t>Grand Total</t>
  </si>
  <si>
    <t>-</t>
  </si>
  <si>
    <t>FINANCIAL YEAR 2023-2024</t>
  </si>
  <si>
    <t>Chhattisgarh</t>
  </si>
  <si>
    <t>Gujarat</t>
  </si>
  <si>
    <t>Maharashtra</t>
  </si>
  <si>
    <t>Andaman and Nicobar Islands</t>
  </si>
  <si>
    <t>STATE 
CD</t>
  </si>
  <si>
    <t>Data Considered upto 31st Jul 2026</t>
  </si>
  <si>
    <t>Filing %age as on 31st Jul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</si>
</sst>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5" fillId="0" borderId="0"/>
    <xf numFmtId="43" fontId="1" fillId="0" borderId="0" applyFont="0" applyFill="0" applyBorder="0" applyAlignment="0" applyProtection="0"/>
  </cellStyleXfs>
  <cellXfs count="22">
    <xf numFmtId="0" fontId="0" fillId="0" borderId="0" xfId="0"/>
    <xf numFmtId="0" fontId="2" fillId="0" borderId="0" xfId="0" applyFont="1" applyAlignment="1">
      <alignment horizontal="center"/>
    </xf>
    <xf numFmtId="0" fontId="0" fillId="0" borderId="1" xfId="0" applyBorder="1"/>
    <xf numFmtId="165" fontId="0" fillId="0" borderId="1" xfId="0" applyNumberFormat="1" applyBorder="1"/>
    <xf numFmtId="10" fontId="0" fillId="0" borderId="1" xfId="1" applyNumberFormat="1" applyFont="1" applyFill="1" applyBorder="1" applyAlignment="1">
      <alignment horizontal="right" vertical="center" wrapText="1"/>
    </xf>
    <xf numFmtId="165" fontId="0" fillId="0" borderId="1" xfId="0" applyNumberFormat="1" applyBorder="1" applyAlignment="1">
      <alignment horizontal="right" vertical="center" wrapText="1"/>
    </xf>
    <xf numFmtId="10" fontId="4" fillId="2" borderId="1" xfId="1" applyNumberFormat="1" applyFont="1" applyFill="1" applyBorder="1" applyAlignment="1">
      <alignment horizontal="right" vertical="center" wrapText="1"/>
    </xf>
    <xf numFmtId="165" fontId="4" fillId="2" borderId="1" xfId="0" applyNumberFormat="1" applyFont="1" applyFill="1" applyBorder="1" applyAlignment="1">
      <alignment horizontal="right" vertical="center" wrapText="1"/>
    </xf>
    <xf numFmtId="165" fontId="4" fillId="2" borderId="1" xfId="0" applyNumberFormat="1" applyFont="1" applyFill="1" applyBorder="1"/>
    <xf numFmtId="0" fontId="0" fillId="0" borderId="0" xfId="0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6" fontId="0" fillId="0" borderId="1" xfId="7" applyNumberFormat="1" applyFont="1" applyBorder="1"/>
    <xf numFmtId="0" fontId="2" fillId="2" borderId="0" xfId="0" applyFont="1" applyFill="1" applyAlignment="1">
      <alignment horizontal="center"/>
    </xf>
    <xf numFmtId="17" fontId="2" fillId="2" borderId="2" xfId="0" applyNumberFormat="1" applyFont="1" applyFill="1" applyBorder="1" applyAlignment="1">
      <alignment horizontal="center" vertical="center"/>
    </xf>
    <xf numFmtId="17" fontId="2" fillId="2" borderId="3" xfId="0" applyNumberFormat="1" applyFont="1" applyFill="1" applyBorder="1" applyAlignment="1">
      <alignment horizontal="center" vertical="center"/>
    </xf>
    <xf numFmtId="17" fontId="2" fillId="2" borderId="4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left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</cellXfs>
  <cellStyles count="8">
    <cellStyle name="Comma" xfId="7" builtinId="3"/>
    <cellStyle name="Comma 2" xfId="2" xr:uid="{00000000-0005-0000-0000-000001000000}"/>
    <cellStyle name="Comma 2 2" xfId="3" xr:uid="{00000000-0005-0000-0000-000002000000}"/>
    <cellStyle name="Comma 3" xfId="4" xr:uid="{00000000-0005-0000-0000-000003000000}"/>
    <cellStyle name="Normal" xfId="0" builtinId="0"/>
    <cellStyle name="Normal 2" xfId="5" xr:uid="{00000000-0005-0000-0000-000005000000}"/>
    <cellStyle name="Normal 3" xfId="6" xr:uid="{00000000-0005-0000-0000-000006000000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48"/>
  <sheetViews>
    <sheetView tabSelected="1" zoomScale="55" zoomScaleNormal="55" workbookViewId="0">
      <selection activeCell="A2" sqref="A2"/>
    </sheetView>
  </sheetViews>
  <sheetFormatPr defaultColWidth="8.77734375" defaultRowHeight="14.4" x14ac:dyDescent="0.3"/>
  <cols>
    <col min="1" max="1" width="10.44140625" customWidth="1"/>
    <col min="2" max="2" width="26.77734375" bestFit="1" customWidth="1"/>
    <col min="3" max="3" width="24.21875" customWidth="1"/>
    <col min="4" max="7" width="18.77734375" customWidth="1"/>
    <col min="8" max="62" width="19.5546875" customWidth="1"/>
  </cols>
  <sheetData>
    <row r="1" spans="1:62" ht="15.6" x14ac:dyDescent="0.3">
      <c r="A1" s="14" t="s">
        <v>0</v>
      </c>
      <c r="B1" s="14"/>
      <c r="C1" s="14"/>
      <c r="D1" s="14"/>
      <c r="E1" s="14"/>
    </row>
    <row r="2" spans="1:62" ht="15.6" x14ac:dyDescent="0.3">
      <c r="A2" s="1"/>
      <c r="B2" s="1"/>
      <c r="C2" s="1"/>
      <c r="D2" s="1"/>
      <c r="E2" s="1"/>
      <c r="F2" s="1"/>
      <c r="G2" s="1"/>
    </row>
    <row r="3" spans="1:62" ht="15.6" x14ac:dyDescent="0.3">
      <c r="A3" s="19" t="s">
        <v>42</v>
      </c>
      <c r="B3" s="19"/>
      <c r="C3" s="1"/>
      <c r="D3" s="1"/>
      <c r="E3" s="1"/>
      <c r="F3" s="1"/>
      <c r="G3" s="1"/>
    </row>
    <row r="4" spans="1:62" ht="15.6" x14ac:dyDescent="0.3">
      <c r="A4" s="1"/>
      <c r="B4" s="1"/>
      <c r="C4" s="1"/>
      <c r="D4" s="1"/>
      <c r="E4" s="1"/>
      <c r="F4" s="1"/>
      <c r="G4" s="1"/>
    </row>
    <row r="5" spans="1:62" ht="15.6" x14ac:dyDescent="0.3">
      <c r="A5" s="19" t="s">
        <v>48</v>
      </c>
      <c r="B5" s="19"/>
      <c r="C5" s="19"/>
    </row>
    <row r="8" spans="1:62" s="9" customFormat="1" ht="15.6" x14ac:dyDescent="0.3">
      <c r="A8" s="20" t="s">
        <v>47</v>
      </c>
      <c r="B8" s="21" t="s">
        <v>1</v>
      </c>
      <c r="C8" s="15">
        <v>45017</v>
      </c>
      <c r="D8" s="16"/>
      <c r="E8" s="16"/>
      <c r="F8" s="16"/>
      <c r="G8" s="17"/>
      <c r="H8" s="15">
        <v>45047</v>
      </c>
      <c r="I8" s="16"/>
      <c r="J8" s="16"/>
      <c r="K8" s="16"/>
      <c r="L8" s="17"/>
      <c r="M8" s="15">
        <v>45078</v>
      </c>
      <c r="N8" s="16"/>
      <c r="O8" s="16"/>
      <c r="P8" s="16"/>
      <c r="Q8" s="17"/>
      <c r="R8" s="15">
        <v>45108</v>
      </c>
      <c r="S8" s="16"/>
      <c r="T8" s="16"/>
      <c r="U8" s="16"/>
      <c r="V8" s="17"/>
      <c r="W8" s="15">
        <v>45139</v>
      </c>
      <c r="X8" s="16"/>
      <c r="Y8" s="16"/>
      <c r="Z8" s="16"/>
      <c r="AA8" s="17"/>
      <c r="AB8" s="15">
        <v>45170</v>
      </c>
      <c r="AC8" s="16"/>
      <c r="AD8" s="16"/>
      <c r="AE8" s="16"/>
      <c r="AF8" s="17"/>
      <c r="AG8" s="15">
        <v>45200</v>
      </c>
      <c r="AH8" s="16"/>
      <c r="AI8" s="16"/>
      <c r="AJ8" s="16"/>
      <c r="AK8" s="17"/>
      <c r="AL8" s="15">
        <v>45231</v>
      </c>
      <c r="AM8" s="16"/>
      <c r="AN8" s="16"/>
      <c r="AO8" s="16"/>
      <c r="AP8" s="17"/>
      <c r="AQ8" s="15">
        <v>45261</v>
      </c>
      <c r="AR8" s="16"/>
      <c r="AS8" s="16"/>
      <c r="AT8" s="16"/>
      <c r="AU8" s="17"/>
      <c r="AV8" s="15">
        <v>45292</v>
      </c>
      <c r="AW8" s="16"/>
      <c r="AX8" s="16"/>
      <c r="AY8" s="16"/>
      <c r="AZ8" s="17"/>
      <c r="BA8" s="15">
        <v>45323</v>
      </c>
      <c r="BB8" s="16"/>
      <c r="BC8" s="16"/>
      <c r="BD8" s="16"/>
      <c r="BE8" s="17"/>
      <c r="BF8" s="15">
        <v>45352</v>
      </c>
      <c r="BG8" s="16"/>
      <c r="BH8" s="16"/>
      <c r="BI8" s="16"/>
      <c r="BJ8" s="17"/>
    </row>
    <row r="9" spans="1:62" s="9" customFormat="1" ht="46.8" x14ac:dyDescent="0.3">
      <c r="A9" s="21"/>
      <c r="B9" s="21"/>
      <c r="C9" s="12" t="s">
        <v>2</v>
      </c>
      <c r="D9" s="12" t="s">
        <v>3</v>
      </c>
      <c r="E9" s="12" t="s">
        <v>4</v>
      </c>
      <c r="F9" s="12" t="s">
        <v>5</v>
      </c>
      <c r="G9" s="12" t="s">
        <v>49</v>
      </c>
      <c r="H9" s="12" t="s">
        <v>2</v>
      </c>
      <c r="I9" s="12" t="s">
        <v>3</v>
      </c>
      <c r="J9" s="12" t="s">
        <v>4</v>
      </c>
      <c r="K9" s="12" t="s">
        <v>5</v>
      </c>
      <c r="L9" s="12" t="s">
        <v>49</v>
      </c>
      <c r="M9" s="12" t="s">
        <v>2</v>
      </c>
      <c r="N9" s="12" t="s">
        <v>3</v>
      </c>
      <c r="O9" s="12" t="s">
        <v>4</v>
      </c>
      <c r="P9" s="12" t="s">
        <v>5</v>
      </c>
      <c r="Q9" s="12" t="s">
        <v>49</v>
      </c>
      <c r="R9" s="12" t="s">
        <v>2</v>
      </c>
      <c r="S9" s="12" t="s">
        <v>3</v>
      </c>
      <c r="T9" s="12" t="s">
        <v>4</v>
      </c>
      <c r="U9" s="12" t="s">
        <v>5</v>
      </c>
      <c r="V9" s="12" t="s">
        <v>49</v>
      </c>
      <c r="W9" s="12" t="s">
        <v>2</v>
      </c>
      <c r="X9" s="12" t="s">
        <v>3</v>
      </c>
      <c r="Y9" s="12" t="s">
        <v>4</v>
      </c>
      <c r="Z9" s="12" t="s">
        <v>5</v>
      </c>
      <c r="AA9" s="12" t="s">
        <v>49</v>
      </c>
      <c r="AB9" s="12" t="s">
        <v>2</v>
      </c>
      <c r="AC9" s="12" t="s">
        <v>3</v>
      </c>
      <c r="AD9" s="12" t="s">
        <v>4</v>
      </c>
      <c r="AE9" s="12" t="s">
        <v>5</v>
      </c>
      <c r="AF9" s="12" t="s">
        <v>49</v>
      </c>
      <c r="AG9" s="12" t="s">
        <v>2</v>
      </c>
      <c r="AH9" s="12" t="s">
        <v>3</v>
      </c>
      <c r="AI9" s="12" t="s">
        <v>4</v>
      </c>
      <c r="AJ9" s="12" t="s">
        <v>5</v>
      </c>
      <c r="AK9" s="12" t="s">
        <v>49</v>
      </c>
      <c r="AL9" s="12" t="s">
        <v>2</v>
      </c>
      <c r="AM9" s="12" t="s">
        <v>3</v>
      </c>
      <c r="AN9" s="12" t="s">
        <v>4</v>
      </c>
      <c r="AO9" s="12" t="s">
        <v>5</v>
      </c>
      <c r="AP9" s="12" t="s">
        <v>49</v>
      </c>
      <c r="AQ9" s="12" t="s">
        <v>2</v>
      </c>
      <c r="AR9" s="12" t="s">
        <v>3</v>
      </c>
      <c r="AS9" s="12" t="s">
        <v>4</v>
      </c>
      <c r="AT9" s="12" t="s">
        <v>5</v>
      </c>
      <c r="AU9" s="12" t="s">
        <v>49</v>
      </c>
      <c r="AV9" s="12" t="s">
        <v>2</v>
      </c>
      <c r="AW9" s="12" t="s">
        <v>3</v>
      </c>
      <c r="AX9" s="12" t="s">
        <v>4</v>
      </c>
      <c r="AY9" s="12" t="s">
        <v>5</v>
      </c>
      <c r="AZ9" s="12" t="s">
        <v>49</v>
      </c>
      <c r="BA9" s="12" t="s">
        <v>2</v>
      </c>
      <c r="BB9" s="12" t="s">
        <v>3</v>
      </c>
      <c r="BC9" s="12" t="s">
        <v>4</v>
      </c>
      <c r="BD9" s="12" t="s">
        <v>5</v>
      </c>
      <c r="BE9" s="12" t="s">
        <v>49</v>
      </c>
      <c r="BF9" s="12" t="s">
        <v>2</v>
      </c>
      <c r="BG9" s="12" t="s">
        <v>3</v>
      </c>
      <c r="BH9" s="12" t="s">
        <v>4</v>
      </c>
      <c r="BI9" s="12" t="s">
        <v>5</v>
      </c>
      <c r="BJ9" s="12" t="s">
        <v>49</v>
      </c>
    </row>
    <row r="10" spans="1:62" x14ac:dyDescent="0.3">
      <c r="A10" s="10">
        <v>1</v>
      </c>
      <c r="B10" s="2" t="s">
        <v>6</v>
      </c>
      <c r="C10" s="5">
        <v>70249</v>
      </c>
      <c r="D10" s="5">
        <v>28689</v>
      </c>
      <c r="E10" s="3">
        <f>F10-D10</f>
        <v>41879</v>
      </c>
      <c r="F10" s="5">
        <v>70568</v>
      </c>
      <c r="G10" s="4">
        <f>F10/C10</f>
        <v>1.0045409899073297</v>
      </c>
      <c r="H10" s="5">
        <v>72254</v>
      </c>
      <c r="I10" s="5">
        <v>29165</v>
      </c>
      <c r="J10" s="3">
        <f>K10-I10</f>
        <v>43023</v>
      </c>
      <c r="K10" s="5">
        <v>72188</v>
      </c>
      <c r="L10" s="4">
        <f>K10/H10</f>
        <v>0.99908655576161876</v>
      </c>
      <c r="M10" s="5">
        <v>120466</v>
      </c>
      <c r="N10" s="5">
        <v>45623</v>
      </c>
      <c r="O10" s="3">
        <f>P10-N10</f>
        <v>74872</v>
      </c>
      <c r="P10" s="5">
        <v>120495</v>
      </c>
      <c r="Q10" s="4">
        <f>P10/M10</f>
        <v>1.0002407318247473</v>
      </c>
      <c r="R10" s="5">
        <v>70979</v>
      </c>
      <c r="S10" s="5">
        <v>29494</v>
      </c>
      <c r="T10" s="3">
        <f>U10-S10</f>
        <v>41696</v>
      </c>
      <c r="U10" s="5">
        <v>71190</v>
      </c>
      <c r="V10" s="4">
        <f>U10/R10</f>
        <v>1.0029727102382395</v>
      </c>
      <c r="W10" s="5">
        <v>73348</v>
      </c>
      <c r="X10" s="5">
        <v>30390</v>
      </c>
      <c r="Y10" s="3">
        <f>Z10-X10</f>
        <v>42547</v>
      </c>
      <c r="Z10" s="5">
        <v>72937</v>
      </c>
      <c r="AA10" s="4">
        <f>Z10/W10</f>
        <v>0.99439657523040847</v>
      </c>
      <c r="AB10" s="5">
        <v>123554</v>
      </c>
      <c r="AC10" s="5">
        <v>46600</v>
      </c>
      <c r="AD10" s="3">
        <f>AE10-AC10</f>
        <v>77026</v>
      </c>
      <c r="AE10" s="5">
        <v>123626</v>
      </c>
      <c r="AF10" s="4">
        <f>AE10/AB10</f>
        <v>1.0005827411496189</v>
      </c>
      <c r="AG10" s="5">
        <v>71950</v>
      </c>
      <c r="AH10" s="13">
        <v>30051</v>
      </c>
      <c r="AI10" s="3">
        <f>AJ10-AH10</f>
        <v>41865</v>
      </c>
      <c r="AJ10" s="5">
        <v>71916</v>
      </c>
      <c r="AK10" s="4">
        <f>AJ10/AG10</f>
        <v>0.99952744961779016</v>
      </c>
      <c r="AL10" s="5">
        <v>73532</v>
      </c>
      <c r="AM10" s="13">
        <v>29930</v>
      </c>
      <c r="AN10" s="3">
        <f>AO10-AM10</f>
        <v>43048</v>
      </c>
      <c r="AO10" s="5">
        <v>72978</v>
      </c>
      <c r="AP10" s="4">
        <f>AO10/AL10</f>
        <v>0.99246586520154489</v>
      </c>
      <c r="AQ10" s="5">
        <v>125499</v>
      </c>
      <c r="AR10" s="13">
        <v>46715</v>
      </c>
      <c r="AS10" s="3">
        <f>AT10-AR10</f>
        <v>79256</v>
      </c>
      <c r="AT10" s="5">
        <v>125971</v>
      </c>
      <c r="AU10" s="4">
        <f>AT10/AQ10</f>
        <v>1.0037609861433159</v>
      </c>
      <c r="AV10" s="5">
        <v>72481</v>
      </c>
      <c r="AW10" s="13">
        <v>29864</v>
      </c>
      <c r="AX10" s="3">
        <f>AY10-AW10</f>
        <v>42365</v>
      </c>
      <c r="AY10" s="5">
        <v>72229</v>
      </c>
      <c r="AZ10" s="4">
        <f>AY10/AV10</f>
        <v>0.99652322677667249</v>
      </c>
      <c r="BA10" s="5">
        <v>73790</v>
      </c>
      <c r="BB10" s="13">
        <v>30195</v>
      </c>
      <c r="BC10" s="3">
        <f>BD10-BB10</f>
        <v>43035</v>
      </c>
      <c r="BD10" s="5">
        <v>73230</v>
      </c>
      <c r="BE10" s="4">
        <f>BD10/BA10</f>
        <v>0.99241089578533681</v>
      </c>
      <c r="BF10" s="5">
        <v>128129</v>
      </c>
      <c r="BG10" s="13">
        <v>42523</v>
      </c>
      <c r="BH10" s="3">
        <f>BI10-BG10</f>
        <v>85647</v>
      </c>
      <c r="BI10" s="5">
        <v>128170</v>
      </c>
      <c r="BJ10" s="4">
        <f>BI10/BF10</f>
        <v>1.0003199900100679</v>
      </c>
    </row>
    <row r="11" spans="1:62" x14ac:dyDescent="0.3">
      <c r="A11" s="10">
        <v>2</v>
      </c>
      <c r="B11" s="2" t="s">
        <v>7</v>
      </c>
      <c r="C11" s="5">
        <v>44514</v>
      </c>
      <c r="D11" s="5">
        <v>27155</v>
      </c>
      <c r="E11" s="3">
        <f t="shared" ref="E11:E47" si="0">F11-D11</f>
        <v>17635</v>
      </c>
      <c r="F11" s="5">
        <v>44790</v>
      </c>
      <c r="G11" s="4">
        <f t="shared" ref="G11:G47" si="1">F11/C11</f>
        <v>1.0062002965359214</v>
      </c>
      <c r="H11" s="5">
        <v>46110</v>
      </c>
      <c r="I11" s="5">
        <v>27222</v>
      </c>
      <c r="J11" s="3">
        <f t="shared" ref="J11:J33" si="2">K11-I11</f>
        <v>18777</v>
      </c>
      <c r="K11" s="5">
        <v>45999</v>
      </c>
      <c r="L11" s="4">
        <f t="shared" ref="L11:L33" si="3">K11/H11</f>
        <v>0.99759271307742359</v>
      </c>
      <c r="M11" s="5">
        <v>102242</v>
      </c>
      <c r="N11" s="5">
        <v>50063</v>
      </c>
      <c r="O11" s="3">
        <f t="shared" ref="O11:O33" si="4">P11-N11</f>
        <v>52510</v>
      </c>
      <c r="P11" s="5">
        <v>102573</v>
      </c>
      <c r="Q11" s="4">
        <f t="shared" ref="Q11:Q33" si="5">P11/M11</f>
        <v>1.0032374171084291</v>
      </c>
      <c r="R11" s="5">
        <v>44890</v>
      </c>
      <c r="S11" s="5">
        <v>28025</v>
      </c>
      <c r="T11" s="3">
        <f t="shared" ref="T11:T33" si="6">U11-S11</f>
        <v>16801</v>
      </c>
      <c r="U11" s="5">
        <v>44826</v>
      </c>
      <c r="V11" s="4">
        <f t="shared" ref="V11:V33" si="7">U11/R11</f>
        <v>0.99857429271552689</v>
      </c>
      <c r="W11" s="5">
        <v>46425</v>
      </c>
      <c r="X11" s="5">
        <v>28597</v>
      </c>
      <c r="Y11" s="3">
        <f t="shared" ref="Y11:Y33" si="8">Z11-X11</f>
        <v>17311</v>
      </c>
      <c r="Z11" s="5">
        <v>45908</v>
      </c>
      <c r="AA11" s="4">
        <f t="shared" ref="AA11:AA33" si="9">Z11/W11</f>
        <v>0.98886375875067312</v>
      </c>
      <c r="AB11" s="5">
        <v>103964</v>
      </c>
      <c r="AC11" s="5">
        <v>59922</v>
      </c>
      <c r="AD11" s="3">
        <f t="shared" ref="AD11:AD33" si="10">AE11-AC11</f>
        <v>44422</v>
      </c>
      <c r="AE11" s="5">
        <v>104344</v>
      </c>
      <c r="AF11" s="4">
        <f t="shared" ref="AF11:AF33" si="11">AE11/AB11</f>
        <v>1.0036551113847101</v>
      </c>
      <c r="AG11" s="5">
        <v>45569</v>
      </c>
      <c r="AH11" s="13">
        <v>29709</v>
      </c>
      <c r="AI11" s="3">
        <f t="shared" ref="AI11:AI33" si="12">AJ11-AH11</f>
        <v>15645</v>
      </c>
      <c r="AJ11" s="5">
        <v>45354</v>
      </c>
      <c r="AK11" s="4">
        <f t="shared" ref="AK11:AK33" si="13">AJ11/AG11</f>
        <v>0.99528188022559194</v>
      </c>
      <c r="AL11" s="5">
        <v>46951</v>
      </c>
      <c r="AM11" s="13">
        <v>30251</v>
      </c>
      <c r="AN11" s="3">
        <f t="shared" ref="AN11:AN25" si="14">AO11-AM11</f>
        <v>16015</v>
      </c>
      <c r="AO11" s="5">
        <v>46266</v>
      </c>
      <c r="AP11" s="4">
        <f t="shared" ref="AP11:AP26" si="15">AO11/AL11</f>
        <v>0.98541032139890528</v>
      </c>
      <c r="AQ11" s="5">
        <v>105644</v>
      </c>
      <c r="AR11" s="13">
        <v>63606</v>
      </c>
      <c r="AS11" s="3">
        <f t="shared" ref="AS11:AS25" si="16">AT11-AR11</f>
        <v>42448</v>
      </c>
      <c r="AT11" s="5">
        <v>106054</v>
      </c>
      <c r="AU11" s="4">
        <f t="shared" ref="AU11:AU26" si="17">AT11/AQ11</f>
        <v>1.0038809586914543</v>
      </c>
      <c r="AV11" s="5">
        <v>46072</v>
      </c>
      <c r="AW11" s="13">
        <v>30845</v>
      </c>
      <c r="AX11" s="3">
        <f t="shared" ref="AX11:AX25" si="18">AY11-AW11</f>
        <v>15108</v>
      </c>
      <c r="AY11" s="5">
        <v>45953</v>
      </c>
      <c r="AZ11" s="4">
        <f t="shared" ref="AZ11:AZ26" si="19">AY11/AV11</f>
        <v>0.99741708629970482</v>
      </c>
      <c r="BA11" s="5">
        <v>47252</v>
      </c>
      <c r="BB11" s="13">
        <v>31346</v>
      </c>
      <c r="BC11" s="3">
        <f t="shared" ref="BC11:BC25" si="20">BD11-BB11</f>
        <v>15574</v>
      </c>
      <c r="BD11" s="5">
        <v>46920</v>
      </c>
      <c r="BE11" s="4">
        <f t="shared" ref="BE11:BE26" si="21">BD11/BA11</f>
        <v>0.99297384237704223</v>
      </c>
      <c r="BF11" s="5">
        <v>107665</v>
      </c>
      <c r="BG11" s="13">
        <v>61196</v>
      </c>
      <c r="BH11" s="3">
        <f t="shared" ref="BH11:BH33" si="22">BI11-BG11</f>
        <v>46587</v>
      </c>
      <c r="BI11" s="5">
        <v>107783</v>
      </c>
      <c r="BJ11" s="4">
        <f t="shared" ref="BJ11:BJ33" si="23">BI11/BF11</f>
        <v>1.0010959921980216</v>
      </c>
    </row>
    <row r="12" spans="1:62" x14ac:dyDescent="0.3">
      <c r="A12" s="10">
        <v>3</v>
      </c>
      <c r="B12" s="2" t="s">
        <v>8</v>
      </c>
      <c r="C12" s="5">
        <v>165970</v>
      </c>
      <c r="D12" s="5">
        <v>129901</v>
      </c>
      <c r="E12" s="3">
        <f t="shared" si="0"/>
        <v>35173</v>
      </c>
      <c r="F12" s="5">
        <v>165074</v>
      </c>
      <c r="G12" s="4">
        <f t="shared" si="1"/>
        <v>0.99460143399409529</v>
      </c>
      <c r="H12" s="5">
        <v>170538</v>
      </c>
      <c r="I12" s="5">
        <v>130540</v>
      </c>
      <c r="J12" s="3">
        <f t="shared" si="2"/>
        <v>37617</v>
      </c>
      <c r="K12" s="5">
        <v>168157</v>
      </c>
      <c r="L12" s="4">
        <f t="shared" si="3"/>
        <v>0.98603830231385381</v>
      </c>
      <c r="M12" s="5">
        <v>344875</v>
      </c>
      <c r="N12" s="5">
        <v>247761</v>
      </c>
      <c r="O12" s="3">
        <f t="shared" si="4"/>
        <v>96119</v>
      </c>
      <c r="P12" s="5">
        <v>343880</v>
      </c>
      <c r="Q12" s="4">
        <f t="shared" si="5"/>
        <v>0.9971148967017035</v>
      </c>
      <c r="R12" s="5">
        <v>167705</v>
      </c>
      <c r="S12" s="5">
        <v>129138</v>
      </c>
      <c r="T12" s="3">
        <f t="shared" si="6"/>
        <v>37672</v>
      </c>
      <c r="U12" s="5">
        <v>166810</v>
      </c>
      <c r="V12" s="4">
        <f t="shared" si="7"/>
        <v>0.99466324796517691</v>
      </c>
      <c r="W12" s="5">
        <v>171864</v>
      </c>
      <c r="X12" s="5">
        <v>131240</v>
      </c>
      <c r="Y12" s="3">
        <f t="shared" si="8"/>
        <v>38700</v>
      </c>
      <c r="Z12" s="5">
        <v>169940</v>
      </c>
      <c r="AA12" s="4">
        <f t="shared" si="9"/>
        <v>0.98880510170832747</v>
      </c>
      <c r="AB12" s="5">
        <v>349048</v>
      </c>
      <c r="AC12" s="5">
        <v>255454</v>
      </c>
      <c r="AD12" s="3">
        <f t="shared" si="10"/>
        <v>93197</v>
      </c>
      <c r="AE12" s="5">
        <v>348651</v>
      </c>
      <c r="AF12" s="4">
        <f t="shared" si="11"/>
        <v>0.99886262061378372</v>
      </c>
      <c r="AG12" s="5">
        <v>170526</v>
      </c>
      <c r="AH12" s="13">
        <v>131776</v>
      </c>
      <c r="AI12" s="3">
        <f t="shared" si="12"/>
        <v>38084</v>
      </c>
      <c r="AJ12" s="5">
        <v>169860</v>
      </c>
      <c r="AK12" s="4">
        <f t="shared" si="13"/>
        <v>0.99609443721192081</v>
      </c>
      <c r="AL12" s="5">
        <v>174892</v>
      </c>
      <c r="AM12" s="13">
        <v>133948</v>
      </c>
      <c r="AN12" s="3">
        <f t="shared" si="14"/>
        <v>38327</v>
      </c>
      <c r="AO12" s="5">
        <v>172275</v>
      </c>
      <c r="AP12" s="4">
        <f t="shared" si="15"/>
        <v>0.98503647965601626</v>
      </c>
      <c r="AQ12" s="5">
        <v>353589</v>
      </c>
      <c r="AR12" s="13">
        <v>259019</v>
      </c>
      <c r="AS12" s="3">
        <f t="shared" si="16"/>
        <v>94345</v>
      </c>
      <c r="AT12" s="5">
        <v>353364</v>
      </c>
      <c r="AU12" s="4">
        <f t="shared" si="17"/>
        <v>0.99936366798740917</v>
      </c>
      <c r="AV12" s="5">
        <v>172980</v>
      </c>
      <c r="AW12" s="13">
        <v>135676</v>
      </c>
      <c r="AX12" s="3">
        <f t="shared" si="18"/>
        <v>36205</v>
      </c>
      <c r="AY12" s="5">
        <v>171881</v>
      </c>
      <c r="AZ12" s="4">
        <f t="shared" si="19"/>
        <v>0.99364666435426063</v>
      </c>
      <c r="BA12" s="5">
        <v>177212</v>
      </c>
      <c r="BB12" s="13">
        <v>137894</v>
      </c>
      <c r="BC12" s="3">
        <f t="shared" si="20"/>
        <v>36715</v>
      </c>
      <c r="BD12" s="5">
        <v>174609</v>
      </c>
      <c r="BE12" s="4">
        <f t="shared" si="21"/>
        <v>0.98531137846195516</v>
      </c>
      <c r="BF12" s="5">
        <v>359260</v>
      </c>
      <c r="BG12" s="13">
        <v>257240</v>
      </c>
      <c r="BH12" s="3">
        <f t="shared" si="22"/>
        <v>100768</v>
      </c>
      <c r="BI12" s="5">
        <v>358008</v>
      </c>
      <c r="BJ12" s="4">
        <f t="shared" si="23"/>
        <v>0.99651505873183766</v>
      </c>
    </row>
    <row r="13" spans="1:62" x14ac:dyDescent="0.3">
      <c r="A13" s="10">
        <v>4</v>
      </c>
      <c r="B13" s="2" t="s">
        <v>9</v>
      </c>
      <c r="C13" s="5">
        <v>16508</v>
      </c>
      <c r="D13" s="5">
        <v>13215</v>
      </c>
      <c r="E13" s="3">
        <f t="shared" si="0"/>
        <v>3342</v>
      </c>
      <c r="F13" s="5">
        <v>16557</v>
      </c>
      <c r="G13" s="4">
        <f t="shared" si="1"/>
        <v>1.002968257814393</v>
      </c>
      <c r="H13" s="5">
        <v>16836</v>
      </c>
      <c r="I13" s="5">
        <v>13210</v>
      </c>
      <c r="J13" s="3">
        <f t="shared" si="2"/>
        <v>3543</v>
      </c>
      <c r="K13" s="5">
        <v>16753</v>
      </c>
      <c r="L13" s="4">
        <f t="shared" si="3"/>
        <v>0.99507008790686624</v>
      </c>
      <c r="M13" s="5">
        <v>27790</v>
      </c>
      <c r="N13" s="5">
        <v>20316</v>
      </c>
      <c r="O13" s="3">
        <f t="shared" si="4"/>
        <v>7552</v>
      </c>
      <c r="P13" s="5">
        <v>27868</v>
      </c>
      <c r="Q13" s="4">
        <f t="shared" si="5"/>
        <v>1.0028067650233896</v>
      </c>
      <c r="R13" s="5">
        <v>16731</v>
      </c>
      <c r="S13" s="5">
        <v>13202</v>
      </c>
      <c r="T13" s="3">
        <f t="shared" si="6"/>
        <v>3510</v>
      </c>
      <c r="U13" s="5">
        <v>16712</v>
      </c>
      <c r="V13" s="4">
        <f t="shared" si="7"/>
        <v>0.99886438347976814</v>
      </c>
      <c r="W13" s="5">
        <v>16980</v>
      </c>
      <c r="X13" s="5">
        <v>13307</v>
      </c>
      <c r="Y13" s="3">
        <f t="shared" si="8"/>
        <v>3656</v>
      </c>
      <c r="Z13" s="5">
        <v>16963</v>
      </c>
      <c r="AA13" s="4">
        <f t="shared" si="9"/>
        <v>0.99899882214369851</v>
      </c>
      <c r="AB13" s="5">
        <v>28086</v>
      </c>
      <c r="AC13" s="5">
        <v>21392</v>
      </c>
      <c r="AD13" s="3">
        <f t="shared" si="10"/>
        <v>6742</v>
      </c>
      <c r="AE13" s="5">
        <v>28134</v>
      </c>
      <c r="AF13" s="4">
        <f t="shared" si="11"/>
        <v>1.0017090365306558</v>
      </c>
      <c r="AG13" s="5">
        <v>17018</v>
      </c>
      <c r="AH13" s="13">
        <v>13532</v>
      </c>
      <c r="AI13" s="3">
        <f t="shared" si="12"/>
        <v>3644</v>
      </c>
      <c r="AJ13" s="5">
        <v>17176</v>
      </c>
      <c r="AK13" s="4">
        <f t="shared" si="13"/>
        <v>1.009284287225291</v>
      </c>
      <c r="AL13" s="5">
        <v>17260</v>
      </c>
      <c r="AM13" s="13">
        <v>13581</v>
      </c>
      <c r="AN13" s="3">
        <f t="shared" si="14"/>
        <v>3704</v>
      </c>
      <c r="AO13" s="5">
        <v>17285</v>
      </c>
      <c r="AP13" s="4">
        <f t="shared" si="15"/>
        <v>1.0014484356894553</v>
      </c>
      <c r="AQ13" s="5">
        <v>28368</v>
      </c>
      <c r="AR13" s="13">
        <v>21983</v>
      </c>
      <c r="AS13" s="3">
        <f t="shared" si="16"/>
        <v>6504</v>
      </c>
      <c r="AT13" s="5">
        <v>28487</v>
      </c>
      <c r="AU13" s="4">
        <f t="shared" si="17"/>
        <v>1.0041948674562888</v>
      </c>
      <c r="AV13" s="5">
        <v>17209</v>
      </c>
      <c r="AW13" s="13">
        <v>13801</v>
      </c>
      <c r="AX13" s="3">
        <f t="shared" si="18"/>
        <v>3474</v>
      </c>
      <c r="AY13" s="5">
        <v>17275</v>
      </c>
      <c r="AZ13" s="4">
        <f t="shared" si="19"/>
        <v>1.0038352025103143</v>
      </c>
      <c r="BA13" s="5">
        <v>17487</v>
      </c>
      <c r="BB13" s="13">
        <v>13967</v>
      </c>
      <c r="BC13" s="3">
        <f t="shared" si="20"/>
        <v>3442</v>
      </c>
      <c r="BD13" s="5">
        <v>17409</v>
      </c>
      <c r="BE13" s="4">
        <f t="shared" si="21"/>
        <v>0.99553954366100528</v>
      </c>
      <c r="BF13" s="5">
        <v>28574</v>
      </c>
      <c r="BG13" s="13">
        <v>21642</v>
      </c>
      <c r="BH13" s="3">
        <f t="shared" si="22"/>
        <v>7064</v>
      </c>
      <c r="BI13" s="5">
        <v>28706</v>
      </c>
      <c r="BJ13" s="4">
        <f t="shared" si="23"/>
        <v>1.0046195842374186</v>
      </c>
    </row>
    <row r="14" spans="1:62" x14ac:dyDescent="0.3">
      <c r="A14" s="10">
        <v>5</v>
      </c>
      <c r="B14" s="2" t="s">
        <v>10</v>
      </c>
      <c r="C14" s="5">
        <v>85383</v>
      </c>
      <c r="D14" s="5">
        <v>48444</v>
      </c>
      <c r="E14" s="3">
        <f t="shared" si="0"/>
        <v>36557</v>
      </c>
      <c r="F14" s="5">
        <v>85001</v>
      </c>
      <c r="G14" s="4">
        <f t="shared" si="1"/>
        <v>0.99552604148366775</v>
      </c>
      <c r="H14" s="5">
        <v>88261</v>
      </c>
      <c r="I14" s="5">
        <v>48825</v>
      </c>
      <c r="J14" s="3">
        <f t="shared" si="2"/>
        <v>37986</v>
      </c>
      <c r="K14" s="5">
        <v>86811</v>
      </c>
      <c r="L14" s="4">
        <f t="shared" si="3"/>
        <v>0.98357145285006964</v>
      </c>
      <c r="M14" s="5">
        <v>157146</v>
      </c>
      <c r="N14" s="5">
        <v>78901</v>
      </c>
      <c r="O14" s="3">
        <f t="shared" si="4"/>
        <v>76995</v>
      </c>
      <c r="P14" s="5">
        <v>155896</v>
      </c>
      <c r="Q14" s="4">
        <f t="shared" si="5"/>
        <v>0.99204561363318189</v>
      </c>
      <c r="R14" s="5">
        <v>86469</v>
      </c>
      <c r="S14" s="5">
        <v>48332</v>
      </c>
      <c r="T14" s="3">
        <f t="shared" si="6"/>
        <v>36762</v>
      </c>
      <c r="U14" s="5">
        <v>85094</v>
      </c>
      <c r="V14" s="4">
        <f t="shared" si="7"/>
        <v>0.98409834738461177</v>
      </c>
      <c r="W14" s="5">
        <v>88169</v>
      </c>
      <c r="X14" s="5">
        <v>48565</v>
      </c>
      <c r="Y14" s="3">
        <f t="shared" si="8"/>
        <v>37745</v>
      </c>
      <c r="Z14" s="5">
        <v>86310</v>
      </c>
      <c r="AA14" s="4">
        <f t="shared" si="9"/>
        <v>0.97891549183953541</v>
      </c>
      <c r="AB14" s="5">
        <v>157930</v>
      </c>
      <c r="AC14" s="5">
        <v>81416</v>
      </c>
      <c r="AD14" s="3">
        <f t="shared" si="10"/>
        <v>76156</v>
      </c>
      <c r="AE14" s="5">
        <v>157572</v>
      </c>
      <c r="AF14" s="4">
        <f t="shared" si="11"/>
        <v>0.99773317292471353</v>
      </c>
      <c r="AG14" s="5">
        <v>87312</v>
      </c>
      <c r="AH14" s="13">
        <v>48856</v>
      </c>
      <c r="AI14" s="3">
        <f t="shared" si="12"/>
        <v>37775</v>
      </c>
      <c r="AJ14" s="5">
        <v>86631</v>
      </c>
      <c r="AK14" s="4">
        <f t="shared" si="13"/>
        <v>0.99220038482682793</v>
      </c>
      <c r="AL14" s="5">
        <v>89337</v>
      </c>
      <c r="AM14" s="13">
        <v>50118</v>
      </c>
      <c r="AN14" s="3">
        <f t="shared" si="14"/>
        <v>37708</v>
      </c>
      <c r="AO14" s="5">
        <v>87826</v>
      </c>
      <c r="AP14" s="4">
        <f t="shared" si="15"/>
        <v>0.98308651510572331</v>
      </c>
      <c r="AQ14" s="5">
        <v>160173</v>
      </c>
      <c r="AR14" s="13">
        <v>83010</v>
      </c>
      <c r="AS14" s="3">
        <f t="shared" si="16"/>
        <v>77660</v>
      </c>
      <c r="AT14" s="5">
        <v>160670</v>
      </c>
      <c r="AU14" s="4">
        <f t="shared" si="17"/>
        <v>1.0031028949947869</v>
      </c>
      <c r="AV14" s="5">
        <v>88523</v>
      </c>
      <c r="AW14" s="13">
        <v>50537</v>
      </c>
      <c r="AX14" s="3">
        <f t="shared" si="18"/>
        <v>37639</v>
      </c>
      <c r="AY14" s="5">
        <v>88176</v>
      </c>
      <c r="AZ14" s="4">
        <f t="shared" si="19"/>
        <v>0.99608011477243197</v>
      </c>
      <c r="BA14" s="5">
        <v>90782</v>
      </c>
      <c r="BB14" s="13">
        <v>51914</v>
      </c>
      <c r="BC14" s="3">
        <f t="shared" si="20"/>
        <v>37745</v>
      </c>
      <c r="BD14" s="5">
        <v>89659</v>
      </c>
      <c r="BE14" s="4">
        <f t="shared" si="21"/>
        <v>0.98762970632944858</v>
      </c>
      <c r="BF14" s="5">
        <v>163900</v>
      </c>
      <c r="BG14" s="13">
        <v>81154</v>
      </c>
      <c r="BH14" s="3">
        <f t="shared" si="22"/>
        <v>82167</v>
      </c>
      <c r="BI14" s="5">
        <v>163321</v>
      </c>
      <c r="BJ14" s="4">
        <f t="shared" si="23"/>
        <v>0.99646735814521048</v>
      </c>
    </row>
    <row r="15" spans="1:62" x14ac:dyDescent="0.3">
      <c r="A15" s="10">
        <v>6</v>
      </c>
      <c r="B15" s="2" t="s">
        <v>11</v>
      </c>
      <c r="C15" s="5">
        <v>284262</v>
      </c>
      <c r="D15" s="5">
        <v>209878</v>
      </c>
      <c r="E15" s="3">
        <f t="shared" si="0"/>
        <v>72335</v>
      </c>
      <c r="F15" s="5">
        <v>282213</v>
      </c>
      <c r="G15" s="4">
        <f t="shared" si="1"/>
        <v>0.99279186102961348</v>
      </c>
      <c r="H15" s="5">
        <v>290906</v>
      </c>
      <c r="I15" s="5">
        <v>210450</v>
      </c>
      <c r="J15" s="3">
        <f t="shared" si="2"/>
        <v>76326</v>
      </c>
      <c r="K15" s="5">
        <v>286776</v>
      </c>
      <c r="L15" s="4">
        <f t="shared" si="3"/>
        <v>0.98580297415660045</v>
      </c>
      <c r="M15" s="5">
        <v>490131</v>
      </c>
      <c r="N15" s="5">
        <v>339316</v>
      </c>
      <c r="O15" s="3">
        <f t="shared" si="4"/>
        <v>147285</v>
      </c>
      <c r="P15" s="5">
        <v>486601</v>
      </c>
      <c r="Q15" s="4">
        <f t="shared" si="5"/>
        <v>0.99279784384174841</v>
      </c>
      <c r="R15" s="5">
        <v>287010</v>
      </c>
      <c r="S15" s="5">
        <v>208590</v>
      </c>
      <c r="T15" s="3">
        <f t="shared" si="6"/>
        <v>74985</v>
      </c>
      <c r="U15" s="5">
        <v>283575</v>
      </c>
      <c r="V15" s="4">
        <f t="shared" si="7"/>
        <v>0.98803177589631019</v>
      </c>
      <c r="W15" s="5">
        <v>292338</v>
      </c>
      <c r="X15" s="5">
        <v>213093</v>
      </c>
      <c r="Y15" s="3">
        <f t="shared" si="8"/>
        <v>74393</v>
      </c>
      <c r="Z15" s="5">
        <v>287486</v>
      </c>
      <c r="AA15" s="4">
        <f t="shared" si="9"/>
        <v>0.9834027735019053</v>
      </c>
      <c r="AB15" s="5">
        <v>495688</v>
      </c>
      <c r="AC15" s="5">
        <v>349688</v>
      </c>
      <c r="AD15" s="3">
        <f t="shared" si="10"/>
        <v>142481</v>
      </c>
      <c r="AE15" s="5">
        <v>492169</v>
      </c>
      <c r="AF15" s="4">
        <f t="shared" si="11"/>
        <v>0.99290077629476603</v>
      </c>
      <c r="AG15" s="5">
        <v>292071</v>
      </c>
      <c r="AH15" s="13">
        <v>211009</v>
      </c>
      <c r="AI15" s="3">
        <f t="shared" si="12"/>
        <v>78361</v>
      </c>
      <c r="AJ15" s="5">
        <v>289370</v>
      </c>
      <c r="AK15" s="4">
        <f t="shared" si="13"/>
        <v>0.99075224859708766</v>
      </c>
      <c r="AL15" s="5">
        <v>298411</v>
      </c>
      <c r="AM15" s="13">
        <v>218221</v>
      </c>
      <c r="AN15" s="3">
        <f t="shared" si="14"/>
        <v>75048</v>
      </c>
      <c r="AO15" s="5">
        <v>293269</v>
      </c>
      <c r="AP15" s="4">
        <f t="shared" si="15"/>
        <v>0.98276873171565393</v>
      </c>
      <c r="AQ15" s="5">
        <v>502913</v>
      </c>
      <c r="AR15" s="13">
        <v>362088</v>
      </c>
      <c r="AS15" s="3">
        <f t="shared" si="16"/>
        <v>137744</v>
      </c>
      <c r="AT15" s="5">
        <v>499832</v>
      </c>
      <c r="AU15" s="4">
        <f t="shared" si="17"/>
        <v>0.99387369187115859</v>
      </c>
      <c r="AV15" s="5">
        <v>298012</v>
      </c>
      <c r="AW15" s="13">
        <v>222703</v>
      </c>
      <c r="AX15" s="3">
        <f t="shared" si="18"/>
        <v>71737</v>
      </c>
      <c r="AY15" s="5">
        <v>294440</v>
      </c>
      <c r="AZ15" s="4">
        <f t="shared" si="19"/>
        <v>0.9880139054803162</v>
      </c>
      <c r="BA15" s="5">
        <v>303376</v>
      </c>
      <c r="BB15" s="13">
        <v>227228</v>
      </c>
      <c r="BC15" s="3">
        <f t="shared" si="20"/>
        <v>71599</v>
      </c>
      <c r="BD15" s="5">
        <v>298827</v>
      </c>
      <c r="BE15" s="4">
        <f t="shared" si="21"/>
        <v>0.98500540583302565</v>
      </c>
      <c r="BF15" s="5">
        <v>511329</v>
      </c>
      <c r="BG15" s="13">
        <v>358006</v>
      </c>
      <c r="BH15" s="3">
        <f t="shared" si="22"/>
        <v>149701</v>
      </c>
      <c r="BI15" s="5">
        <v>507707</v>
      </c>
      <c r="BJ15" s="4">
        <f t="shared" si="23"/>
        <v>0.99291649798857484</v>
      </c>
    </row>
    <row r="16" spans="1:62" x14ac:dyDescent="0.3">
      <c r="A16" s="10">
        <v>7</v>
      </c>
      <c r="B16" s="2" t="s">
        <v>12</v>
      </c>
      <c r="C16" s="5">
        <v>430635</v>
      </c>
      <c r="D16" s="5">
        <v>319634</v>
      </c>
      <c r="E16" s="3">
        <f t="shared" si="0"/>
        <v>107231</v>
      </c>
      <c r="F16" s="5">
        <v>426865</v>
      </c>
      <c r="G16" s="4">
        <f t="shared" si="1"/>
        <v>0.99124548631671838</v>
      </c>
      <c r="H16" s="5">
        <v>441093</v>
      </c>
      <c r="I16" s="5">
        <v>317926</v>
      </c>
      <c r="J16" s="3">
        <f t="shared" si="2"/>
        <v>113348</v>
      </c>
      <c r="K16" s="5">
        <v>431274</v>
      </c>
      <c r="L16" s="4">
        <f t="shared" si="3"/>
        <v>0.97773938829226492</v>
      </c>
      <c r="M16" s="5">
        <v>754668</v>
      </c>
      <c r="N16" s="5">
        <v>551852</v>
      </c>
      <c r="O16" s="3">
        <f t="shared" si="4"/>
        <v>199886</v>
      </c>
      <c r="P16" s="5">
        <v>751738</v>
      </c>
      <c r="Q16" s="4">
        <f t="shared" si="5"/>
        <v>0.99611749802562188</v>
      </c>
      <c r="R16" s="5">
        <v>429537</v>
      </c>
      <c r="S16" s="5">
        <v>312302</v>
      </c>
      <c r="T16" s="3">
        <f t="shared" si="6"/>
        <v>111577</v>
      </c>
      <c r="U16" s="5">
        <v>423879</v>
      </c>
      <c r="V16" s="4">
        <f t="shared" si="7"/>
        <v>0.98682767724317111</v>
      </c>
      <c r="W16" s="5">
        <v>433887</v>
      </c>
      <c r="X16" s="5">
        <v>314243</v>
      </c>
      <c r="Y16" s="3">
        <f t="shared" si="8"/>
        <v>112655</v>
      </c>
      <c r="Z16" s="5">
        <v>426898</v>
      </c>
      <c r="AA16" s="4">
        <f t="shared" si="9"/>
        <v>0.98389211937670407</v>
      </c>
      <c r="AB16" s="5">
        <v>753330</v>
      </c>
      <c r="AC16" s="5">
        <v>552078</v>
      </c>
      <c r="AD16" s="3">
        <f t="shared" si="10"/>
        <v>200078</v>
      </c>
      <c r="AE16" s="5">
        <v>752156</v>
      </c>
      <c r="AF16" s="4">
        <f t="shared" si="11"/>
        <v>0.99844158602471689</v>
      </c>
      <c r="AG16" s="5">
        <v>431686</v>
      </c>
      <c r="AH16" s="13">
        <v>312341</v>
      </c>
      <c r="AI16" s="3">
        <f t="shared" si="12"/>
        <v>113817</v>
      </c>
      <c r="AJ16" s="5">
        <v>426158</v>
      </c>
      <c r="AK16" s="4">
        <f t="shared" si="13"/>
        <v>0.98719439592666891</v>
      </c>
      <c r="AL16" s="5">
        <v>438911</v>
      </c>
      <c r="AM16" s="13">
        <v>316492</v>
      </c>
      <c r="AN16" s="3">
        <f t="shared" si="14"/>
        <v>114085</v>
      </c>
      <c r="AO16" s="5">
        <v>430577</v>
      </c>
      <c r="AP16" s="4">
        <f t="shared" si="15"/>
        <v>0.98101209584631055</v>
      </c>
      <c r="AQ16" s="5">
        <v>759875</v>
      </c>
      <c r="AR16" s="13">
        <v>562999</v>
      </c>
      <c r="AS16" s="3">
        <f t="shared" si="16"/>
        <v>195703</v>
      </c>
      <c r="AT16" s="5">
        <v>758702</v>
      </c>
      <c r="AU16" s="4">
        <f t="shared" si="17"/>
        <v>0.99845632505346271</v>
      </c>
      <c r="AV16" s="5">
        <v>437477</v>
      </c>
      <c r="AW16" s="13">
        <v>322741</v>
      </c>
      <c r="AX16" s="3">
        <f t="shared" si="18"/>
        <v>108389</v>
      </c>
      <c r="AY16" s="5">
        <v>431130</v>
      </c>
      <c r="AZ16" s="4">
        <f t="shared" si="19"/>
        <v>0.98549180871222941</v>
      </c>
      <c r="BA16" s="5">
        <v>445887</v>
      </c>
      <c r="BB16" s="13">
        <v>327168</v>
      </c>
      <c r="BC16" s="3">
        <f t="shared" si="20"/>
        <v>109813</v>
      </c>
      <c r="BD16" s="5">
        <v>436981</v>
      </c>
      <c r="BE16" s="4">
        <f t="shared" si="21"/>
        <v>0.98002632954089264</v>
      </c>
      <c r="BF16" s="5">
        <v>770088</v>
      </c>
      <c r="BG16" s="13">
        <v>557582</v>
      </c>
      <c r="BH16" s="3">
        <f t="shared" si="22"/>
        <v>207460</v>
      </c>
      <c r="BI16" s="5">
        <v>765042</v>
      </c>
      <c r="BJ16" s="4">
        <f t="shared" si="23"/>
        <v>0.99344750210365573</v>
      </c>
    </row>
    <row r="17" spans="1:62" x14ac:dyDescent="0.3">
      <c r="A17" s="10">
        <v>8</v>
      </c>
      <c r="B17" s="2" t="s">
        <v>13</v>
      </c>
      <c r="C17" s="5">
        <v>302574</v>
      </c>
      <c r="D17" s="5">
        <v>211846</v>
      </c>
      <c r="E17" s="3">
        <f t="shared" si="0"/>
        <v>89316</v>
      </c>
      <c r="F17" s="5">
        <v>301162</v>
      </c>
      <c r="G17" s="4">
        <f t="shared" si="1"/>
        <v>0.99533337299305291</v>
      </c>
      <c r="H17" s="5">
        <v>314962</v>
      </c>
      <c r="I17" s="5">
        <v>217051</v>
      </c>
      <c r="J17" s="3">
        <f t="shared" si="2"/>
        <v>92357</v>
      </c>
      <c r="K17" s="5">
        <v>309408</v>
      </c>
      <c r="L17" s="4">
        <f t="shared" si="3"/>
        <v>0.9823661267073488</v>
      </c>
      <c r="M17" s="5">
        <v>695415</v>
      </c>
      <c r="N17" s="5">
        <v>442279</v>
      </c>
      <c r="O17" s="3">
        <f t="shared" si="4"/>
        <v>249502</v>
      </c>
      <c r="P17" s="5">
        <v>691781</v>
      </c>
      <c r="Q17" s="4">
        <f t="shared" si="5"/>
        <v>0.99477434337769532</v>
      </c>
      <c r="R17" s="5">
        <v>305324</v>
      </c>
      <c r="S17" s="5">
        <v>211986</v>
      </c>
      <c r="T17" s="3">
        <f t="shared" si="6"/>
        <v>90718</v>
      </c>
      <c r="U17" s="5">
        <v>302704</v>
      </c>
      <c r="V17" s="4">
        <f t="shared" si="7"/>
        <v>0.99141895167101179</v>
      </c>
      <c r="W17" s="5">
        <v>316716</v>
      </c>
      <c r="X17" s="5">
        <v>216353</v>
      </c>
      <c r="Y17" s="3">
        <f t="shared" si="8"/>
        <v>93462</v>
      </c>
      <c r="Z17" s="5">
        <v>309815</v>
      </c>
      <c r="AA17" s="4">
        <f t="shared" si="9"/>
        <v>0.9782107629548239</v>
      </c>
      <c r="AB17" s="5">
        <v>703511</v>
      </c>
      <c r="AC17" s="5">
        <v>445675</v>
      </c>
      <c r="AD17" s="3">
        <f t="shared" si="10"/>
        <v>254117</v>
      </c>
      <c r="AE17" s="5">
        <v>699792</v>
      </c>
      <c r="AF17" s="4">
        <f t="shared" si="11"/>
        <v>0.99471365764003694</v>
      </c>
      <c r="AG17" s="5">
        <v>311084</v>
      </c>
      <c r="AH17" s="13">
        <v>218094</v>
      </c>
      <c r="AI17" s="3">
        <f t="shared" si="12"/>
        <v>90898</v>
      </c>
      <c r="AJ17" s="5">
        <v>308992</v>
      </c>
      <c r="AK17" s="4">
        <f t="shared" si="13"/>
        <v>0.99327512826117703</v>
      </c>
      <c r="AL17" s="5">
        <v>323550</v>
      </c>
      <c r="AM17" s="13">
        <v>222745</v>
      </c>
      <c r="AN17" s="3">
        <f t="shared" si="14"/>
        <v>93548</v>
      </c>
      <c r="AO17" s="5">
        <v>316293</v>
      </c>
      <c r="AP17" s="4">
        <f t="shared" si="15"/>
        <v>0.97757070004636071</v>
      </c>
      <c r="AQ17" s="5">
        <v>714257</v>
      </c>
      <c r="AR17" s="13">
        <v>469924</v>
      </c>
      <c r="AS17" s="3">
        <f t="shared" si="16"/>
        <v>244294</v>
      </c>
      <c r="AT17" s="5">
        <v>714218</v>
      </c>
      <c r="AU17" s="4">
        <f t="shared" si="17"/>
        <v>0.99994539780499181</v>
      </c>
      <c r="AV17" s="5">
        <v>316308</v>
      </c>
      <c r="AW17" s="13">
        <v>227656</v>
      </c>
      <c r="AX17" s="3">
        <f t="shared" si="18"/>
        <v>87078</v>
      </c>
      <c r="AY17" s="5">
        <v>314734</v>
      </c>
      <c r="AZ17" s="4">
        <f t="shared" si="19"/>
        <v>0.99502383752544987</v>
      </c>
      <c r="BA17" s="5">
        <v>328067</v>
      </c>
      <c r="BB17" s="13">
        <v>233170</v>
      </c>
      <c r="BC17" s="3">
        <f t="shared" si="20"/>
        <v>88504</v>
      </c>
      <c r="BD17" s="5">
        <v>321674</v>
      </c>
      <c r="BE17" s="4">
        <f t="shared" si="21"/>
        <v>0.98051312689176295</v>
      </c>
      <c r="BF17" s="5">
        <v>726752</v>
      </c>
      <c r="BG17" s="13">
        <v>452470</v>
      </c>
      <c r="BH17" s="3">
        <f t="shared" si="22"/>
        <v>273154</v>
      </c>
      <c r="BI17" s="5">
        <v>725624</v>
      </c>
      <c r="BJ17" s="4">
        <f t="shared" si="23"/>
        <v>0.99844788868830081</v>
      </c>
    </row>
    <row r="18" spans="1:62" x14ac:dyDescent="0.3">
      <c r="A18" s="10">
        <v>9</v>
      </c>
      <c r="B18" s="2" t="s">
        <v>14</v>
      </c>
      <c r="C18" s="5">
        <v>921236</v>
      </c>
      <c r="D18" s="5">
        <v>463533</v>
      </c>
      <c r="E18" s="3">
        <f t="shared" si="0"/>
        <v>454349</v>
      </c>
      <c r="F18" s="5">
        <v>917882</v>
      </c>
      <c r="G18" s="4">
        <f t="shared" si="1"/>
        <v>0.99635923910919677</v>
      </c>
      <c r="H18" s="5">
        <v>943261</v>
      </c>
      <c r="I18" s="5">
        <v>483030</v>
      </c>
      <c r="J18" s="3">
        <f t="shared" si="2"/>
        <v>449519</v>
      </c>
      <c r="K18" s="5">
        <v>932549</v>
      </c>
      <c r="L18" s="4">
        <f t="shared" si="3"/>
        <v>0.98864365218110362</v>
      </c>
      <c r="M18" s="5">
        <v>1440086</v>
      </c>
      <c r="N18" s="5">
        <v>694090</v>
      </c>
      <c r="O18" s="3">
        <f t="shared" si="4"/>
        <v>736568</v>
      </c>
      <c r="P18" s="5">
        <v>1430658</v>
      </c>
      <c r="Q18" s="4">
        <f t="shared" si="5"/>
        <v>0.9934531687690874</v>
      </c>
      <c r="R18" s="5">
        <v>938677</v>
      </c>
      <c r="S18" s="5">
        <v>472567</v>
      </c>
      <c r="T18" s="3">
        <f t="shared" si="6"/>
        <v>455701</v>
      </c>
      <c r="U18" s="5">
        <v>928268</v>
      </c>
      <c r="V18" s="4">
        <f t="shared" si="7"/>
        <v>0.98891098855090731</v>
      </c>
      <c r="W18" s="5">
        <v>958009</v>
      </c>
      <c r="X18" s="5">
        <v>481180</v>
      </c>
      <c r="Y18" s="3">
        <f t="shared" si="8"/>
        <v>462188</v>
      </c>
      <c r="Z18" s="5">
        <v>943368</v>
      </c>
      <c r="AA18" s="4">
        <f t="shared" si="9"/>
        <v>0.98471726257268977</v>
      </c>
      <c r="AB18" s="5">
        <v>1463397</v>
      </c>
      <c r="AC18" s="5">
        <v>703758</v>
      </c>
      <c r="AD18" s="3">
        <f t="shared" si="10"/>
        <v>751175</v>
      </c>
      <c r="AE18" s="5">
        <v>1454933</v>
      </c>
      <c r="AF18" s="4">
        <f t="shared" si="11"/>
        <v>0.99421619697184016</v>
      </c>
      <c r="AG18" s="5">
        <v>959088</v>
      </c>
      <c r="AH18" s="13">
        <v>481971</v>
      </c>
      <c r="AI18" s="3">
        <f t="shared" si="12"/>
        <v>469108</v>
      </c>
      <c r="AJ18" s="5">
        <v>951079</v>
      </c>
      <c r="AK18" s="4">
        <f t="shared" si="13"/>
        <v>0.99164935855729608</v>
      </c>
      <c r="AL18" s="5">
        <v>980581</v>
      </c>
      <c r="AM18" s="13">
        <v>494021</v>
      </c>
      <c r="AN18" s="3">
        <f t="shared" si="14"/>
        <v>470105</v>
      </c>
      <c r="AO18" s="5">
        <v>964126</v>
      </c>
      <c r="AP18" s="4">
        <f t="shared" si="15"/>
        <v>0.98321913233073044</v>
      </c>
      <c r="AQ18" s="5">
        <v>1490329</v>
      </c>
      <c r="AR18" s="13">
        <v>732983</v>
      </c>
      <c r="AS18" s="3">
        <f t="shared" si="16"/>
        <v>753021</v>
      </c>
      <c r="AT18" s="5">
        <v>1486004</v>
      </c>
      <c r="AU18" s="4">
        <f t="shared" si="17"/>
        <v>0.99709795622308894</v>
      </c>
      <c r="AV18" s="5">
        <v>983291</v>
      </c>
      <c r="AW18" s="13">
        <v>509298</v>
      </c>
      <c r="AX18" s="3">
        <f t="shared" si="18"/>
        <v>464904</v>
      </c>
      <c r="AY18" s="5">
        <v>974202</v>
      </c>
      <c r="AZ18" s="4">
        <f t="shared" si="19"/>
        <v>0.99075655121423867</v>
      </c>
      <c r="BA18" s="5">
        <v>1002255</v>
      </c>
      <c r="BB18" s="13">
        <v>514513</v>
      </c>
      <c r="BC18" s="3">
        <f t="shared" si="20"/>
        <v>473173</v>
      </c>
      <c r="BD18" s="5">
        <v>987686</v>
      </c>
      <c r="BE18" s="4">
        <f t="shared" si="21"/>
        <v>0.98546377917795369</v>
      </c>
      <c r="BF18" s="5">
        <v>1522890</v>
      </c>
      <c r="BG18" s="13">
        <v>703619</v>
      </c>
      <c r="BH18" s="3">
        <f t="shared" si="22"/>
        <v>809237</v>
      </c>
      <c r="BI18" s="5">
        <v>1512856</v>
      </c>
      <c r="BJ18" s="4">
        <f t="shared" si="23"/>
        <v>0.99341121157798662</v>
      </c>
    </row>
    <row r="19" spans="1:62" x14ac:dyDescent="0.3">
      <c r="A19" s="11">
        <v>10</v>
      </c>
      <c r="B19" s="2" t="s">
        <v>15</v>
      </c>
      <c r="C19" s="5">
        <v>275195</v>
      </c>
      <c r="D19" s="5">
        <v>85464</v>
      </c>
      <c r="E19" s="3">
        <f t="shared" si="0"/>
        <v>185666</v>
      </c>
      <c r="F19" s="5">
        <v>271130</v>
      </c>
      <c r="G19" s="4">
        <f t="shared" si="1"/>
        <v>0.9852286560438962</v>
      </c>
      <c r="H19" s="5">
        <v>285702</v>
      </c>
      <c r="I19" s="5">
        <v>87608</v>
      </c>
      <c r="J19" s="3">
        <f t="shared" si="2"/>
        <v>189618</v>
      </c>
      <c r="K19" s="5">
        <v>277226</v>
      </c>
      <c r="L19" s="4">
        <f t="shared" si="3"/>
        <v>0.97033272430714523</v>
      </c>
      <c r="M19" s="5">
        <v>479092</v>
      </c>
      <c r="N19" s="5">
        <v>142398</v>
      </c>
      <c r="O19" s="3">
        <f t="shared" si="4"/>
        <v>327931</v>
      </c>
      <c r="P19" s="5">
        <v>470329</v>
      </c>
      <c r="Q19" s="4">
        <f t="shared" si="5"/>
        <v>0.98170914980838753</v>
      </c>
      <c r="R19" s="5">
        <v>279649</v>
      </c>
      <c r="S19" s="5">
        <v>86817</v>
      </c>
      <c r="T19" s="3">
        <f t="shared" si="6"/>
        <v>185551</v>
      </c>
      <c r="U19" s="5">
        <v>272368</v>
      </c>
      <c r="V19" s="4">
        <f t="shared" si="7"/>
        <v>0.97396379032286906</v>
      </c>
      <c r="W19" s="5">
        <v>287758</v>
      </c>
      <c r="X19" s="5">
        <v>88230</v>
      </c>
      <c r="Y19" s="3">
        <f t="shared" si="8"/>
        <v>188443</v>
      </c>
      <c r="Z19" s="5">
        <v>276673</v>
      </c>
      <c r="AA19" s="4">
        <f t="shared" si="9"/>
        <v>0.96147804752604615</v>
      </c>
      <c r="AB19" s="5">
        <v>485015</v>
      </c>
      <c r="AC19" s="5">
        <v>144558</v>
      </c>
      <c r="AD19" s="3">
        <f t="shared" si="10"/>
        <v>331904</v>
      </c>
      <c r="AE19" s="5">
        <v>476462</v>
      </c>
      <c r="AF19" s="4">
        <f t="shared" si="11"/>
        <v>0.9823654938507056</v>
      </c>
      <c r="AG19" s="5">
        <v>283525</v>
      </c>
      <c r="AH19" s="13">
        <v>92392</v>
      </c>
      <c r="AI19" s="3">
        <f t="shared" si="12"/>
        <v>184072</v>
      </c>
      <c r="AJ19" s="5">
        <v>276464</v>
      </c>
      <c r="AK19" s="4">
        <f t="shared" si="13"/>
        <v>0.97509567057578694</v>
      </c>
      <c r="AL19" s="5">
        <v>295027</v>
      </c>
      <c r="AM19" s="13">
        <v>93946</v>
      </c>
      <c r="AN19" s="3">
        <f t="shared" si="14"/>
        <v>188122</v>
      </c>
      <c r="AO19" s="5">
        <v>282068</v>
      </c>
      <c r="AP19" s="4">
        <f t="shared" si="15"/>
        <v>0.9560752066759991</v>
      </c>
      <c r="AQ19" s="5">
        <v>494059</v>
      </c>
      <c r="AR19" s="13">
        <v>152139</v>
      </c>
      <c r="AS19" s="3">
        <f t="shared" si="16"/>
        <v>335797</v>
      </c>
      <c r="AT19" s="5">
        <v>487936</v>
      </c>
      <c r="AU19" s="4">
        <f t="shared" si="17"/>
        <v>0.98760674332417786</v>
      </c>
      <c r="AV19" s="5">
        <v>287237</v>
      </c>
      <c r="AW19" s="13">
        <v>96990</v>
      </c>
      <c r="AX19" s="3">
        <f t="shared" si="18"/>
        <v>186037</v>
      </c>
      <c r="AY19" s="5">
        <v>283027</v>
      </c>
      <c r="AZ19" s="4">
        <f t="shared" si="19"/>
        <v>0.98534311387460527</v>
      </c>
      <c r="BA19" s="5">
        <v>298081</v>
      </c>
      <c r="BB19" s="13">
        <v>96192</v>
      </c>
      <c r="BC19" s="3">
        <f t="shared" si="20"/>
        <v>191268</v>
      </c>
      <c r="BD19" s="5">
        <v>287460</v>
      </c>
      <c r="BE19" s="4">
        <f t="shared" si="21"/>
        <v>0.96436874540812734</v>
      </c>
      <c r="BF19" s="5">
        <v>503654</v>
      </c>
      <c r="BG19" s="13">
        <v>138584</v>
      </c>
      <c r="BH19" s="3">
        <f t="shared" si="22"/>
        <v>355520</v>
      </c>
      <c r="BI19" s="5">
        <v>494104</v>
      </c>
      <c r="BJ19" s="4">
        <f t="shared" si="23"/>
        <v>0.98103857012949369</v>
      </c>
    </row>
    <row r="20" spans="1:62" x14ac:dyDescent="0.3">
      <c r="A20" s="11">
        <v>11</v>
      </c>
      <c r="B20" s="2" t="s">
        <v>16</v>
      </c>
      <c r="C20" s="5">
        <v>5644</v>
      </c>
      <c r="D20" s="5">
        <v>2256</v>
      </c>
      <c r="E20" s="3">
        <f t="shared" si="0"/>
        <v>3536</v>
      </c>
      <c r="F20" s="5">
        <v>5792</v>
      </c>
      <c r="G20" s="4">
        <f t="shared" si="1"/>
        <v>1.0262225372076541</v>
      </c>
      <c r="H20" s="5">
        <v>5914</v>
      </c>
      <c r="I20" s="5">
        <v>2313</v>
      </c>
      <c r="J20" s="3">
        <f t="shared" si="2"/>
        <v>3643</v>
      </c>
      <c r="K20" s="5">
        <v>5956</v>
      </c>
      <c r="L20" s="4">
        <f t="shared" si="3"/>
        <v>1.0071017923571186</v>
      </c>
      <c r="M20" s="5">
        <v>9037</v>
      </c>
      <c r="N20" s="5">
        <v>3567</v>
      </c>
      <c r="O20" s="3">
        <f t="shared" si="4"/>
        <v>5723</v>
      </c>
      <c r="P20" s="5">
        <v>9290</v>
      </c>
      <c r="Q20" s="4">
        <f t="shared" si="5"/>
        <v>1.0279960163771162</v>
      </c>
      <c r="R20" s="5">
        <v>5910</v>
      </c>
      <c r="S20" s="5">
        <v>2387</v>
      </c>
      <c r="T20" s="3">
        <f t="shared" si="6"/>
        <v>3640</v>
      </c>
      <c r="U20" s="5">
        <v>6027</v>
      </c>
      <c r="V20" s="4">
        <f t="shared" si="7"/>
        <v>1.0197969543147207</v>
      </c>
      <c r="W20" s="5">
        <v>6115</v>
      </c>
      <c r="X20" s="5">
        <v>2405</v>
      </c>
      <c r="Y20" s="3">
        <f t="shared" si="8"/>
        <v>3723</v>
      </c>
      <c r="Z20" s="5">
        <v>6128</v>
      </c>
      <c r="AA20" s="4">
        <f t="shared" si="9"/>
        <v>1.0021259198691741</v>
      </c>
      <c r="AB20" s="5">
        <v>9431</v>
      </c>
      <c r="AC20" s="5">
        <v>3773</v>
      </c>
      <c r="AD20" s="3">
        <f t="shared" si="10"/>
        <v>5787</v>
      </c>
      <c r="AE20" s="5">
        <v>9560</v>
      </c>
      <c r="AF20" s="4">
        <f t="shared" si="11"/>
        <v>1.0136782949846252</v>
      </c>
      <c r="AG20" s="5">
        <v>6099</v>
      </c>
      <c r="AH20" s="13">
        <v>2590</v>
      </c>
      <c r="AI20" s="3">
        <f t="shared" si="12"/>
        <v>3560</v>
      </c>
      <c r="AJ20" s="5">
        <v>6150</v>
      </c>
      <c r="AK20" s="4">
        <f t="shared" si="13"/>
        <v>1.0083620265617315</v>
      </c>
      <c r="AL20" s="5">
        <v>6250</v>
      </c>
      <c r="AM20" s="13">
        <v>2798</v>
      </c>
      <c r="AN20" s="3">
        <f t="shared" si="14"/>
        <v>3434</v>
      </c>
      <c r="AO20" s="5">
        <v>6232</v>
      </c>
      <c r="AP20" s="4">
        <f t="shared" si="15"/>
        <v>0.99712000000000001</v>
      </c>
      <c r="AQ20" s="5">
        <v>9632</v>
      </c>
      <c r="AR20" s="13">
        <v>3775</v>
      </c>
      <c r="AS20" s="3">
        <f t="shared" si="16"/>
        <v>5970</v>
      </c>
      <c r="AT20" s="5">
        <v>9745</v>
      </c>
      <c r="AU20" s="4">
        <f t="shared" si="17"/>
        <v>1.0117317275747508</v>
      </c>
      <c r="AV20" s="5">
        <v>6297</v>
      </c>
      <c r="AW20" s="13">
        <v>2627</v>
      </c>
      <c r="AX20" s="3">
        <f t="shared" si="18"/>
        <v>3623</v>
      </c>
      <c r="AY20" s="5">
        <v>6250</v>
      </c>
      <c r="AZ20" s="4">
        <f t="shared" si="19"/>
        <v>0.99253612831507065</v>
      </c>
      <c r="BA20" s="5">
        <v>6366</v>
      </c>
      <c r="BB20" s="13">
        <v>2564</v>
      </c>
      <c r="BC20" s="3">
        <f t="shared" si="20"/>
        <v>3728</v>
      </c>
      <c r="BD20" s="5">
        <v>6292</v>
      </c>
      <c r="BE20" s="4">
        <f t="shared" si="21"/>
        <v>0.98837574615142942</v>
      </c>
      <c r="BF20" s="5">
        <v>9853</v>
      </c>
      <c r="BG20" s="13">
        <v>3537</v>
      </c>
      <c r="BH20" s="3">
        <f t="shared" si="22"/>
        <v>6361</v>
      </c>
      <c r="BI20" s="5">
        <v>9898</v>
      </c>
      <c r="BJ20" s="4">
        <f t="shared" si="23"/>
        <v>1.0045671369126155</v>
      </c>
    </row>
    <row r="21" spans="1:62" x14ac:dyDescent="0.3">
      <c r="A21" s="11">
        <v>12</v>
      </c>
      <c r="B21" s="2" t="s">
        <v>17</v>
      </c>
      <c r="C21" s="5">
        <v>9571</v>
      </c>
      <c r="D21" s="5">
        <v>2217</v>
      </c>
      <c r="E21" s="3">
        <f t="shared" si="0"/>
        <v>7624</v>
      </c>
      <c r="F21" s="5">
        <v>9841</v>
      </c>
      <c r="G21" s="4">
        <f t="shared" si="1"/>
        <v>1.0282102183679867</v>
      </c>
      <c r="H21" s="5">
        <v>10057</v>
      </c>
      <c r="I21" s="5">
        <v>2717</v>
      </c>
      <c r="J21" s="3">
        <f t="shared" si="2"/>
        <v>7266</v>
      </c>
      <c r="K21" s="5">
        <v>9983</v>
      </c>
      <c r="L21" s="4">
        <f t="shared" si="3"/>
        <v>0.99264194093666103</v>
      </c>
      <c r="M21" s="5">
        <v>12982</v>
      </c>
      <c r="N21" s="5">
        <v>3444</v>
      </c>
      <c r="O21" s="3">
        <f t="shared" si="4"/>
        <v>9815</v>
      </c>
      <c r="P21" s="5">
        <v>13259</v>
      </c>
      <c r="Q21" s="4">
        <f t="shared" si="5"/>
        <v>1.0213372361731627</v>
      </c>
      <c r="R21" s="5">
        <v>9811</v>
      </c>
      <c r="S21" s="5">
        <v>2714</v>
      </c>
      <c r="T21" s="3">
        <f t="shared" si="6"/>
        <v>7332</v>
      </c>
      <c r="U21" s="5">
        <v>10046</v>
      </c>
      <c r="V21" s="4">
        <f t="shared" si="7"/>
        <v>1.0239527061461624</v>
      </c>
      <c r="W21" s="5">
        <v>10152</v>
      </c>
      <c r="X21" s="5">
        <v>2791</v>
      </c>
      <c r="Y21" s="3">
        <f t="shared" si="8"/>
        <v>7389</v>
      </c>
      <c r="Z21" s="5">
        <v>10180</v>
      </c>
      <c r="AA21" s="4">
        <f t="shared" si="9"/>
        <v>1.0027580772261624</v>
      </c>
      <c r="AB21" s="5">
        <v>13231</v>
      </c>
      <c r="AC21" s="5">
        <v>3844</v>
      </c>
      <c r="AD21" s="3">
        <f t="shared" si="10"/>
        <v>9739</v>
      </c>
      <c r="AE21" s="5">
        <v>13583</v>
      </c>
      <c r="AF21" s="4">
        <f t="shared" si="11"/>
        <v>1.0266041871362708</v>
      </c>
      <c r="AG21" s="5">
        <v>10040</v>
      </c>
      <c r="AH21" s="13">
        <v>2854</v>
      </c>
      <c r="AI21" s="3">
        <f t="shared" si="12"/>
        <v>7399</v>
      </c>
      <c r="AJ21" s="5">
        <v>10253</v>
      </c>
      <c r="AK21" s="4">
        <f t="shared" si="13"/>
        <v>1.0212151394422311</v>
      </c>
      <c r="AL21" s="5">
        <v>10211</v>
      </c>
      <c r="AM21" s="13">
        <v>2879</v>
      </c>
      <c r="AN21" s="3">
        <f t="shared" si="14"/>
        <v>7526</v>
      </c>
      <c r="AO21" s="5">
        <v>10405</v>
      </c>
      <c r="AP21" s="4">
        <f t="shared" si="15"/>
        <v>1.0189991185975908</v>
      </c>
      <c r="AQ21" s="5">
        <v>13473</v>
      </c>
      <c r="AR21" s="13">
        <v>3814</v>
      </c>
      <c r="AS21" s="3">
        <f t="shared" si="16"/>
        <v>10098</v>
      </c>
      <c r="AT21" s="5">
        <v>13912</v>
      </c>
      <c r="AU21" s="4">
        <f t="shared" si="17"/>
        <v>1.032583685890299</v>
      </c>
      <c r="AV21" s="5">
        <v>10213</v>
      </c>
      <c r="AW21" s="13">
        <v>2804</v>
      </c>
      <c r="AX21" s="3">
        <f t="shared" si="18"/>
        <v>7710</v>
      </c>
      <c r="AY21" s="5">
        <v>10514</v>
      </c>
      <c r="AZ21" s="4">
        <f t="shared" si="19"/>
        <v>1.0294722412611377</v>
      </c>
      <c r="BA21" s="5">
        <v>10449</v>
      </c>
      <c r="BB21" s="13">
        <v>2838</v>
      </c>
      <c r="BC21" s="3">
        <f t="shared" si="20"/>
        <v>7818</v>
      </c>
      <c r="BD21" s="5">
        <v>10656</v>
      </c>
      <c r="BE21" s="4">
        <f t="shared" si="21"/>
        <v>1.0198105081826012</v>
      </c>
      <c r="BF21" s="5">
        <v>13925</v>
      </c>
      <c r="BG21" s="13">
        <v>3448</v>
      </c>
      <c r="BH21" s="3">
        <f t="shared" si="22"/>
        <v>10908</v>
      </c>
      <c r="BI21" s="5">
        <v>14356</v>
      </c>
      <c r="BJ21" s="4">
        <f t="shared" si="23"/>
        <v>1.0309515260323159</v>
      </c>
    </row>
    <row r="22" spans="1:62" x14ac:dyDescent="0.3">
      <c r="A22" s="11">
        <v>13</v>
      </c>
      <c r="B22" s="2" t="s">
        <v>18</v>
      </c>
      <c r="C22" s="5">
        <v>6159</v>
      </c>
      <c r="D22" s="5">
        <v>2028</v>
      </c>
      <c r="E22" s="3">
        <f t="shared" si="0"/>
        <v>4203</v>
      </c>
      <c r="F22" s="5">
        <v>6231</v>
      </c>
      <c r="G22" s="4">
        <f t="shared" si="1"/>
        <v>1.0116902094495859</v>
      </c>
      <c r="H22" s="5">
        <v>6265</v>
      </c>
      <c r="I22" s="5">
        <v>1943</v>
      </c>
      <c r="J22" s="3">
        <f t="shared" si="2"/>
        <v>4374</v>
      </c>
      <c r="K22" s="5">
        <v>6317</v>
      </c>
      <c r="L22" s="4">
        <f t="shared" si="3"/>
        <v>1.0083000798084596</v>
      </c>
      <c r="M22" s="5">
        <v>7537</v>
      </c>
      <c r="N22" s="5">
        <v>2508</v>
      </c>
      <c r="O22" s="3">
        <f t="shared" si="4"/>
        <v>5109</v>
      </c>
      <c r="P22" s="5">
        <v>7617</v>
      </c>
      <c r="Q22" s="4">
        <f t="shared" si="5"/>
        <v>1.0106143027729866</v>
      </c>
      <c r="R22" s="5">
        <v>6306</v>
      </c>
      <c r="S22" s="5">
        <v>1958</v>
      </c>
      <c r="T22" s="3">
        <f t="shared" si="6"/>
        <v>4411</v>
      </c>
      <c r="U22" s="5">
        <v>6369</v>
      </c>
      <c r="V22" s="4">
        <f t="shared" si="7"/>
        <v>1.0099904852521409</v>
      </c>
      <c r="W22" s="5">
        <v>6435</v>
      </c>
      <c r="X22" s="5">
        <v>2042</v>
      </c>
      <c r="Y22" s="3">
        <f t="shared" si="8"/>
        <v>4401</v>
      </c>
      <c r="Z22" s="5">
        <v>6443</v>
      </c>
      <c r="AA22" s="4">
        <f t="shared" si="9"/>
        <v>1.0012432012432013</v>
      </c>
      <c r="AB22" s="5">
        <v>7668</v>
      </c>
      <c r="AC22" s="5">
        <v>2427</v>
      </c>
      <c r="AD22" s="3">
        <f t="shared" si="10"/>
        <v>5300</v>
      </c>
      <c r="AE22" s="5">
        <v>7727</v>
      </c>
      <c r="AF22" s="4">
        <f t="shared" si="11"/>
        <v>1.0076943140323422</v>
      </c>
      <c r="AG22" s="5">
        <v>6422</v>
      </c>
      <c r="AH22" s="13">
        <v>2052</v>
      </c>
      <c r="AI22" s="3">
        <f t="shared" si="12"/>
        <v>4410</v>
      </c>
      <c r="AJ22" s="5">
        <v>6462</v>
      </c>
      <c r="AK22" s="4">
        <f t="shared" si="13"/>
        <v>1.0062285892245406</v>
      </c>
      <c r="AL22" s="5">
        <v>6508</v>
      </c>
      <c r="AM22" s="13">
        <v>2080</v>
      </c>
      <c r="AN22" s="3">
        <f t="shared" si="14"/>
        <v>4431</v>
      </c>
      <c r="AO22" s="5">
        <v>6511</v>
      </c>
      <c r="AP22" s="4">
        <f t="shared" si="15"/>
        <v>1.000460971112477</v>
      </c>
      <c r="AQ22" s="5">
        <v>7781</v>
      </c>
      <c r="AR22" s="13">
        <v>2416</v>
      </c>
      <c r="AS22" s="3">
        <f t="shared" si="16"/>
        <v>5404</v>
      </c>
      <c r="AT22" s="5">
        <v>7820</v>
      </c>
      <c r="AU22" s="4">
        <f t="shared" si="17"/>
        <v>1.0050122092276057</v>
      </c>
      <c r="AV22" s="5">
        <v>6603</v>
      </c>
      <c r="AW22" s="13">
        <v>2044</v>
      </c>
      <c r="AX22" s="3">
        <f t="shared" si="18"/>
        <v>4481</v>
      </c>
      <c r="AY22" s="5">
        <v>6525</v>
      </c>
      <c r="AZ22" s="4">
        <f t="shared" si="19"/>
        <v>0.98818718764198088</v>
      </c>
      <c r="BA22" s="5">
        <v>6608</v>
      </c>
      <c r="BB22" s="13">
        <v>2145</v>
      </c>
      <c r="BC22" s="3">
        <f t="shared" si="20"/>
        <v>4421</v>
      </c>
      <c r="BD22" s="5">
        <v>6566</v>
      </c>
      <c r="BE22" s="4">
        <f t="shared" si="21"/>
        <v>0.99364406779661019</v>
      </c>
      <c r="BF22" s="5">
        <v>7906</v>
      </c>
      <c r="BG22" s="13">
        <v>2348</v>
      </c>
      <c r="BH22" s="3">
        <f t="shared" si="22"/>
        <v>5615</v>
      </c>
      <c r="BI22" s="5">
        <v>7963</v>
      </c>
      <c r="BJ22" s="4">
        <f t="shared" si="23"/>
        <v>1.0072097141411587</v>
      </c>
    </row>
    <row r="23" spans="1:62" x14ac:dyDescent="0.3">
      <c r="A23" s="11">
        <v>14</v>
      </c>
      <c r="B23" s="2" t="s">
        <v>19</v>
      </c>
      <c r="C23" s="5">
        <v>8800</v>
      </c>
      <c r="D23" s="5">
        <v>1119</v>
      </c>
      <c r="E23" s="3">
        <f t="shared" si="0"/>
        <v>7376</v>
      </c>
      <c r="F23" s="5">
        <v>8495</v>
      </c>
      <c r="G23" s="4">
        <f t="shared" si="1"/>
        <v>0.96534090909090908</v>
      </c>
      <c r="H23" s="5">
        <v>8763</v>
      </c>
      <c r="I23" s="5">
        <v>1518</v>
      </c>
      <c r="J23" s="3">
        <f t="shared" si="2"/>
        <v>7010</v>
      </c>
      <c r="K23" s="5">
        <v>8528</v>
      </c>
      <c r="L23" s="4">
        <f t="shared" si="3"/>
        <v>0.97318269998858842</v>
      </c>
      <c r="M23" s="5">
        <v>10654</v>
      </c>
      <c r="N23" s="5">
        <v>2385</v>
      </c>
      <c r="O23" s="3">
        <f t="shared" si="4"/>
        <v>8131</v>
      </c>
      <c r="P23" s="5">
        <v>10516</v>
      </c>
      <c r="Q23" s="4">
        <f t="shared" si="5"/>
        <v>0.98704711845316317</v>
      </c>
      <c r="R23" s="5">
        <v>8621</v>
      </c>
      <c r="S23" s="5">
        <v>1989</v>
      </c>
      <c r="T23" s="3">
        <f t="shared" si="6"/>
        <v>6407</v>
      </c>
      <c r="U23" s="5">
        <v>8396</v>
      </c>
      <c r="V23" s="4">
        <f t="shared" si="7"/>
        <v>0.97390093956617563</v>
      </c>
      <c r="W23" s="5">
        <v>8774</v>
      </c>
      <c r="X23" s="5">
        <v>2156</v>
      </c>
      <c r="Y23" s="3">
        <f t="shared" si="8"/>
        <v>6297</v>
      </c>
      <c r="Z23" s="5">
        <v>8453</v>
      </c>
      <c r="AA23" s="4">
        <f t="shared" si="9"/>
        <v>0.96341463414634143</v>
      </c>
      <c r="AB23" s="5">
        <v>10734</v>
      </c>
      <c r="AC23" s="5">
        <v>2905</v>
      </c>
      <c r="AD23" s="3">
        <f t="shared" si="10"/>
        <v>7679</v>
      </c>
      <c r="AE23" s="5">
        <v>10584</v>
      </c>
      <c r="AF23" s="4">
        <f t="shared" si="11"/>
        <v>0.98602571268865291</v>
      </c>
      <c r="AG23" s="5">
        <v>8589</v>
      </c>
      <c r="AH23" s="13">
        <v>2323</v>
      </c>
      <c r="AI23" s="3">
        <f t="shared" si="12"/>
        <v>6127</v>
      </c>
      <c r="AJ23" s="5">
        <v>8450</v>
      </c>
      <c r="AK23" s="4">
        <f t="shared" si="13"/>
        <v>0.98381650948888111</v>
      </c>
      <c r="AL23" s="5">
        <v>8660</v>
      </c>
      <c r="AM23" s="13">
        <v>2574</v>
      </c>
      <c r="AN23" s="3">
        <f t="shared" si="14"/>
        <v>5951</v>
      </c>
      <c r="AO23" s="5">
        <v>8525</v>
      </c>
      <c r="AP23" s="4">
        <f t="shared" si="15"/>
        <v>0.98441108545034639</v>
      </c>
      <c r="AQ23" s="5">
        <v>10698</v>
      </c>
      <c r="AR23" s="13">
        <v>3107</v>
      </c>
      <c r="AS23" s="3">
        <f t="shared" si="16"/>
        <v>7650</v>
      </c>
      <c r="AT23" s="5">
        <v>10757</v>
      </c>
      <c r="AU23" s="4">
        <f t="shared" si="17"/>
        <v>1.0055150495419705</v>
      </c>
      <c r="AV23" s="5">
        <v>8445</v>
      </c>
      <c r="AW23" s="13">
        <v>2420</v>
      </c>
      <c r="AX23" s="3">
        <f t="shared" si="18"/>
        <v>6087</v>
      </c>
      <c r="AY23" s="5">
        <v>8507</v>
      </c>
      <c r="AZ23" s="4">
        <f t="shared" si="19"/>
        <v>1.0073416222616933</v>
      </c>
      <c r="BA23" s="5">
        <v>8623</v>
      </c>
      <c r="BB23" s="13">
        <v>2549</v>
      </c>
      <c r="BC23" s="3">
        <f t="shared" si="20"/>
        <v>6005</v>
      </c>
      <c r="BD23" s="5">
        <v>8554</v>
      </c>
      <c r="BE23" s="4">
        <f t="shared" si="21"/>
        <v>0.99199814449727475</v>
      </c>
      <c r="BF23" s="5">
        <v>11023</v>
      </c>
      <c r="BG23" s="13">
        <v>2978</v>
      </c>
      <c r="BH23" s="3">
        <f t="shared" si="22"/>
        <v>7966</v>
      </c>
      <c r="BI23" s="5">
        <v>10944</v>
      </c>
      <c r="BJ23" s="4">
        <f t="shared" si="23"/>
        <v>0.99283316701442437</v>
      </c>
    </row>
    <row r="24" spans="1:62" x14ac:dyDescent="0.3">
      <c r="A24" s="11">
        <v>15</v>
      </c>
      <c r="B24" s="2" t="s">
        <v>20</v>
      </c>
      <c r="C24" s="5">
        <v>5637</v>
      </c>
      <c r="D24" s="5">
        <v>1404</v>
      </c>
      <c r="E24" s="3">
        <f t="shared" si="0"/>
        <v>4157</v>
      </c>
      <c r="F24" s="5">
        <v>5561</v>
      </c>
      <c r="G24" s="4">
        <f t="shared" si="1"/>
        <v>0.98651765123292534</v>
      </c>
      <c r="H24" s="5">
        <v>5804</v>
      </c>
      <c r="I24" s="5">
        <v>1385</v>
      </c>
      <c r="J24" s="3">
        <f t="shared" si="2"/>
        <v>4251</v>
      </c>
      <c r="K24" s="5">
        <v>5636</v>
      </c>
      <c r="L24" s="4">
        <f t="shared" si="3"/>
        <v>0.9710544452101999</v>
      </c>
      <c r="M24" s="5">
        <v>6771</v>
      </c>
      <c r="N24" s="5">
        <v>1663</v>
      </c>
      <c r="O24" s="3">
        <f t="shared" si="4"/>
        <v>4963</v>
      </c>
      <c r="P24" s="5">
        <v>6626</v>
      </c>
      <c r="Q24" s="4">
        <f t="shared" si="5"/>
        <v>0.97858514251956874</v>
      </c>
      <c r="R24" s="5">
        <v>5821</v>
      </c>
      <c r="S24" s="5">
        <v>1583</v>
      </c>
      <c r="T24" s="3">
        <f t="shared" si="6"/>
        <v>4152</v>
      </c>
      <c r="U24" s="5">
        <v>5735</v>
      </c>
      <c r="V24" s="4">
        <f t="shared" si="7"/>
        <v>0.9852259062016836</v>
      </c>
      <c r="W24" s="5">
        <v>5925</v>
      </c>
      <c r="X24" s="5">
        <v>1407</v>
      </c>
      <c r="Y24" s="3">
        <f t="shared" si="8"/>
        <v>4403</v>
      </c>
      <c r="Z24" s="5">
        <v>5810</v>
      </c>
      <c r="AA24" s="4">
        <f t="shared" si="9"/>
        <v>0.98059071729957803</v>
      </c>
      <c r="AB24" s="5">
        <v>6940</v>
      </c>
      <c r="AC24" s="5">
        <v>1577</v>
      </c>
      <c r="AD24" s="3">
        <f t="shared" si="10"/>
        <v>5241</v>
      </c>
      <c r="AE24" s="5">
        <v>6818</v>
      </c>
      <c r="AF24" s="4">
        <f t="shared" si="11"/>
        <v>0.98242074927953893</v>
      </c>
      <c r="AG24" s="5">
        <v>6076</v>
      </c>
      <c r="AH24" s="13">
        <v>1332</v>
      </c>
      <c r="AI24" s="3">
        <f t="shared" si="12"/>
        <v>4623</v>
      </c>
      <c r="AJ24" s="5">
        <v>5955</v>
      </c>
      <c r="AK24" s="4">
        <f t="shared" si="13"/>
        <v>0.98008558262014478</v>
      </c>
      <c r="AL24" s="5">
        <v>6181</v>
      </c>
      <c r="AM24" s="13">
        <v>1579</v>
      </c>
      <c r="AN24" s="3">
        <f t="shared" si="14"/>
        <v>4441</v>
      </c>
      <c r="AO24" s="5">
        <v>6020</v>
      </c>
      <c r="AP24" s="4">
        <f t="shared" si="15"/>
        <v>0.97395243488108718</v>
      </c>
      <c r="AQ24" s="5">
        <v>6974</v>
      </c>
      <c r="AR24" s="13">
        <v>1440</v>
      </c>
      <c r="AS24" s="3">
        <f t="shared" si="16"/>
        <v>5471</v>
      </c>
      <c r="AT24" s="5">
        <v>6911</v>
      </c>
      <c r="AU24" s="4">
        <f t="shared" si="17"/>
        <v>0.99096644680240897</v>
      </c>
      <c r="AV24" s="5">
        <v>6124</v>
      </c>
      <c r="AW24" s="13">
        <v>1347</v>
      </c>
      <c r="AX24" s="3">
        <f t="shared" si="18"/>
        <v>4700</v>
      </c>
      <c r="AY24" s="5">
        <v>6047</v>
      </c>
      <c r="AZ24" s="4">
        <f t="shared" si="19"/>
        <v>0.98742651861528408</v>
      </c>
      <c r="BA24" s="5">
        <v>6202</v>
      </c>
      <c r="BB24" s="13">
        <v>1409</v>
      </c>
      <c r="BC24" s="3">
        <f t="shared" si="20"/>
        <v>4730</v>
      </c>
      <c r="BD24" s="5">
        <v>6139</v>
      </c>
      <c r="BE24" s="4">
        <f t="shared" si="21"/>
        <v>0.98984198645598198</v>
      </c>
      <c r="BF24" s="5">
        <v>7084</v>
      </c>
      <c r="BG24" s="13">
        <v>1486</v>
      </c>
      <c r="BH24" s="3">
        <f t="shared" si="22"/>
        <v>5556</v>
      </c>
      <c r="BI24" s="5">
        <v>7042</v>
      </c>
      <c r="BJ24" s="4">
        <f t="shared" si="23"/>
        <v>0.99407114624505932</v>
      </c>
    </row>
    <row r="25" spans="1:62" x14ac:dyDescent="0.3">
      <c r="A25" s="11">
        <v>16</v>
      </c>
      <c r="B25" s="2" t="s">
        <v>21</v>
      </c>
      <c r="C25" s="5">
        <v>18284</v>
      </c>
      <c r="D25" s="5">
        <v>8422</v>
      </c>
      <c r="E25" s="3">
        <f t="shared" si="0"/>
        <v>10073</v>
      </c>
      <c r="F25" s="5">
        <v>18495</v>
      </c>
      <c r="G25" s="4">
        <f t="shared" si="1"/>
        <v>1.0115401443885363</v>
      </c>
      <c r="H25" s="5">
        <v>18682</v>
      </c>
      <c r="I25" s="5">
        <v>8511</v>
      </c>
      <c r="J25" s="3">
        <f t="shared" si="2"/>
        <v>10338</v>
      </c>
      <c r="K25" s="5">
        <v>18849</v>
      </c>
      <c r="L25" s="4">
        <f t="shared" si="3"/>
        <v>1.0089390857509903</v>
      </c>
      <c r="M25" s="5">
        <v>25970</v>
      </c>
      <c r="N25" s="5">
        <v>11784</v>
      </c>
      <c r="O25" s="3">
        <f t="shared" si="4"/>
        <v>14497</v>
      </c>
      <c r="P25" s="5">
        <v>26281</v>
      </c>
      <c r="Q25" s="4">
        <f t="shared" si="5"/>
        <v>1.0119753561802078</v>
      </c>
      <c r="R25" s="5">
        <v>18895</v>
      </c>
      <c r="S25" s="5">
        <v>8642</v>
      </c>
      <c r="T25" s="3">
        <f t="shared" si="6"/>
        <v>10407</v>
      </c>
      <c r="U25" s="5">
        <v>19049</v>
      </c>
      <c r="V25" s="4">
        <f t="shared" si="7"/>
        <v>1.0081503043133104</v>
      </c>
      <c r="W25" s="5">
        <v>19436</v>
      </c>
      <c r="X25" s="5">
        <v>8570</v>
      </c>
      <c r="Y25" s="3">
        <f t="shared" si="8"/>
        <v>10769</v>
      </c>
      <c r="Z25" s="5">
        <v>19339</v>
      </c>
      <c r="AA25" s="4">
        <f t="shared" si="9"/>
        <v>0.99500926116484878</v>
      </c>
      <c r="AB25" s="5">
        <v>26661</v>
      </c>
      <c r="AC25" s="5">
        <v>12257</v>
      </c>
      <c r="AD25" s="3">
        <f t="shared" si="10"/>
        <v>14626</v>
      </c>
      <c r="AE25" s="5">
        <v>26883</v>
      </c>
      <c r="AF25" s="4">
        <f t="shared" si="11"/>
        <v>1.0083267694385056</v>
      </c>
      <c r="AG25" s="5">
        <v>19440</v>
      </c>
      <c r="AH25" s="13">
        <v>9030</v>
      </c>
      <c r="AI25" s="3">
        <f t="shared" si="12"/>
        <v>10487</v>
      </c>
      <c r="AJ25" s="5">
        <v>19517</v>
      </c>
      <c r="AK25" s="4">
        <f t="shared" si="13"/>
        <v>1.0039609053497942</v>
      </c>
      <c r="AL25" s="5">
        <v>19709</v>
      </c>
      <c r="AM25" s="13">
        <v>9159</v>
      </c>
      <c r="AN25" s="3">
        <f t="shared" si="14"/>
        <v>10534</v>
      </c>
      <c r="AO25" s="5">
        <v>19693</v>
      </c>
      <c r="AP25" s="4">
        <f t="shared" si="15"/>
        <v>0.99918818813739918</v>
      </c>
      <c r="AQ25" s="5">
        <v>27081</v>
      </c>
      <c r="AR25" s="13">
        <v>11814</v>
      </c>
      <c r="AS25" s="3">
        <f t="shared" si="16"/>
        <v>15504</v>
      </c>
      <c r="AT25" s="5">
        <v>27318</v>
      </c>
      <c r="AU25" s="4">
        <f t="shared" si="17"/>
        <v>1.0087515232081534</v>
      </c>
      <c r="AV25" s="5">
        <v>19795</v>
      </c>
      <c r="AW25" s="13">
        <v>9085</v>
      </c>
      <c r="AX25" s="3">
        <f t="shared" si="18"/>
        <v>10841</v>
      </c>
      <c r="AY25" s="5">
        <v>19926</v>
      </c>
      <c r="AZ25" s="4">
        <f t="shared" si="19"/>
        <v>1.0066178327860571</v>
      </c>
      <c r="BA25" s="5">
        <v>20139</v>
      </c>
      <c r="BB25" s="13">
        <v>9051</v>
      </c>
      <c r="BC25" s="3">
        <f t="shared" si="20"/>
        <v>11100</v>
      </c>
      <c r="BD25" s="5">
        <v>20151</v>
      </c>
      <c r="BE25" s="4">
        <f t="shared" si="21"/>
        <v>1.0005958587814687</v>
      </c>
      <c r="BF25" s="5">
        <v>27639</v>
      </c>
      <c r="BG25" s="13">
        <v>10870</v>
      </c>
      <c r="BH25" s="3">
        <f t="shared" si="22"/>
        <v>16942</v>
      </c>
      <c r="BI25" s="5">
        <v>27812</v>
      </c>
      <c r="BJ25" s="4">
        <f t="shared" si="23"/>
        <v>1.0062592713195122</v>
      </c>
    </row>
    <row r="26" spans="1:62" x14ac:dyDescent="0.3">
      <c r="A26" s="11">
        <v>17</v>
      </c>
      <c r="B26" s="2" t="s">
        <v>22</v>
      </c>
      <c r="C26" s="5">
        <v>13535</v>
      </c>
      <c r="D26" s="5">
        <v>4378</v>
      </c>
      <c r="E26" s="3">
        <f t="shared" si="0"/>
        <v>8946</v>
      </c>
      <c r="F26" s="5">
        <v>13324</v>
      </c>
      <c r="G26" s="4">
        <f t="shared" si="1"/>
        <v>0.98441078684891026</v>
      </c>
      <c r="H26" s="5">
        <v>13884</v>
      </c>
      <c r="I26" s="5">
        <v>4506</v>
      </c>
      <c r="J26" s="3">
        <f t="shared" si="2"/>
        <v>9413</v>
      </c>
      <c r="K26" s="5">
        <v>13919</v>
      </c>
      <c r="L26" s="4">
        <f t="shared" si="3"/>
        <v>1.0025208873523481</v>
      </c>
      <c r="M26" s="5">
        <v>25920</v>
      </c>
      <c r="N26" s="5">
        <v>8579</v>
      </c>
      <c r="O26" s="3">
        <f t="shared" si="4"/>
        <v>17770</v>
      </c>
      <c r="P26" s="5">
        <v>26349</v>
      </c>
      <c r="Q26" s="4">
        <f t="shared" si="5"/>
        <v>1.016550925925926</v>
      </c>
      <c r="R26" s="5">
        <v>13869</v>
      </c>
      <c r="S26" s="5">
        <v>4590</v>
      </c>
      <c r="T26" s="3">
        <f t="shared" si="6"/>
        <v>9534</v>
      </c>
      <c r="U26" s="5">
        <v>14124</v>
      </c>
      <c r="V26" s="4">
        <f t="shared" si="7"/>
        <v>1.0183863292234481</v>
      </c>
      <c r="W26" s="5">
        <v>14474</v>
      </c>
      <c r="X26" s="5">
        <v>4858</v>
      </c>
      <c r="Y26" s="3">
        <f t="shared" si="8"/>
        <v>9577</v>
      </c>
      <c r="Z26" s="5">
        <v>14435</v>
      </c>
      <c r="AA26" s="4">
        <f t="shared" si="9"/>
        <v>0.99730551333425455</v>
      </c>
      <c r="AB26" s="5">
        <v>27035</v>
      </c>
      <c r="AC26" s="5">
        <v>8868</v>
      </c>
      <c r="AD26" s="3">
        <f t="shared" si="10"/>
        <v>18161</v>
      </c>
      <c r="AE26" s="5">
        <v>27029</v>
      </c>
      <c r="AF26" s="4">
        <f t="shared" si="11"/>
        <v>0.99977806547068615</v>
      </c>
      <c r="AG26" s="5">
        <v>14053</v>
      </c>
      <c r="AH26" s="13">
        <v>4668</v>
      </c>
      <c r="AI26" s="3">
        <f t="shared" si="12"/>
        <v>9397</v>
      </c>
      <c r="AJ26" s="5">
        <v>14065</v>
      </c>
      <c r="AK26" s="4">
        <f t="shared" si="13"/>
        <v>1.000853910197111</v>
      </c>
      <c r="AL26" s="5">
        <v>14372</v>
      </c>
      <c r="AM26" s="13">
        <v>5108</v>
      </c>
      <c r="AN26" s="3">
        <f>AO26-AM26</f>
        <v>9122</v>
      </c>
      <c r="AO26" s="5">
        <v>14230</v>
      </c>
      <c r="AP26" s="4">
        <f t="shared" si="15"/>
        <v>0.99011967715001392</v>
      </c>
      <c r="AQ26" s="5">
        <v>27267</v>
      </c>
      <c r="AR26" s="13">
        <v>7999</v>
      </c>
      <c r="AS26" s="3">
        <f>AT26-AR26</f>
        <v>19139</v>
      </c>
      <c r="AT26" s="5">
        <v>27138</v>
      </c>
      <c r="AU26" s="4">
        <f t="shared" si="17"/>
        <v>0.99526900649136318</v>
      </c>
      <c r="AV26" s="5">
        <v>14007</v>
      </c>
      <c r="AW26" s="13">
        <v>4606</v>
      </c>
      <c r="AX26" s="3">
        <f>AY26-AW26</f>
        <v>9390</v>
      </c>
      <c r="AY26" s="5">
        <v>13996</v>
      </c>
      <c r="AZ26" s="4">
        <f t="shared" si="19"/>
        <v>0.99921467837509814</v>
      </c>
      <c r="BA26" s="5">
        <v>14398</v>
      </c>
      <c r="BB26" s="13">
        <v>4794</v>
      </c>
      <c r="BC26" s="3">
        <f>BD26-BB26</f>
        <v>9301</v>
      </c>
      <c r="BD26" s="5">
        <v>14095</v>
      </c>
      <c r="BE26" s="4">
        <f t="shared" si="21"/>
        <v>0.97895541047367685</v>
      </c>
      <c r="BF26" s="5">
        <v>27339</v>
      </c>
      <c r="BG26" s="13">
        <v>7953</v>
      </c>
      <c r="BH26" s="3">
        <f>BI26-BG26</f>
        <v>19210</v>
      </c>
      <c r="BI26" s="5">
        <v>27163</v>
      </c>
      <c r="BJ26" s="4">
        <f t="shared" si="23"/>
        <v>0.99356231025275243</v>
      </c>
    </row>
    <row r="27" spans="1:62" x14ac:dyDescent="0.3">
      <c r="A27" s="11">
        <v>18</v>
      </c>
      <c r="B27" s="2" t="s">
        <v>23</v>
      </c>
      <c r="C27" s="5">
        <v>120482</v>
      </c>
      <c r="D27" s="5">
        <v>46591</v>
      </c>
      <c r="E27" s="3">
        <f t="shared" si="0"/>
        <v>74125</v>
      </c>
      <c r="F27" s="5">
        <v>120716</v>
      </c>
      <c r="G27" s="4">
        <f t="shared" si="1"/>
        <v>1.0019421988346806</v>
      </c>
      <c r="H27" s="5">
        <v>123649</v>
      </c>
      <c r="I27" s="5">
        <v>47422</v>
      </c>
      <c r="J27" s="3">
        <f t="shared" si="2"/>
        <v>75158</v>
      </c>
      <c r="K27" s="5">
        <v>122580</v>
      </c>
      <c r="L27" s="4">
        <f t="shared" si="3"/>
        <v>0.99135456008540301</v>
      </c>
      <c r="M27" s="5">
        <v>182121</v>
      </c>
      <c r="N27" s="5">
        <v>66210</v>
      </c>
      <c r="O27" s="3">
        <f t="shared" si="4"/>
        <v>115220</v>
      </c>
      <c r="P27" s="5">
        <v>181430</v>
      </c>
      <c r="Q27" s="4">
        <f t="shared" si="5"/>
        <v>0.99620581920810891</v>
      </c>
      <c r="R27" s="5">
        <v>122848</v>
      </c>
      <c r="S27" s="5">
        <v>48325</v>
      </c>
      <c r="T27" s="3">
        <f t="shared" si="6"/>
        <v>73663</v>
      </c>
      <c r="U27" s="5">
        <v>121988</v>
      </c>
      <c r="V27" s="4">
        <f t="shared" si="7"/>
        <v>0.99299947903099761</v>
      </c>
      <c r="W27" s="5">
        <v>125846</v>
      </c>
      <c r="X27" s="5">
        <v>48383</v>
      </c>
      <c r="Y27" s="3">
        <f t="shared" si="8"/>
        <v>74965</v>
      </c>
      <c r="Z27" s="5">
        <v>123348</v>
      </c>
      <c r="AA27" s="4">
        <f t="shared" si="9"/>
        <v>0.98015034248208133</v>
      </c>
      <c r="AB27" s="5">
        <v>184102</v>
      </c>
      <c r="AC27" s="5">
        <v>69810</v>
      </c>
      <c r="AD27" s="3">
        <f t="shared" si="10"/>
        <v>113382</v>
      </c>
      <c r="AE27" s="5">
        <v>183192</v>
      </c>
      <c r="AF27" s="4">
        <f t="shared" si="11"/>
        <v>0.99505708791865377</v>
      </c>
      <c r="AG27" s="5">
        <v>124176</v>
      </c>
      <c r="AH27" s="13">
        <v>50263</v>
      </c>
      <c r="AI27" s="3">
        <f t="shared" si="12"/>
        <v>72911</v>
      </c>
      <c r="AJ27" s="5">
        <v>123174</v>
      </c>
      <c r="AK27" s="4">
        <f t="shared" si="13"/>
        <v>0.99193080788558174</v>
      </c>
      <c r="AL27" s="5">
        <v>126536</v>
      </c>
      <c r="AM27" s="13">
        <v>50064</v>
      </c>
      <c r="AN27" s="3">
        <f t="shared" ref="AN27:AN33" si="24">AO27-AM27</f>
        <v>74049</v>
      </c>
      <c r="AO27" s="5">
        <v>124113</v>
      </c>
      <c r="AP27" s="4">
        <f>AO27/AL27</f>
        <v>0.98085129923500036</v>
      </c>
      <c r="AQ27" s="5">
        <v>184835</v>
      </c>
      <c r="AR27" s="13">
        <v>69453</v>
      </c>
      <c r="AS27" s="3">
        <f t="shared" ref="AS27:AS33" si="25">AT27-AR27</f>
        <v>115269</v>
      </c>
      <c r="AT27" s="5">
        <v>184722</v>
      </c>
      <c r="AU27" s="4">
        <f>AT27/AQ27</f>
        <v>0.9993886439256634</v>
      </c>
      <c r="AV27" s="5">
        <v>124975</v>
      </c>
      <c r="AW27" s="13">
        <v>50585</v>
      </c>
      <c r="AX27" s="3">
        <f t="shared" ref="AX27:AX33" si="26">AY27-AW27</f>
        <v>73651</v>
      </c>
      <c r="AY27" s="5">
        <v>124236</v>
      </c>
      <c r="AZ27" s="4">
        <f>AY27/AV27</f>
        <v>0.99408681736347271</v>
      </c>
      <c r="BA27" s="5">
        <v>127493</v>
      </c>
      <c r="BB27" s="13">
        <v>51094</v>
      </c>
      <c r="BC27" s="3">
        <f t="shared" ref="BC27:BC33" si="27">BD27-BB27</f>
        <v>74278</v>
      </c>
      <c r="BD27" s="5">
        <v>125372</v>
      </c>
      <c r="BE27" s="4">
        <f>BD27/BA27</f>
        <v>0.98336379252194239</v>
      </c>
      <c r="BF27" s="5">
        <v>187636</v>
      </c>
      <c r="BG27" s="13">
        <v>64548</v>
      </c>
      <c r="BH27" s="3">
        <f t="shared" si="22"/>
        <v>121636</v>
      </c>
      <c r="BI27" s="5">
        <v>186184</v>
      </c>
      <c r="BJ27" s="4">
        <f>BI27/BF27</f>
        <v>0.99226161291010251</v>
      </c>
    </row>
    <row r="28" spans="1:62" x14ac:dyDescent="0.3">
      <c r="A28" s="11">
        <v>19</v>
      </c>
      <c r="B28" s="2" t="s">
        <v>24</v>
      </c>
      <c r="C28" s="5">
        <v>382208</v>
      </c>
      <c r="D28" s="5">
        <v>214873</v>
      </c>
      <c r="E28" s="3">
        <f t="shared" si="0"/>
        <v>164963</v>
      </c>
      <c r="F28" s="5">
        <v>379836</v>
      </c>
      <c r="G28" s="4">
        <f t="shared" si="1"/>
        <v>0.99379395512391155</v>
      </c>
      <c r="H28" s="5">
        <v>389922</v>
      </c>
      <c r="I28" s="5">
        <v>217609</v>
      </c>
      <c r="J28" s="3">
        <f t="shared" si="2"/>
        <v>167364</v>
      </c>
      <c r="K28" s="5">
        <v>384973</v>
      </c>
      <c r="L28" s="4">
        <f t="shared" si="3"/>
        <v>0.9873077179538472</v>
      </c>
      <c r="M28" s="5">
        <v>650891</v>
      </c>
      <c r="N28" s="5">
        <v>344704</v>
      </c>
      <c r="O28" s="3">
        <f t="shared" si="4"/>
        <v>302142</v>
      </c>
      <c r="P28" s="5">
        <v>646846</v>
      </c>
      <c r="Q28" s="4">
        <f t="shared" si="5"/>
        <v>0.99378544180208361</v>
      </c>
      <c r="R28" s="5">
        <v>389073</v>
      </c>
      <c r="S28" s="5">
        <v>217213</v>
      </c>
      <c r="T28" s="3">
        <f t="shared" si="6"/>
        <v>169127</v>
      </c>
      <c r="U28" s="5">
        <v>386340</v>
      </c>
      <c r="V28" s="4">
        <f t="shared" si="7"/>
        <v>0.99297561126061173</v>
      </c>
      <c r="W28" s="5">
        <v>397763</v>
      </c>
      <c r="X28" s="5">
        <v>220500</v>
      </c>
      <c r="Y28" s="3">
        <f t="shared" si="8"/>
        <v>171213</v>
      </c>
      <c r="Z28" s="5">
        <v>391713</v>
      </c>
      <c r="AA28" s="4">
        <f t="shared" si="9"/>
        <v>0.98478993772673673</v>
      </c>
      <c r="AB28" s="5">
        <v>660941</v>
      </c>
      <c r="AC28" s="5">
        <v>364638</v>
      </c>
      <c r="AD28" s="3">
        <f t="shared" si="10"/>
        <v>292837</v>
      </c>
      <c r="AE28" s="5">
        <v>657475</v>
      </c>
      <c r="AF28" s="4">
        <f t="shared" si="11"/>
        <v>0.99475596157599544</v>
      </c>
      <c r="AG28" s="5">
        <v>397417</v>
      </c>
      <c r="AH28" s="13">
        <v>231013</v>
      </c>
      <c r="AI28" s="3">
        <f t="shared" si="12"/>
        <v>163432</v>
      </c>
      <c r="AJ28" s="5">
        <v>394445</v>
      </c>
      <c r="AK28" s="4">
        <f t="shared" si="13"/>
        <v>0.99252170893545066</v>
      </c>
      <c r="AL28" s="5">
        <v>405895</v>
      </c>
      <c r="AM28" s="13">
        <v>230315</v>
      </c>
      <c r="AN28" s="3">
        <f t="shared" si="24"/>
        <v>168534</v>
      </c>
      <c r="AO28" s="5">
        <v>398849</v>
      </c>
      <c r="AP28" s="4">
        <f t="shared" ref="AP28:AP33" si="28">AO28/AL28</f>
        <v>0.98264083075672282</v>
      </c>
      <c r="AQ28" s="5">
        <v>670091</v>
      </c>
      <c r="AR28" s="13">
        <v>371128</v>
      </c>
      <c r="AS28" s="3">
        <f t="shared" si="25"/>
        <v>296002</v>
      </c>
      <c r="AT28" s="5">
        <v>667130</v>
      </c>
      <c r="AU28" s="4">
        <f t="shared" ref="AU28:AU33" si="29">AT28/AQ28</f>
        <v>0.99558119718068139</v>
      </c>
      <c r="AV28" s="5">
        <v>405395</v>
      </c>
      <c r="AW28" s="13">
        <v>235703</v>
      </c>
      <c r="AX28" s="3">
        <f t="shared" si="26"/>
        <v>166515</v>
      </c>
      <c r="AY28" s="5">
        <v>402218</v>
      </c>
      <c r="AZ28" s="4">
        <f t="shared" ref="AZ28:AZ33" si="30">AY28/AV28</f>
        <v>0.99216319885543724</v>
      </c>
      <c r="BA28" s="5">
        <v>412255</v>
      </c>
      <c r="BB28" s="13">
        <v>239006</v>
      </c>
      <c r="BC28" s="3">
        <f t="shared" si="27"/>
        <v>167754</v>
      </c>
      <c r="BD28" s="5">
        <v>406760</v>
      </c>
      <c r="BE28" s="4">
        <f t="shared" ref="BE28:BE33" si="31">BD28/BA28</f>
        <v>0.98667087118409724</v>
      </c>
      <c r="BF28" s="5">
        <v>680839</v>
      </c>
      <c r="BG28" s="13">
        <v>356688</v>
      </c>
      <c r="BH28" s="3">
        <f t="shared" si="22"/>
        <v>320795</v>
      </c>
      <c r="BI28" s="5">
        <v>677483</v>
      </c>
      <c r="BJ28" s="4">
        <f t="shared" si="23"/>
        <v>0.99507078766051882</v>
      </c>
    </row>
    <row r="29" spans="1:62" x14ac:dyDescent="0.3">
      <c r="A29" s="11">
        <v>20</v>
      </c>
      <c r="B29" s="2" t="s">
        <v>25</v>
      </c>
      <c r="C29" s="5">
        <v>127557</v>
      </c>
      <c r="D29" s="5">
        <v>60994</v>
      </c>
      <c r="E29" s="3">
        <f t="shared" si="0"/>
        <v>65994</v>
      </c>
      <c r="F29" s="5">
        <v>126988</v>
      </c>
      <c r="G29" s="4">
        <f t="shared" si="1"/>
        <v>0.99553924912000125</v>
      </c>
      <c r="H29" s="5">
        <v>129829</v>
      </c>
      <c r="I29" s="5">
        <v>61108</v>
      </c>
      <c r="J29" s="3">
        <f t="shared" si="2"/>
        <v>67263</v>
      </c>
      <c r="K29" s="5">
        <v>128371</v>
      </c>
      <c r="L29" s="4">
        <f t="shared" si="3"/>
        <v>0.98876984340940777</v>
      </c>
      <c r="M29" s="5">
        <v>176637</v>
      </c>
      <c r="N29" s="5">
        <v>80593</v>
      </c>
      <c r="O29" s="3">
        <f t="shared" si="4"/>
        <v>93981</v>
      </c>
      <c r="P29" s="5">
        <v>174574</v>
      </c>
      <c r="Q29" s="4">
        <f t="shared" si="5"/>
        <v>0.98832068026517661</v>
      </c>
      <c r="R29" s="5">
        <v>129740</v>
      </c>
      <c r="S29" s="5">
        <v>61440</v>
      </c>
      <c r="T29" s="3">
        <f t="shared" si="6"/>
        <v>67089</v>
      </c>
      <c r="U29" s="5">
        <v>128529</v>
      </c>
      <c r="V29" s="4">
        <f t="shared" si="7"/>
        <v>0.99066594727917379</v>
      </c>
      <c r="W29" s="5">
        <v>131766</v>
      </c>
      <c r="X29" s="5">
        <v>62506</v>
      </c>
      <c r="Y29" s="3">
        <f t="shared" si="8"/>
        <v>67110</v>
      </c>
      <c r="Z29" s="5">
        <v>129616</v>
      </c>
      <c r="AA29" s="4">
        <f t="shared" si="9"/>
        <v>0.98368319596861098</v>
      </c>
      <c r="AB29" s="5">
        <v>178083</v>
      </c>
      <c r="AC29" s="5">
        <v>82781</v>
      </c>
      <c r="AD29" s="3">
        <f t="shared" si="10"/>
        <v>93897</v>
      </c>
      <c r="AE29" s="5">
        <v>176678</v>
      </c>
      <c r="AF29" s="4">
        <f t="shared" si="11"/>
        <v>0.99211042042193809</v>
      </c>
      <c r="AG29" s="5">
        <v>131984</v>
      </c>
      <c r="AH29" s="13">
        <v>62385</v>
      </c>
      <c r="AI29" s="3">
        <f t="shared" si="12"/>
        <v>68247</v>
      </c>
      <c r="AJ29" s="5">
        <v>130632</v>
      </c>
      <c r="AK29" s="4">
        <f t="shared" si="13"/>
        <v>0.9897563341011032</v>
      </c>
      <c r="AL29" s="5">
        <v>133676</v>
      </c>
      <c r="AM29" s="13">
        <v>63270</v>
      </c>
      <c r="AN29" s="3">
        <f t="shared" si="24"/>
        <v>68591</v>
      </c>
      <c r="AO29" s="5">
        <v>131861</v>
      </c>
      <c r="AP29" s="4">
        <f t="shared" si="28"/>
        <v>0.98642239444627311</v>
      </c>
      <c r="AQ29" s="5">
        <v>179800</v>
      </c>
      <c r="AR29" s="13">
        <v>85365</v>
      </c>
      <c r="AS29" s="3">
        <f t="shared" si="25"/>
        <v>93910</v>
      </c>
      <c r="AT29" s="5">
        <v>179275</v>
      </c>
      <c r="AU29" s="4">
        <f t="shared" si="29"/>
        <v>0.99708008898776423</v>
      </c>
      <c r="AV29" s="5">
        <v>134089</v>
      </c>
      <c r="AW29" s="13">
        <v>66132</v>
      </c>
      <c r="AX29" s="3">
        <f t="shared" si="26"/>
        <v>66911</v>
      </c>
      <c r="AY29" s="5">
        <v>133043</v>
      </c>
      <c r="AZ29" s="4">
        <f t="shared" si="30"/>
        <v>0.99219921097181718</v>
      </c>
      <c r="BA29" s="5">
        <v>136058</v>
      </c>
      <c r="BB29" s="13">
        <v>65827</v>
      </c>
      <c r="BC29" s="3">
        <f t="shared" si="27"/>
        <v>68612</v>
      </c>
      <c r="BD29" s="5">
        <v>134439</v>
      </c>
      <c r="BE29" s="4">
        <f t="shared" si="31"/>
        <v>0.98810066295256438</v>
      </c>
      <c r="BF29" s="5">
        <v>182623</v>
      </c>
      <c r="BG29" s="13">
        <v>81275</v>
      </c>
      <c r="BH29" s="3">
        <f t="shared" si="22"/>
        <v>100492</v>
      </c>
      <c r="BI29" s="5">
        <v>181767</v>
      </c>
      <c r="BJ29" s="4">
        <f t="shared" si="23"/>
        <v>0.9953127481204449</v>
      </c>
    </row>
    <row r="30" spans="1:62" x14ac:dyDescent="0.3">
      <c r="A30" s="11">
        <v>21</v>
      </c>
      <c r="B30" s="2" t="s">
        <v>26</v>
      </c>
      <c r="C30" s="5">
        <v>166894</v>
      </c>
      <c r="D30" s="5">
        <v>70584</v>
      </c>
      <c r="E30" s="3">
        <f t="shared" si="0"/>
        <v>95641</v>
      </c>
      <c r="F30" s="5">
        <v>166225</v>
      </c>
      <c r="G30" s="4">
        <f t="shared" si="1"/>
        <v>0.99599146763814161</v>
      </c>
      <c r="H30" s="5">
        <v>172134</v>
      </c>
      <c r="I30" s="5">
        <v>72351</v>
      </c>
      <c r="J30" s="3">
        <f t="shared" si="2"/>
        <v>97080</v>
      </c>
      <c r="K30" s="5">
        <v>169431</v>
      </c>
      <c r="L30" s="4">
        <f t="shared" si="3"/>
        <v>0.98429711736205516</v>
      </c>
      <c r="M30" s="5">
        <v>289249</v>
      </c>
      <c r="N30" s="5">
        <v>114031</v>
      </c>
      <c r="O30" s="3">
        <f t="shared" si="4"/>
        <v>172722</v>
      </c>
      <c r="P30" s="5">
        <v>286753</v>
      </c>
      <c r="Q30" s="4">
        <f t="shared" si="5"/>
        <v>0.99137075668368779</v>
      </c>
      <c r="R30" s="5">
        <v>169142</v>
      </c>
      <c r="S30" s="5">
        <v>71958</v>
      </c>
      <c r="T30" s="3">
        <f t="shared" si="6"/>
        <v>95694</v>
      </c>
      <c r="U30" s="5">
        <v>167652</v>
      </c>
      <c r="V30" s="4">
        <f t="shared" si="7"/>
        <v>0.99119083373733308</v>
      </c>
      <c r="W30" s="5">
        <v>174259</v>
      </c>
      <c r="X30" s="5">
        <v>75576</v>
      </c>
      <c r="Y30" s="3">
        <f t="shared" si="8"/>
        <v>95217</v>
      </c>
      <c r="Z30" s="5">
        <v>170793</v>
      </c>
      <c r="AA30" s="4">
        <f t="shared" si="9"/>
        <v>0.98011006605110784</v>
      </c>
      <c r="AB30" s="5">
        <v>293307</v>
      </c>
      <c r="AC30" s="5">
        <v>117925</v>
      </c>
      <c r="AD30" s="3">
        <f t="shared" si="10"/>
        <v>173241</v>
      </c>
      <c r="AE30" s="5">
        <v>291166</v>
      </c>
      <c r="AF30" s="4">
        <f t="shared" si="11"/>
        <v>0.99270048106591391</v>
      </c>
      <c r="AG30" s="5">
        <v>172053</v>
      </c>
      <c r="AH30" s="13">
        <v>76028</v>
      </c>
      <c r="AI30" s="3">
        <f t="shared" si="12"/>
        <v>94767</v>
      </c>
      <c r="AJ30" s="5">
        <v>170795</v>
      </c>
      <c r="AK30" s="4">
        <f t="shared" si="13"/>
        <v>0.99268829953560822</v>
      </c>
      <c r="AL30" s="5">
        <v>176835</v>
      </c>
      <c r="AM30" s="13">
        <v>76948</v>
      </c>
      <c r="AN30" s="3">
        <f t="shared" si="24"/>
        <v>96575</v>
      </c>
      <c r="AO30" s="5">
        <v>173523</v>
      </c>
      <c r="AP30" s="4">
        <f t="shared" si="28"/>
        <v>0.98127067605394858</v>
      </c>
      <c r="AQ30" s="5">
        <v>297651</v>
      </c>
      <c r="AR30" s="13">
        <v>121216</v>
      </c>
      <c r="AS30" s="3">
        <f t="shared" si="25"/>
        <v>175622</v>
      </c>
      <c r="AT30" s="5">
        <v>296838</v>
      </c>
      <c r="AU30" s="4">
        <f t="shared" si="29"/>
        <v>0.99726861324168237</v>
      </c>
      <c r="AV30" s="5">
        <v>175428</v>
      </c>
      <c r="AW30" s="13">
        <v>77235</v>
      </c>
      <c r="AX30" s="3">
        <f t="shared" si="26"/>
        <v>96853</v>
      </c>
      <c r="AY30" s="5">
        <v>174088</v>
      </c>
      <c r="AZ30" s="4">
        <f t="shared" si="30"/>
        <v>0.99236153863693366</v>
      </c>
      <c r="BA30" s="5">
        <v>179593</v>
      </c>
      <c r="BB30" s="13">
        <v>77262</v>
      </c>
      <c r="BC30" s="3">
        <f t="shared" si="27"/>
        <v>98807</v>
      </c>
      <c r="BD30" s="5">
        <v>176069</v>
      </c>
      <c r="BE30" s="4">
        <f t="shared" si="31"/>
        <v>0.98037785437071601</v>
      </c>
      <c r="BF30" s="5">
        <v>302258</v>
      </c>
      <c r="BG30" s="13">
        <v>115033</v>
      </c>
      <c r="BH30" s="3">
        <f t="shared" si="22"/>
        <v>185101</v>
      </c>
      <c r="BI30" s="5">
        <v>300134</v>
      </c>
      <c r="BJ30" s="4">
        <f t="shared" si="23"/>
        <v>0.99297289070926165</v>
      </c>
    </row>
    <row r="31" spans="1:62" x14ac:dyDescent="0.3">
      <c r="A31" s="11">
        <v>22</v>
      </c>
      <c r="B31" s="2" t="s">
        <v>43</v>
      </c>
      <c r="C31" s="5">
        <v>74510</v>
      </c>
      <c r="D31" s="5">
        <v>38780</v>
      </c>
      <c r="E31" s="3">
        <f t="shared" si="0"/>
        <v>35554</v>
      </c>
      <c r="F31" s="5">
        <v>74334</v>
      </c>
      <c r="G31" s="4">
        <f t="shared" si="1"/>
        <v>0.99763790095289218</v>
      </c>
      <c r="H31" s="5">
        <v>76671</v>
      </c>
      <c r="I31" s="5">
        <v>40184</v>
      </c>
      <c r="J31" s="3">
        <f t="shared" si="2"/>
        <v>35330</v>
      </c>
      <c r="K31" s="5">
        <v>75514</v>
      </c>
      <c r="L31" s="4">
        <f t="shared" si="3"/>
        <v>0.98490954859073188</v>
      </c>
      <c r="M31" s="5">
        <v>133745</v>
      </c>
      <c r="N31" s="5">
        <v>63834</v>
      </c>
      <c r="O31" s="3">
        <f t="shared" si="4"/>
        <v>70019</v>
      </c>
      <c r="P31" s="5">
        <v>133853</v>
      </c>
      <c r="Q31" s="4">
        <f t="shared" si="5"/>
        <v>1.0008075068226849</v>
      </c>
      <c r="R31" s="5">
        <v>74974</v>
      </c>
      <c r="S31" s="5">
        <v>40619</v>
      </c>
      <c r="T31" s="3">
        <f t="shared" si="6"/>
        <v>34163</v>
      </c>
      <c r="U31" s="5">
        <v>74782</v>
      </c>
      <c r="V31" s="4">
        <f t="shared" si="7"/>
        <v>0.99743911222557158</v>
      </c>
      <c r="W31" s="5">
        <v>77586</v>
      </c>
      <c r="X31" s="5">
        <v>41258</v>
      </c>
      <c r="Y31" s="3">
        <f t="shared" si="8"/>
        <v>34639</v>
      </c>
      <c r="Z31" s="5">
        <v>75897</v>
      </c>
      <c r="AA31" s="4">
        <f t="shared" si="9"/>
        <v>0.97823060861495625</v>
      </c>
      <c r="AB31" s="5">
        <v>135116</v>
      </c>
      <c r="AC31" s="5">
        <v>65113</v>
      </c>
      <c r="AD31" s="3">
        <f t="shared" si="10"/>
        <v>70316</v>
      </c>
      <c r="AE31" s="5">
        <v>135429</v>
      </c>
      <c r="AF31" s="4">
        <f t="shared" si="11"/>
        <v>1.0023165280203676</v>
      </c>
      <c r="AG31" s="5">
        <v>76230</v>
      </c>
      <c r="AH31" s="13">
        <v>42365</v>
      </c>
      <c r="AI31" s="3">
        <f t="shared" si="12"/>
        <v>33312</v>
      </c>
      <c r="AJ31" s="5">
        <v>75677</v>
      </c>
      <c r="AK31" s="4">
        <f t="shared" si="13"/>
        <v>0.99274563820018369</v>
      </c>
      <c r="AL31" s="5">
        <v>77611</v>
      </c>
      <c r="AM31" s="13">
        <v>43322</v>
      </c>
      <c r="AN31" s="3">
        <f t="shared" si="24"/>
        <v>33395</v>
      </c>
      <c r="AO31" s="5">
        <v>76717</v>
      </c>
      <c r="AP31" s="4">
        <f t="shared" si="28"/>
        <v>0.98848101428921153</v>
      </c>
      <c r="AQ31" s="5">
        <v>136879</v>
      </c>
      <c r="AR31" s="13">
        <v>68362</v>
      </c>
      <c r="AS31" s="3">
        <f t="shared" si="25"/>
        <v>69319</v>
      </c>
      <c r="AT31" s="5">
        <v>137681</v>
      </c>
      <c r="AU31" s="4">
        <f t="shared" si="29"/>
        <v>1.0058591895031379</v>
      </c>
      <c r="AV31" s="5">
        <v>76719</v>
      </c>
      <c r="AW31" s="13">
        <v>43563</v>
      </c>
      <c r="AX31" s="3">
        <f t="shared" si="26"/>
        <v>33136</v>
      </c>
      <c r="AY31" s="5">
        <v>76699</v>
      </c>
      <c r="AZ31" s="4">
        <f t="shared" si="30"/>
        <v>0.9997393083851458</v>
      </c>
      <c r="BA31" s="5">
        <v>78720</v>
      </c>
      <c r="BB31" s="13">
        <v>44413</v>
      </c>
      <c r="BC31" s="3">
        <f t="shared" si="27"/>
        <v>33796</v>
      </c>
      <c r="BD31" s="5">
        <v>78209</v>
      </c>
      <c r="BE31" s="4">
        <f t="shared" si="31"/>
        <v>0.99350863821138213</v>
      </c>
      <c r="BF31" s="5">
        <v>140181</v>
      </c>
      <c r="BG31" s="13">
        <v>64233</v>
      </c>
      <c r="BH31" s="3">
        <f t="shared" si="22"/>
        <v>76266</v>
      </c>
      <c r="BI31" s="5">
        <v>140499</v>
      </c>
      <c r="BJ31" s="4">
        <f t="shared" si="23"/>
        <v>1.0022684957305199</v>
      </c>
    </row>
    <row r="32" spans="1:62" x14ac:dyDescent="0.3">
      <c r="A32" s="11">
        <v>23</v>
      </c>
      <c r="B32" s="2" t="s">
        <v>27</v>
      </c>
      <c r="C32" s="5">
        <v>203718</v>
      </c>
      <c r="D32" s="5">
        <v>109052</v>
      </c>
      <c r="E32" s="3">
        <f t="shared" si="0"/>
        <v>93783</v>
      </c>
      <c r="F32" s="5">
        <v>202835</v>
      </c>
      <c r="G32" s="4">
        <f t="shared" si="1"/>
        <v>0.99566557692496493</v>
      </c>
      <c r="H32" s="5">
        <v>210874</v>
      </c>
      <c r="I32" s="5">
        <v>112569</v>
      </c>
      <c r="J32" s="3">
        <f t="shared" si="2"/>
        <v>94717</v>
      </c>
      <c r="K32" s="5">
        <v>207286</v>
      </c>
      <c r="L32" s="4">
        <f t="shared" si="3"/>
        <v>0.98298510010717299</v>
      </c>
      <c r="M32" s="5">
        <v>441035</v>
      </c>
      <c r="N32" s="5">
        <v>205434</v>
      </c>
      <c r="O32" s="3">
        <f t="shared" si="4"/>
        <v>233999</v>
      </c>
      <c r="P32" s="5">
        <v>439433</v>
      </c>
      <c r="Q32" s="4">
        <f t="shared" si="5"/>
        <v>0.99636763522169447</v>
      </c>
      <c r="R32" s="5">
        <v>206418</v>
      </c>
      <c r="S32" s="5">
        <v>112076</v>
      </c>
      <c r="T32" s="3">
        <f t="shared" si="6"/>
        <v>92303</v>
      </c>
      <c r="U32" s="5">
        <v>204379</v>
      </c>
      <c r="V32" s="4">
        <f t="shared" si="7"/>
        <v>0.99012198548576191</v>
      </c>
      <c r="W32" s="5">
        <v>212709</v>
      </c>
      <c r="X32" s="5">
        <v>112869</v>
      </c>
      <c r="Y32" s="3">
        <f t="shared" si="8"/>
        <v>95927</v>
      </c>
      <c r="Z32" s="5">
        <v>208796</v>
      </c>
      <c r="AA32" s="4">
        <f t="shared" si="9"/>
        <v>0.9816039753842104</v>
      </c>
      <c r="AB32" s="5">
        <v>446806</v>
      </c>
      <c r="AC32" s="5">
        <v>208028</v>
      </c>
      <c r="AD32" s="3">
        <f t="shared" si="10"/>
        <v>237852</v>
      </c>
      <c r="AE32" s="5">
        <v>445880</v>
      </c>
      <c r="AF32" s="4">
        <f t="shared" si="11"/>
        <v>0.99792751216411602</v>
      </c>
      <c r="AG32" s="5">
        <v>210129</v>
      </c>
      <c r="AH32" s="13">
        <v>116226</v>
      </c>
      <c r="AI32" s="3">
        <f t="shared" si="12"/>
        <v>92556</v>
      </c>
      <c r="AJ32" s="5">
        <v>208782</v>
      </c>
      <c r="AK32" s="4">
        <f t="shared" si="13"/>
        <v>0.9935896520708708</v>
      </c>
      <c r="AL32" s="5">
        <v>217332</v>
      </c>
      <c r="AM32" s="13">
        <v>119335</v>
      </c>
      <c r="AN32" s="3">
        <f t="shared" si="24"/>
        <v>93057</v>
      </c>
      <c r="AO32" s="5">
        <v>212392</v>
      </c>
      <c r="AP32" s="4">
        <f t="shared" si="28"/>
        <v>0.97726979920122214</v>
      </c>
      <c r="AQ32" s="5">
        <v>453805</v>
      </c>
      <c r="AR32" s="13">
        <v>224114</v>
      </c>
      <c r="AS32" s="3">
        <f t="shared" si="25"/>
        <v>229544</v>
      </c>
      <c r="AT32" s="5">
        <v>453658</v>
      </c>
      <c r="AU32" s="4">
        <f t="shared" si="29"/>
        <v>0.99967607232181221</v>
      </c>
      <c r="AV32" s="5">
        <v>213428</v>
      </c>
      <c r="AW32" s="13">
        <v>121027</v>
      </c>
      <c r="AX32" s="3">
        <f t="shared" si="26"/>
        <v>91571</v>
      </c>
      <c r="AY32" s="5">
        <v>212598</v>
      </c>
      <c r="AZ32" s="4">
        <f t="shared" si="30"/>
        <v>0.99611110069906483</v>
      </c>
      <c r="BA32" s="5">
        <v>220509</v>
      </c>
      <c r="BB32" s="13">
        <v>122730</v>
      </c>
      <c r="BC32" s="3">
        <f t="shared" si="27"/>
        <v>94380</v>
      </c>
      <c r="BD32" s="5">
        <v>217110</v>
      </c>
      <c r="BE32" s="4">
        <f t="shared" si="31"/>
        <v>0.98458566317021079</v>
      </c>
      <c r="BF32" s="5">
        <v>463937</v>
      </c>
      <c r="BG32" s="13">
        <v>207974</v>
      </c>
      <c r="BH32" s="3">
        <f t="shared" si="22"/>
        <v>253955</v>
      </c>
      <c r="BI32" s="5">
        <v>461929</v>
      </c>
      <c r="BJ32" s="4">
        <f t="shared" si="23"/>
        <v>0.99567182613156524</v>
      </c>
    </row>
    <row r="33" spans="1:62" x14ac:dyDescent="0.3">
      <c r="A33" s="11">
        <v>24</v>
      </c>
      <c r="B33" s="2" t="s">
        <v>44</v>
      </c>
      <c r="C33" s="5">
        <v>620995</v>
      </c>
      <c r="D33" s="5">
        <v>524259</v>
      </c>
      <c r="E33" s="3">
        <f t="shared" si="0"/>
        <v>96269</v>
      </c>
      <c r="F33" s="5">
        <v>620528</v>
      </c>
      <c r="G33" s="4">
        <f t="shared" si="1"/>
        <v>0.99924798106264945</v>
      </c>
      <c r="H33" s="5">
        <v>630476</v>
      </c>
      <c r="I33" s="5">
        <v>529857</v>
      </c>
      <c r="J33" s="3">
        <f t="shared" si="2"/>
        <v>98480</v>
      </c>
      <c r="K33" s="5">
        <v>628337</v>
      </c>
      <c r="L33" s="4">
        <f t="shared" si="3"/>
        <v>0.99660732525901063</v>
      </c>
      <c r="M33" s="5">
        <v>1032030</v>
      </c>
      <c r="N33" s="5">
        <v>849700</v>
      </c>
      <c r="O33" s="3">
        <f t="shared" si="4"/>
        <v>184054</v>
      </c>
      <c r="P33" s="5">
        <v>1033754</v>
      </c>
      <c r="Q33" s="4">
        <f t="shared" si="5"/>
        <v>1.0016704940747847</v>
      </c>
      <c r="R33" s="5">
        <v>629419</v>
      </c>
      <c r="S33" s="5">
        <v>530726</v>
      </c>
      <c r="T33" s="3">
        <f t="shared" si="6"/>
        <v>97175</v>
      </c>
      <c r="U33" s="5">
        <v>627901</v>
      </c>
      <c r="V33" s="4">
        <f t="shared" si="7"/>
        <v>0.99758825202289736</v>
      </c>
      <c r="W33" s="5">
        <v>637378</v>
      </c>
      <c r="X33" s="5">
        <v>532860</v>
      </c>
      <c r="Y33" s="3">
        <f t="shared" si="8"/>
        <v>101398</v>
      </c>
      <c r="Z33" s="5">
        <v>634258</v>
      </c>
      <c r="AA33" s="4">
        <f t="shared" si="9"/>
        <v>0.99510494557389806</v>
      </c>
      <c r="AB33" s="5">
        <v>1041984</v>
      </c>
      <c r="AC33" s="5">
        <v>859179</v>
      </c>
      <c r="AD33" s="3">
        <f t="shared" si="10"/>
        <v>184414</v>
      </c>
      <c r="AE33" s="5">
        <v>1043593</v>
      </c>
      <c r="AF33" s="4">
        <f t="shared" si="11"/>
        <v>1.0015441695841778</v>
      </c>
      <c r="AG33" s="5">
        <v>638215</v>
      </c>
      <c r="AH33" s="13">
        <v>559039</v>
      </c>
      <c r="AI33" s="3">
        <f t="shared" si="12"/>
        <v>78016</v>
      </c>
      <c r="AJ33" s="5">
        <v>637055</v>
      </c>
      <c r="AK33" s="4">
        <f t="shared" si="13"/>
        <v>0.99818243068558399</v>
      </c>
      <c r="AL33" s="5">
        <v>645318</v>
      </c>
      <c r="AM33" s="13">
        <v>546905</v>
      </c>
      <c r="AN33" s="3">
        <f t="shared" si="24"/>
        <v>94795</v>
      </c>
      <c r="AO33" s="5">
        <v>641700</v>
      </c>
      <c r="AP33" s="4">
        <f t="shared" si="28"/>
        <v>0.99439346182812194</v>
      </c>
      <c r="AQ33" s="5">
        <v>1053133</v>
      </c>
      <c r="AR33" s="13">
        <v>887456</v>
      </c>
      <c r="AS33" s="3">
        <f t="shared" si="25"/>
        <v>167729</v>
      </c>
      <c r="AT33" s="5">
        <v>1055185</v>
      </c>
      <c r="AU33" s="4">
        <f t="shared" si="29"/>
        <v>1.0019484718454363</v>
      </c>
      <c r="AV33" s="5">
        <v>647979</v>
      </c>
      <c r="AW33" s="13">
        <v>558703</v>
      </c>
      <c r="AX33" s="3">
        <f t="shared" si="26"/>
        <v>89183</v>
      </c>
      <c r="AY33" s="5">
        <v>647886</v>
      </c>
      <c r="AZ33" s="4">
        <f t="shared" si="30"/>
        <v>0.99985647683026768</v>
      </c>
      <c r="BA33" s="5">
        <v>657743</v>
      </c>
      <c r="BB33" s="13">
        <v>567605</v>
      </c>
      <c r="BC33" s="3">
        <f t="shared" si="27"/>
        <v>89586</v>
      </c>
      <c r="BD33" s="5">
        <v>657191</v>
      </c>
      <c r="BE33" s="4">
        <f t="shared" si="31"/>
        <v>0.99916076643917151</v>
      </c>
      <c r="BF33" s="5">
        <v>1071541</v>
      </c>
      <c r="BG33" s="13">
        <v>882796</v>
      </c>
      <c r="BH33" s="3">
        <f t="shared" si="22"/>
        <v>189781</v>
      </c>
      <c r="BI33" s="5">
        <v>1072577</v>
      </c>
      <c r="BJ33" s="4">
        <f t="shared" si="23"/>
        <v>1.0009668318804414</v>
      </c>
    </row>
    <row r="34" spans="1:62" x14ac:dyDescent="0.3">
      <c r="A34" s="11">
        <v>25</v>
      </c>
      <c r="B34" s="2" t="s">
        <v>28</v>
      </c>
      <c r="C34" s="5">
        <v>0</v>
      </c>
      <c r="D34" s="5">
        <v>0</v>
      </c>
      <c r="E34" s="5" t="s">
        <v>41</v>
      </c>
      <c r="F34" s="5">
        <v>0</v>
      </c>
      <c r="G34" s="5" t="s">
        <v>41</v>
      </c>
      <c r="H34" s="5">
        <v>0</v>
      </c>
      <c r="I34" s="5">
        <v>0</v>
      </c>
      <c r="J34" s="5" t="s">
        <v>41</v>
      </c>
      <c r="K34" s="5">
        <v>0</v>
      </c>
      <c r="L34" s="5" t="s">
        <v>41</v>
      </c>
      <c r="M34" s="5">
        <v>0</v>
      </c>
      <c r="N34" s="5">
        <v>0</v>
      </c>
      <c r="O34" s="5" t="s">
        <v>41</v>
      </c>
      <c r="P34" s="5">
        <v>0</v>
      </c>
      <c r="Q34" s="5" t="s">
        <v>41</v>
      </c>
      <c r="R34" s="5">
        <v>0</v>
      </c>
      <c r="S34" s="5">
        <v>0</v>
      </c>
      <c r="T34" s="5" t="s">
        <v>41</v>
      </c>
      <c r="U34" s="5">
        <v>0</v>
      </c>
      <c r="V34" s="5" t="s">
        <v>41</v>
      </c>
      <c r="W34" s="5">
        <v>0</v>
      </c>
      <c r="X34" s="5">
        <v>0</v>
      </c>
      <c r="Y34" s="5" t="s">
        <v>41</v>
      </c>
      <c r="Z34" s="5">
        <v>0</v>
      </c>
      <c r="AA34" s="5" t="s">
        <v>41</v>
      </c>
      <c r="AB34" s="5">
        <v>0</v>
      </c>
      <c r="AC34" s="5">
        <v>0</v>
      </c>
      <c r="AD34" s="5" t="s">
        <v>41</v>
      </c>
      <c r="AE34" s="5">
        <v>0</v>
      </c>
      <c r="AF34" s="5" t="s">
        <v>41</v>
      </c>
      <c r="AG34" s="5">
        <v>0</v>
      </c>
      <c r="AH34" s="13">
        <v>0</v>
      </c>
      <c r="AI34" s="5" t="s">
        <v>41</v>
      </c>
      <c r="AJ34" s="5">
        <v>0</v>
      </c>
      <c r="AK34" s="5" t="s">
        <v>41</v>
      </c>
      <c r="AL34" s="5">
        <v>0</v>
      </c>
      <c r="AM34" s="13">
        <v>0</v>
      </c>
      <c r="AN34" s="5" t="s">
        <v>41</v>
      </c>
      <c r="AO34" s="5">
        <v>1</v>
      </c>
      <c r="AP34" s="5" t="s">
        <v>41</v>
      </c>
      <c r="AQ34" s="5">
        <v>1</v>
      </c>
      <c r="AR34" s="13">
        <v>1</v>
      </c>
      <c r="AS34" s="5" t="s">
        <v>41</v>
      </c>
      <c r="AT34" s="5">
        <v>1</v>
      </c>
      <c r="AU34" s="5" t="s">
        <v>41</v>
      </c>
      <c r="AV34" s="5">
        <v>1</v>
      </c>
      <c r="AW34" s="13">
        <v>0</v>
      </c>
      <c r="AX34" s="5" t="s">
        <v>41</v>
      </c>
      <c r="AY34" s="5">
        <v>0</v>
      </c>
      <c r="AZ34" s="5" t="s">
        <v>41</v>
      </c>
      <c r="BA34" s="5">
        <v>1</v>
      </c>
      <c r="BB34" s="13">
        <v>0</v>
      </c>
      <c r="BC34" s="5" t="s">
        <v>41</v>
      </c>
      <c r="BD34" s="5">
        <v>0</v>
      </c>
      <c r="BE34" s="5" t="s">
        <v>41</v>
      </c>
      <c r="BF34" s="5">
        <v>1</v>
      </c>
      <c r="BG34" s="13">
        <v>0</v>
      </c>
      <c r="BH34" s="5" t="s">
        <v>41</v>
      </c>
      <c r="BI34" s="5">
        <v>0</v>
      </c>
      <c r="BJ34" s="5" t="s">
        <v>41</v>
      </c>
    </row>
    <row r="35" spans="1:62" x14ac:dyDescent="0.3">
      <c r="A35" s="11">
        <v>26</v>
      </c>
      <c r="B35" s="2" t="s">
        <v>29</v>
      </c>
      <c r="C35" s="5">
        <v>11569</v>
      </c>
      <c r="D35" s="5">
        <v>9220</v>
      </c>
      <c r="E35" s="3">
        <f t="shared" si="0"/>
        <v>2346</v>
      </c>
      <c r="F35" s="5">
        <v>11566</v>
      </c>
      <c r="G35" s="4">
        <f t="shared" si="1"/>
        <v>0.99974068631688129</v>
      </c>
      <c r="H35" s="5">
        <v>11660</v>
      </c>
      <c r="I35" s="5">
        <v>9218</v>
      </c>
      <c r="J35" s="3">
        <f t="shared" ref="J35:J47" si="32">K35-I35</f>
        <v>2388</v>
      </c>
      <c r="K35" s="5">
        <v>11606</v>
      </c>
      <c r="L35" s="4">
        <f t="shared" ref="L35:L47" si="33">K35/H35</f>
        <v>0.99536878216123503</v>
      </c>
      <c r="M35" s="5">
        <v>14448</v>
      </c>
      <c r="N35" s="5">
        <v>11289</v>
      </c>
      <c r="O35" s="3">
        <f t="shared" ref="O35:O47" si="34">P35-N35</f>
        <v>3148</v>
      </c>
      <c r="P35" s="5">
        <v>14437</v>
      </c>
      <c r="Q35" s="4">
        <f t="shared" ref="Q35:Q47" si="35">P35/M35</f>
        <v>0.99923864894795122</v>
      </c>
      <c r="R35" s="5">
        <v>11629</v>
      </c>
      <c r="S35" s="5">
        <v>9171</v>
      </c>
      <c r="T35" s="3">
        <f t="shared" ref="T35:T47" si="36">U35-S35</f>
        <v>2437</v>
      </c>
      <c r="U35" s="5">
        <v>11608</v>
      </c>
      <c r="V35" s="4">
        <f t="shared" ref="V35:V47" si="37">U35/R35</f>
        <v>0.99819416974804365</v>
      </c>
      <c r="W35" s="5">
        <v>11769</v>
      </c>
      <c r="X35" s="5">
        <v>9272</v>
      </c>
      <c r="Y35" s="3">
        <f t="shared" ref="Y35:Y47" si="38">Z35-X35</f>
        <v>2386</v>
      </c>
      <c r="Z35" s="5">
        <v>11658</v>
      </c>
      <c r="AA35" s="4">
        <f t="shared" ref="AA35:AA47" si="39">Z35/W35</f>
        <v>0.99056844251848075</v>
      </c>
      <c r="AB35" s="5">
        <v>14510</v>
      </c>
      <c r="AC35" s="5">
        <v>11392</v>
      </c>
      <c r="AD35" s="3">
        <f t="shared" ref="AD35:AD47" si="40">AE35-AC35</f>
        <v>3110</v>
      </c>
      <c r="AE35" s="5">
        <v>14502</v>
      </c>
      <c r="AF35" s="4">
        <f t="shared" ref="AF35:AF47" si="41">AE35/AB35</f>
        <v>0.99944865609924194</v>
      </c>
      <c r="AG35" s="5">
        <v>11749</v>
      </c>
      <c r="AH35" s="13">
        <v>9582</v>
      </c>
      <c r="AI35" s="3">
        <f t="shared" ref="AI35:AI47" si="42">AJ35-AH35</f>
        <v>2149</v>
      </c>
      <c r="AJ35" s="5">
        <v>11731</v>
      </c>
      <c r="AK35" s="4">
        <f t="shared" ref="AK35:AK47" si="43">AJ35/AG35</f>
        <v>0.99846795471955063</v>
      </c>
      <c r="AL35" s="5">
        <v>11839</v>
      </c>
      <c r="AM35" s="13">
        <v>9446</v>
      </c>
      <c r="AN35" s="3">
        <f t="shared" ref="AN35:AN47" si="44">AO35-AM35</f>
        <v>2324</v>
      </c>
      <c r="AO35" s="5">
        <v>11770</v>
      </c>
      <c r="AP35" s="4">
        <f t="shared" ref="AP35:AP47" si="45">AO35/AL35</f>
        <v>0.99417180505110225</v>
      </c>
      <c r="AQ35" s="5">
        <v>14639</v>
      </c>
      <c r="AR35" s="13">
        <v>11773</v>
      </c>
      <c r="AS35" s="3">
        <f t="shared" ref="AS35:AS47" si="46">AT35-AR35</f>
        <v>2841</v>
      </c>
      <c r="AT35" s="5">
        <v>14614</v>
      </c>
      <c r="AU35" s="4">
        <f t="shared" ref="AU35:AU47" si="47">AT35/AQ35</f>
        <v>0.99829223307602977</v>
      </c>
      <c r="AV35" s="5">
        <v>11843</v>
      </c>
      <c r="AW35" s="13">
        <v>9656</v>
      </c>
      <c r="AX35" s="3">
        <f t="shared" ref="AX35:AX47" si="48">AY35-AW35</f>
        <v>2167</v>
      </c>
      <c r="AY35" s="5">
        <v>11823</v>
      </c>
      <c r="AZ35" s="4">
        <f t="shared" ref="AZ35:AZ47" si="49">AY35/AV35</f>
        <v>0.99831123870640881</v>
      </c>
      <c r="BA35" s="5">
        <v>11921</v>
      </c>
      <c r="BB35" s="13">
        <v>9716</v>
      </c>
      <c r="BC35" s="3">
        <f t="shared" ref="BC35:BC47" si="50">BD35-BB35</f>
        <v>2150</v>
      </c>
      <c r="BD35" s="5">
        <v>11866</v>
      </c>
      <c r="BE35" s="4">
        <f t="shared" ref="BE35:BE47" si="51">BD35/BA35</f>
        <v>0.99538629309621673</v>
      </c>
      <c r="BF35" s="5">
        <v>14735</v>
      </c>
      <c r="BG35" s="13">
        <v>11835</v>
      </c>
      <c r="BH35" s="3">
        <f t="shared" ref="BH35:BH47" si="52">BI35-BG35</f>
        <v>2888</v>
      </c>
      <c r="BI35" s="5">
        <v>14723</v>
      </c>
      <c r="BJ35" s="4">
        <f t="shared" ref="BJ35:BJ47" si="53">BI35/BF35</f>
        <v>0.99918561248727522</v>
      </c>
    </row>
    <row r="36" spans="1:62" x14ac:dyDescent="0.3">
      <c r="A36" s="11">
        <v>27</v>
      </c>
      <c r="B36" s="2" t="s">
        <v>45</v>
      </c>
      <c r="C36" s="5">
        <v>836037</v>
      </c>
      <c r="D36" s="5">
        <v>579199</v>
      </c>
      <c r="E36" s="3">
        <f t="shared" si="0"/>
        <v>253998</v>
      </c>
      <c r="F36" s="5">
        <v>833197</v>
      </c>
      <c r="G36" s="4">
        <f t="shared" si="1"/>
        <v>0.99660302115815447</v>
      </c>
      <c r="H36" s="5">
        <v>854298</v>
      </c>
      <c r="I36" s="5">
        <v>582090</v>
      </c>
      <c r="J36" s="3">
        <f t="shared" si="32"/>
        <v>261271</v>
      </c>
      <c r="K36" s="5">
        <v>843361</v>
      </c>
      <c r="L36" s="4">
        <f t="shared" si="33"/>
        <v>0.98719767575248918</v>
      </c>
      <c r="M36" s="5">
        <v>1510524</v>
      </c>
      <c r="N36" s="5">
        <v>1014391</v>
      </c>
      <c r="O36" s="3">
        <f t="shared" si="34"/>
        <v>489861</v>
      </c>
      <c r="P36" s="5">
        <v>1504252</v>
      </c>
      <c r="Q36" s="4">
        <f t="shared" si="35"/>
        <v>0.99584779851230432</v>
      </c>
      <c r="R36" s="5">
        <v>845008</v>
      </c>
      <c r="S36" s="5">
        <v>590966</v>
      </c>
      <c r="T36" s="3">
        <f t="shared" si="36"/>
        <v>248838</v>
      </c>
      <c r="U36" s="5">
        <v>839804</v>
      </c>
      <c r="V36" s="4">
        <f t="shared" si="37"/>
        <v>0.99384147842387294</v>
      </c>
      <c r="W36" s="5">
        <v>865288</v>
      </c>
      <c r="X36" s="5">
        <v>598085</v>
      </c>
      <c r="Y36" s="3">
        <f t="shared" si="38"/>
        <v>251391</v>
      </c>
      <c r="Z36" s="5">
        <v>849476</v>
      </c>
      <c r="AA36" s="4">
        <f t="shared" si="39"/>
        <v>0.98172631540019051</v>
      </c>
      <c r="AB36" s="5">
        <v>1522408</v>
      </c>
      <c r="AC36" s="5">
        <v>1031970</v>
      </c>
      <c r="AD36" s="3">
        <f t="shared" si="40"/>
        <v>486006</v>
      </c>
      <c r="AE36" s="5">
        <v>1517976</v>
      </c>
      <c r="AF36" s="4">
        <f t="shared" si="41"/>
        <v>0.9970888224444433</v>
      </c>
      <c r="AG36" s="5">
        <v>860909</v>
      </c>
      <c r="AH36" s="13">
        <v>622893</v>
      </c>
      <c r="AI36" s="3">
        <f t="shared" si="42"/>
        <v>232935</v>
      </c>
      <c r="AJ36" s="5">
        <v>855828</v>
      </c>
      <c r="AK36" s="4">
        <f t="shared" si="43"/>
        <v>0.99409809863760279</v>
      </c>
      <c r="AL36" s="5">
        <v>879793</v>
      </c>
      <c r="AM36" s="13">
        <v>627740</v>
      </c>
      <c r="AN36" s="3">
        <f t="shared" si="44"/>
        <v>238578</v>
      </c>
      <c r="AO36" s="5">
        <v>866318</v>
      </c>
      <c r="AP36" s="4">
        <f t="shared" si="45"/>
        <v>0.98468389723491778</v>
      </c>
      <c r="AQ36" s="5">
        <v>1539776</v>
      </c>
      <c r="AR36" s="13">
        <v>1080776</v>
      </c>
      <c r="AS36" s="3">
        <f t="shared" si="46"/>
        <v>458721</v>
      </c>
      <c r="AT36" s="5">
        <v>1539497</v>
      </c>
      <c r="AU36" s="4">
        <f t="shared" si="47"/>
        <v>0.99981880481316765</v>
      </c>
      <c r="AV36" s="5">
        <v>875330</v>
      </c>
      <c r="AW36" s="13">
        <v>638151</v>
      </c>
      <c r="AX36" s="3">
        <f t="shared" si="48"/>
        <v>234345</v>
      </c>
      <c r="AY36" s="5">
        <v>872496</v>
      </c>
      <c r="AZ36" s="4">
        <f t="shared" si="49"/>
        <v>0.99676236390846884</v>
      </c>
      <c r="BA36" s="5">
        <v>893595</v>
      </c>
      <c r="BB36" s="13">
        <v>647730</v>
      </c>
      <c r="BC36" s="3">
        <f t="shared" si="50"/>
        <v>236004</v>
      </c>
      <c r="BD36" s="5">
        <v>883734</v>
      </c>
      <c r="BE36" s="4">
        <f t="shared" si="51"/>
        <v>0.98896479948970173</v>
      </c>
      <c r="BF36" s="5">
        <v>1566403</v>
      </c>
      <c r="BG36" s="13">
        <v>1053071</v>
      </c>
      <c r="BH36" s="3">
        <f t="shared" si="52"/>
        <v>507359</v>
      </c>
      <c r="BI36" s="5">
        <v>1560430</v>
      </c>
      <c r="BJ36" s="4">
        <f t="shared" si="53"/>
        <v>0.99618680505591473</v>
      </c>
    </row>
    <row r="37" spans="1:62" x14ac:dyDescent="0.3">
      <c r="A37" s="11">
        <v>29</v>
      </c>
      <c r="B37" s="2" t="s">
        <v>30</v>
      </c>
      <c r="C37" s="5">
        <v>675549</v>
      </c>
      <c r="D37" s="5">
        <v>384009</v>
      </c>
      <c r="E37" s="3">
        <f t="shared" si="0"/>
        <v>283686</v>
      </c>
      <c r="F37" s="5">
        <v>667695</v>
      </c>
      <c r="G37" s="4">
        <f t="shared" si="1"/>
        <v>0.98837390033883554</v>
      </c>
      <c r="H37" s="5">
        <v>681828</v>
      </c>
      <c r="I37" s="5">
        <v>396401</v>
      </c>
      <c r="J37" s="3">
        <f t="shared" si="32"/>
        <v>274164</v>
      </c>
      <c r="K37" s="5">
        <v>670565</v>
      </c>
      <c r="L37" s="4">
        <f t="shared" si="33"/>
        <v>0.98348117120446799</v>
      </c>
      <c r="M37" s="5">
        <v>856106</v>
      </c>
      <c r="N37" s="5">
        <v>498636</v>
      </c>
      <c r="O37" s="3">
        <f t="shared" si="34"/>
        <v>347702</v>
      </c>
      <c r="P37" s="5">
        <v>846338</v>
      </c>
      <c r="Q37" s="4">
        <f t="shared" si="35"/>
        <v>0.98859019794277814</v>
      </c>
      <c r="R37" s="5">
        <v>679636</v>
      </c>
      <c r="S37" s="5">
        <v>402549</v>
      </c>
      <c r="T37" s="3">
        <f t="shared" si="36"/>
        <v>268955</v>
      </c>
      <c r="U37" s="5">
        <v>671504</v>
      </c>
      <c r="V37" s="4">
        <f t="shared" si="37"/>
        <v>0.98803477155418484</v>
      </c>
      <c r="W37" s="5">
        <v>687189</v>
      </c>
      <c r="X37" s="5">
        <v>403315</v>
      </c>
      <c r="Y37" s="3">
        <f t="shared" si="38"/>
        <v>273295</v>
      </c>
      <c r="Z37" s="5">
        <v>676610</v>
      </c>
      <c r="AA37" s="4">
        <f t="shared" si="39"/>
        <v>0.98460539967898209</v>
      </c>
      <c r="AB37" s="5">
        <v>863912</v>
      </c>
      <c r="AC37" s="5">
        <v>506171</v>
      </c>
      <c r="AD37" s="3">
        <f t="shared" si="40"/>
        <v>349285</v>
      </c>
      <c r="AE37" s="5">
        <v>855456</v>
      </c>
      <c r="AF37" s="4">
        <f t="shared" si="41"/>
        <v>0.99021196603357753</v>
      </c>
      <c r="AG37" s="5">
        <v>690763</v>
      </c>
      <c r="AH37" s="13">
        <v>421980</v>
      </c>
      <c r="AI37" s="3">
        <f t="shared" si="42"/>
        <v>260657</v>
      </c>
      <c r="AJ37" s="5">
        <v>682637</v>
      </c>
      <c r="AK37" s="4">
        <f t="shared" si="43"/>
        <v>0.98823619678529395</v>
      </c>
      <c r="AL37" s="5">
        <v>697437</v>
      </c>
      <c r="AM37" s="13">
        <v>423616</v>
      </c>
      <c r="AN37" s="3">
        <f t="shared" si="44"/>
        <v>265012</v>
      </c>
      <c r="AO37" s="5">
        <v>688628</v>
      </c>
      <c r="AP37" s="4">
        <f t="shared" si="45"/>
        <v>0.98736946849679608</v>
      </c>
      <c r="AQ37" s="5">
        <v>873380</v>
      </c>
      <c r="AR37" s="13">
        <v>530410</v>
      </c>
      <c r="AS37" s="3">
        <f t="shared" si="46"/>
        <v>338570</v>
      </c>
      <c r="AT37" s="5">
        <v>868980</v>
      </c>
      <c r="AU37" s="4">
        <f t="shared" si="47"/>
        <v>0.99496210126176465</v>
      </c>
      <c r="AV37" s="5">
        <v>700086</v>
      </c>
      <c r="AW37" s="13">
        <v>427513</v>
      </c>
      <c r="AX37" s="3">
        <f t="shared" si="48"/>
        <v>266975</v>
      </c>
      <c r="AY37" s="5">
        <v>694488</v>
      </c>
      <c r="AZ37" s="4">
        <f t="shared" si="49"/>
        <v>0.99200383952828652</v>
      </c>
      <c r="BA37" s="5">
        <v>708485</v>
      </c>
      <c r="BB37" s="13">
        <v>430600</v>
      </c>
      <c r="BC37" s="3">
        <f t="shared" si="50"/>
        <v>268870</v>
      </c>
      <c r="BD37" s="5">
        <v>699470</v>
      </c>
      <c r="BE37" s="4">
        <f t="shared" si="51"/>
        <v>0.98727566568099534</v>
      </c>
      <c r="BF37" s="5">
        <v>887779</v>
      </c>
      <c r="BG37" s="13">
        <v>494061</v>
      </c>
      <c r="BH37" s="3">
        <f t="shared" si="52"/>
        <v>384188</v>
      </c>
      <c r="BI37" s="5">
        <v>878249</v>
      </c>
      <c r="BJ37" s="4">
        <f t="shared" si="53"/>
        <v>0.98926534644320263</v>
      </c>
    </row>
    <row r="38" spans="1:62" x14ac:dyDescent="0.3">
      <c r="A38" s="11">
        <v>30</v>
      </c>
      <c r="B38" s="2" t="s">
        <v>31</v>
      </c>
      <c r="C38" s="5">
        <v>22737</v>
      </c>
      <c r="D38" s="5">
        <v>13484</v>
      </c>
      <c r="E38" s="3">
        <f t="shared" si="0"/>
        <v>9415</v>
      </c>
      <c r="F38" s="5">
        <v>22899</v>
      </c>
      <c r="G38" s="4">
        <f t="shared" si="1"/>
        <v>1.007124950521177</v>
      </c>
      <c r="H38" s="5">
        <v>23122</v>
      </c>
      <c r="I38" s="5">
        <v>13570</v>
      </c>
      <c r="J38" s="3">
        <f t="shared" si="32"/>
        <v>9602</v>
      </c>
      <c r="K38" s="5">
        <v>23172</v>
      </c>
      <c r="L38" s="4">
        <f t="shared" si="33"/>
        <v>1.0021624426952687</v>
      </c>
      <c r="M38" s="5">
        <v>35582</v>
      </c>
      <c r="N38" s="5">
        <v>21441</v>
      </c>
      <c r="O38" s="3">
        <f t="shared" si="34"/>
        <v>14389</v>
      </c>
      <c r="P38" s="5">
        <v>35830</v>
      </c>
      <c r="Q38" s="4">
        <f t="shared" si="35"/>
        <v>1.0069698161992018</v>
      </c>
      <c r="R38" s="5">
        <v>22911</v>
      </c>
      <c r="S38" s="5">
        <v>13789</v>
      </c>
      <c r="T38" s="3">
        <f t="shared" si="36"/>
        <v>9354</v>
      </c>
      <c r="U38" s="5">
        <v>23143</v>
      </c>
      <c r="V38" s="4">
        <f t="shared" si="37"/>
        <v>1.0101261402819606</v>
      </c>
      <c r="W38" s="5">
        <v>23450</v>
      </c>
      <c r="X38" s="5">
        <v>14168</v>
      </c>
      <c r="Y38" s="3">
        <f t="shared" si="38"/>
        <v>9183</v>
      </c>
      <c r="Z38" s="5">
        <v>23351</v>
      </c>
      <c r="AA38" s="4">
        <f t="shared" si="39"/>
        <v>0.99577825159914712</v>
      </c>
      <c r="AB38" s="5">
        <v>35915</v>
      </c>
      <c r="AC38" s="5">
        <v>22067</v>
      </c>
      <c r="AD38" s="3">
        <f t="shared" si="40"/>
        <v>14261</v>
      </c>
      <c r="AE38" s="5">
        <v>36328</v>
      </c>
      <c r="AF38" s="4">
        <f t="shared" si="41"/>
        <v>1.0114993735208131</v>
      </c>
      <c r="AG38" s="5">
        <v>23414</v>
      </c>
      <c r="AH38" s="13">
        <v>14738</v>
      </c>
      <c r="AI38" s="3">
        <f t="shared" si="42"/>
        <v>8896</v>
      </c>
      <c r="AJ38" s="5">
        <v>23634</v>
      </c>
      <c r="AK38" s="4">
        <f t="shared" si="43"/>
        <v>1.0093960878107116</v>
      </c>
      <c r="AL38" s="5">
        <v>23927</v>
      </c>
      <c r="AM38" s="13">
        <v>14951</v>
      </c>
      <c r="AN38" s="3">
        <f t="shared" si="44"/>
        <v>8958</v>
      </c>
      <c r="AO38" s="5">
        <v>23909</v>
      </c>
      <c r="AP38" s="4">
        <f t="shared" si="45"/>
        <v>0.99924771179002803</v>
      </c>
      <c r="AQ38" s="5">
        <v>36551</v>
      </c>
      <c r="AR38" s="13">
        <v>23698</v>
      </c>
      <c r="AS38" s="3">
        <f t="shared" si="46"/>
        <v>13392</v>
      </c>
      <c r="AT38" s="5">
        <v>37090</v>
      </c>
      <c r="AU38" s="4">
        <f t="shared" si="47"/>
        <v>1.0147465185631037</v>
      </c>
      <c r="AV38" s="5">
        <v>23833</v>
      </c>
      <c r="AW38" s="13">
        <v>15204</v>
      </c>
      <c r="AX38" s="3">
        <f t="shared" si="48"/>
        <v>8940</v>
      </c>
      <c r="AY38" s="5">
        <v>24144</v>
      </c>
      <c r="AZ38" s="4">
        <f t="shared" si="49"/>
        <v>1.0130491335543155</v>
      </c>
      <c r="BA38" s="5">
        <v>24292</v>
      </c>
      <c r="BB38" s="13">
        <v>15504</v>
      </c>
      <c r="BC38" s="3">
        <f t="shared" si="50"/>
        <v>8903</v>
      </c>
      <c r="BD38" s="5">
        <v>24407</v>
      </c>
      <c r="BE38" s="4">
        <f t="shared" si="51"/>
        <v>1.0047340688292441</v>
      </c>
      <c r="BF38" s="5">
        <v>37393</v>
      </c>
      <c r="BG38" s="13">
        <v>22355</v>
      </c>
      <c r="BH38" s="3">
        <f t="shared" si="52"/>
        <v>15246</v>
      </c>
      <c r="BI38" s="5">
        <v>37601</v>
      </c>
      <c r="BJ38" s="4">
        <f t="shared" si="53"/>
        <v>1.005562538443024</v>
      </c>
    </row>
    <row r="39" spans="1:62" x14ac:dyDescent="0.3">
      <c r="A39" s="11">
        <v>31</v>
      </c>
      <c r="B39" s="2" t="s">
        <v>32</v>
      </c>
      <c r="C39" s="5">
        <v>184</v>
      </c>
      <c r="D39" s="5">
        <v>93</v>
      </c>
      <c r="E39" s="3">
        <f t="shared" si="0"/>
        <v>94</v>
      </c>
      <c r="F39" s="5">
        <v>187</v>
      </c>
      <c r="G39" s="4">
        <f t="shared" si="1"/>
        <v>1.0163043478260869</v>
      </c>
      <c r="H39" s="5">
        <v>185</v>
      </c>
      <c r="I39" s="5">
        <v>83</v>
      </c>
      <c r="J39" s="3">
        <f t="shared" si="32"/>
        <v>104</v>
      </c>
      <c r="K39" s="5">
        <v>187</v>
      </c>
      <c r="L39" s="4">
        <f t="shared" si="33"/>
        <v>1.0108108108108107</v>
      </c>
      <c r="M39" s="5">
        <v>225</v>
      </c>
      <c r="N39" s="5">
        <v>122</v>
      </c>
      <c r="O39" s="3">
        <f t="shared" si="34"/>
        <v>107</v>
      </c>
      <c r="P39" s="5">
        <v>229</v>
      </c>
      <c r="Q39" s="4">
        <f t="shared" si="35"/>
        <v>1.0177777777777777</v>
      </c>
      <c r="R39" s="5">
        <v>185</v>
      </c>
      <c r="S39" s="5">
        <v>99</v>
      </c>
      <c r="T39" s="3">
        <f t="shared" si="36"/>
        <v>90</v>
      </c>
      <c r="U39" s="5">
        <v>189</v>
      </c>
      <c r="V39" s="4">
        <f t="shared" si="37"/>
        <v>1.0216216216216216</v>
      </c>
      <c r="W39" s="5">
        <v>190</v>
      </c>
      <c r="X39" s="5">
        <v>99</v>
      </c>
      <c r="Y39" s="3">
        <f t="shared" si="38"/>
        <v>92</v>
      </c>
      <c r="Z39" s="5">
        <v>191</v>
      </c>
      <c r="AA39" s="4">
        <f t="shared" si="39"/>
        <v>1.0052631578947369</v>
      </c>
      <c r="AB39" s="5">
        <v>229</v>
      </c>
      <c r="AC39" s="5">
        <v>123</v>
      </c>
      <c r="AD39" s="3">
        <f t="shared" si="40"/>
        <v>109</v>
      </c>
      <c r="AE39" s="5">
        <v>232</v>
      </c>
      <c r="AF39" s="4">
        <f t="shared" si="41"/>
        <v>1.0131004366812226</v>
      </c>
      <c r="AG39" s="5">
        <v>192</v>
      </c>
      <c r="AH39" s="13">
        <v>101</v>
      </c>
      <c r="AI39" s="3">
        <f t="shared" si="42"/>
        <v>88</v>
      </c>
      <c r="AJ39" s="5">
        <v>189</v>
      </c>
      <c r="AK39" s="4">
        <f t="shared" si="43"/>
        <v>0.984375</v>
      </c>
      <c r="AL39" s="5">
        <v>193</v>
      </c>
      <c r="AM39" s="13">
        <v>103</v>
      </c>
      <c r="AN39" s="3">
        <f t="shared" si="44"/>
        <v>92</v>
      </c>
      <c r="AO39" s="5">
        <v>195</v>
      </c>
      <c r="AP39" s="4">
        <f t="shared" si="45"/>
        <v>1.0103626943005182</v>
      </c>
      <c r="AQ39" s="5">
        <v>241</v>
      </c>
      <c r="AR39" s="13">
        <v>124</v>
      </c>
      <c r="AS39" s="3">
        <f t="shared" si="46"/>
        <v>117</v>
      </c>
      <c r="AT39" s="5">
        <v>241</v>
      </c>
      <c r="AU39" s="4">
        <f t="shared" si="47"/>
        <v>1</v>
      </c>
      <c r="AV39" s="5">
        <v>200</v>
      </c>
      <c r="AW39" s="13">
        <v>110</v>
      </c>
      <c r="AX39" s="3">
        <f t="shared" si="48"/>
        <v>89</v>
      </c>
      <c r="AY39" s="5">
        <v>199</v>
      </c>
      <c r="AZ39" s="4">
        <f t="shared" si="49"/>
        <v>0.995</v>
      </c>
      <c r="BA39" s="5">
        <v>207</v>
      </c>
      <c r="BB39" s="13">
        <v>97</v>
      </c>
      <c r="BC39" s="3">
        <f t="shared" si="50"/>
        <v>106</v>
      </c>
      <c r="BD39" s="5">
        <v>203</v>
      </c>
      <c r="BE39" s="4">
        <f t="shared" si="51"/>
        <v>0.98067632850241548</v>
      </c>
      <c r="BF39" s="5">
        <v>257</v>
      </c>
      <c r="BG39" s="13">
        <v>117</v>
      </c>
      <c r="BH39" s="3">
        <f t="shared" si="52"/>
        <v>136</v>
      </c>
      <c r="BI39" s="5">
        <v>253</v>
      </c>
      <c r="BJ39" s="4">
        <f t="shared" si="53"/>
        <v>0.98443579766536971</v>
      </c>
    </row>
    <row r="40" spans="1:62" x14ac:dyDescent="0.3">
      <c r="A40" s="11">
        <v>32</v>
      </c>
      <c r="B40" s="2" t="s">
        <v>33</v>
      </c>
      <c r="C40" s="5">
        <v>277722</v>
      </c>
      <c r="D40" s="5">
        <v>170984</v>
      </c>
      <c r="E40" s="3">
        <f t="shared" si="0"/>
        <v>104871</v>
      </c>
      <c r="F40" s="5">
        <v>275855</v>
      </c>
      <c r="G40" s="4">
        <f t="shared" si="1"/>
        <v>0.99327745011198254</v>
      </c>
      <c r="H40" s="5">
        <v>279588</v>
      </c>
      <c r="I40" s="5">
        <v>169489</v>
      </c>
      <c r="J40" s="3">
        <f t="shared" si="32"/>
        <v>108071</v>
      </c>
      <c r="K40" s="5">
        <v>277560</v>
      </c>
      <c r="L40" s="4">
        <f t="shared" si="33"/>
        <v>0.99274646980557102</v>
      </c>
      <c r="M40" s="5">
        <v>339205</v>
      </c>
      <c r="N40" s="5">
        <v>202402</v>
      </c>
      <c r="O40" s="3">
        <f t="shared" si="34"/>
        <v>135137</v>
      </c>
      <c r="P40" s="5">
        <v>337539</v>
      </c>
      <c r="Q40" s="4">
        <f t="shared" si="35"/>
        <v>0.9950885157942837</v>
      </c>
      <c r="R40" s="5">
        <v>280405</v>
      </c>
      <c r="S40" s="5">
        <v>174156</v>
      </c>
      <c r="T40" s="3">
        <f t="shared" si="36"/>
        <v>104715</v>
      </c>
      <c r="U40" s="5">
        <v>278871</v>
      </c>
      <c r="V40" s="4">
        <f t="shared" si="37"/>
        <v>0.9945293414882046</v>
      </c>
      <c r="W40" s="5">
        <v>283529</v>
      </c>
      <c r="X40" s="5">
        <v>170564</v>
      </c>
      <c r="Y40" s="3">
        <f t="shared" si="38"/>
        <v>110251</v>
      </c>
      <c r="Z40" s="5">
        <v>280815</v>
      </c>
      <c r="AA40" s="4">
        <f t="shared" si="39"/>
        <v>0.99042778692832123</v>
      </c>
      <c r="AB40" s="5">
        <v>342699</v>
      </c>
      <c r="AC40" s="5">
        <v>205427</v>
      </c>
      <c r="AD40" s="3">
        <f t="shared" si="40"/>
        <v>136256</v>
      </c>
      <c r="AE40" s="5">
        <v>341683</v>
      </c>
      <c r="AF40" s="4">
        <f t="shared" si="41"/>
        <v>0.99703529919842193</v>
      </c>
      <c r="AG40" s="5">
        <v>284836</v>
      </c>
      <c r="AH40" s="13">
        <v>179131</v>
      </c>
      <c r="AI40" s="3">
        <f t="shared" si="42"/>
        <v>104293</v>
      </c>
      <c r="AJ40" s="5">
        <v>283424</v>
      </c>
      <c r="AK40" s="4">
        <f t="shared" si="43"/>
        <v>0.9950427614486933</v>
      </c>
      <c r="AL40" s="5">
        <v>287465</v>
      </c>
      <c r="AM40" s="13">
        <v>175843</v>
      </c>
      <c r="AN40" s="3">
        <f t="shared" si="44"/>
        <v>109811</v>
      </c>
      <c r="AO40" s="5">
        <v>285654</v>
      </c>
      <c r="AP40" s="4">
        <f t="shared" si="45"/>
        <v>0.99370010262118869</v>
      </c>
      <c r="AQ40" s="5">
        <v>346543</v>
      </c>
      <c r="AR40" s="13">
        <v>212660</v>
      </c>
      <c r="AS40" s="3">
        <f t="shared" si="46"/>
        <v>133833</v>
      </c>
      <c r="AT40" s="5">
        <v>346493</v>
      </c>
      <c r="AU40" s="4">
        <f t="shared" si="47"/>
        <v>0.99985571776085502</v>
      </c>
      <c r="AV40" s="5">
        <v>288959</v>
      </c>
      <c r="AW40" s="13">
        <v>177096</v>
      </c>
      <c r="AX40" s="3">
        <f t="shared" si="48"/>
        <v>110681</v>
      </c>
      <c r="AY40" s="5">
        <v>287777</v>
      </c>
      <c r="AZ40" s="4">
        <f t="shared" si="49"/>
        <v>0.99590945428244149</v>
      </c>
      <c r="BA40" s="5">
        <v>291465</v>
      </c>
      <c r="BB40" s="13">
        <v>179400</v>
      </c>
      <c r="BC40" s="3">
        <f t="shared" si="50"/>
        <v>109557</v>
      </c>
      <c r="BD40" s="5">
        <v>288957</v>
      </c>
      <c r="BE40" s="4">
        <f t="shared" si="51"/>
        <v>0.99139519324790282</v>
      </c>
      <c r="BF40" s="5">
        <v>351557</v>
      </c>
      <c r="BG40" s="13">
        <v>200149</v>
      </c>
      <c r="BH40" s="3">
        <f t="shared" si="52"/>
        <v>149318</v>
      </c>
      <c r="BI40" s="5">
        <v>349467</v>
      </c>
      <c r="BJ40" s="4">
        <f t="shared" si="53"/>
        <v>0.99405501810517216</v>
      </c>
    </row>
    <row r="41" spans="1:62" x14ac:dyDescent="0.3">
      <c r="A41" s="11">
        <v>33</v>
      </c>
      <c r="B41" s="2" t="s">
        <v>34</v>
      </c>
      <c r="C41" s="5">
        <v>912114</v>
      </c>
      <c r="D41" s="5">
        <v>560126</v>
      </c>
      <c r="E41" s="3">
        <f t="shared" si="0"/>
        <v>345446</v>
      </c>
      <c r="F41" s="5">
        <v>905572</v>
      </c>
      <c r="G41" s="4">
        <f t="shared" si="1"/>
        <v>0.99282765092959868</v>
      </c>
      <c r="H41" s="5">
        <v>920596</v>
      </c>
      <c r="I41" s="5">
        <v>552307</v>
      </c>
      <c r="J41" s="3">
        <f t="shared" si="32"/>
        <v>358278</v>
      </c>
      <c r="K41" s="5">
        <v>910585</v>
      </c>
      <c r="L41" s="4">
        <f t="shared" si="33"/>
        <v>0.98912552303073231</v>
      </c>
      <c r="M41" s="5">
        <v>1028922</v>
      </c>
      <c r="N41" s="5">
        <v>622107</v>
      </c>
      <c r="O41" s="3">
        <f t="shared" si="34"/>
        <v>396227</v>
      </c>
      <c r="P41" s="5">
        <v>1018334</v>
      </c>
      <c r="Q41" s="4">
        <f t="shared" si="35"/>
        <v>0.98970961841616756</v>
      </c>
      <c r="R41" s="5">
        <v>924082</v>
      </c>
      <c r="S41" s="5">
        <v>554520</v>
      </c>
      <c r="T41" s="3">
        <f t="shared" si="36"/>
        <v>360542</v>
      </c>
      <c r="U41" s="5">
        <v>915062</v>
      </c>
      <c r="V41" s="4">
        <f t="shared" si="37"/>
        <v>0.99023896147744461</v>
      </c>
      <c r="W41" s="5">
        <v>929406</v>
      </c>
      <c r="X41" s="5">
        <v>562804</v>
      </c>
      <c r="Y41" s="3">
        <f t="shared" si="38"/>
        <v>356214</v>
      </c>
      <c r="Z41" s="5">
        <v>919018</v>
      </c>
      <c r="AA41" s="4">
        <f t="shared" si="39"/>
        <v>0.98882296864879293</v>
      </c>
      <c r="AB41" s="5">
        <v>1036539</v>
      </c>
      <c r="AC41" s="5">
        <v>630816</v>
      </c>
      <c r="AD41" s="3">
        <f t="shared" si="40"/>
        <v>396641</v>
      </c>
      <c r="AE41" s="5">
        <v>1027457</v>
      </c>
      <c r="AF41" s="4">
        <f t="shared" si="41"/>
        <v>0.99123814926404119</v>
      </c>
      <c r="AG41" s="5">
        <v>935526</v>
      </c>
      <c r="AH41" s="13">
        <v>576632</v>
      </c>
      <c r="AI41" s="3">
        <f t="shared" si="42"/>
        <v>348966</v>
      </c>
      <c r="AJ41" s="5">
        <v>925598</v>
      </c>
      <c r="AK41" s="4">
        <f t="shared" si="43"/>
        <v>0.98938778826029417</v>
      </c>
      <c r="AL41" s="5">
        <v>940174</v>
      </c>
      <c r="AM41" s="13">
        <v>566402</v>
      </c>
      <c r="AN41" s="3">
        <f t="shared" si="44"/>
        <v>363762</v>
      </c>
      <c r="AO41" s="5">
        <v>930164</v>
      </c>
      <c r="AP41" s="4">
        <f t="shared" si="45"/>
        <v>0.98935303465103264</v>
      </c>
      <c r="AQ41" s="5">
        <v>1046219</v>
      </c>
      <c r="AR41" s="13">
        <v>652887</v>
      </c>
      <c r="AS41" s="3">
        <f t="shared" si="46"/>
        <v>386077</v>
      </c>
      <c r="AT41" s="5">
        <v>1038964</v>
      </c>
      <c r="AU41" s="4">
        <f t="shared" si="47"/>
        <v>0.99306550540565597</v>
      </c>
      <c r="AV41" s="5">
        <v>945246</v>
      </c>
      <c r="AW41" s="13">
        <v>579439</v>
      </c>
      <c r="AX41" s="3">
        <f t="shared" si="48"/>
        <v>357518</v>
      </c>
      <c r="AY41" s="5">
        <v>936957</v>
      </c>
      <c r="AZ41" s="4">
        <f t="shared" si="49"/>
        <v>0.99123085419033774</v>
      </c>
      <c r="BA41" s="5">
        <v>950318</v>
      </c>
      <c r="BB41" s="13">
        <v>585875</v>
      </c>
      <c r="BC41" s="3">
        <f t="shared" si="50"/>
        <v>355025</v>
      </c>
      <c r="BD41" s="5">
        <v>940900</v>
      </c>
      <c r="BE41" s="4">
        <f t="shared" si="51"/>
        <v>0.9900896331543757</v>
      </c>
      <c r="BF41" s="5">
        <v>1056723</v>
      </c>
      <c r="BG41" s="13">
        <v>627240</v>
      </c>
      <c r="BH41" s="3">
        <f t="shared" si="52"/>
        <v>422026</v>
      </c>
      <c r="BI41" s="5">
        <v>1049266</v>
      </c>
      <c r="BJ41" s="4">
        <f t="shared" si="53"/>
        <v>0.9929432784182799</v>
      </c>
    </row>
    <row r="42" spans="1:62" x14ac:dyDescent="0.3">
      <c r="A42" s="11">
        <v>34</v>
      </c>
      <c r="B42" s="2" t="s">
        <v>35</v>
      </c>
      <c r="C42" s="5">
        <v>18445</v>
      </c>
      <c r="D42" s="5">
        <v>10051</v>
      </c>
      <c r="E42" s="3">
        <f t="shared" si="0"/>
        <v>8187</v>
      </c>
      <c r="F42" s="5">
        <v>18238</v>
      </c>
      <c r="G42" s="4">
        <f t="shared" si="1"/>
        <v>0.98877744646245591</v>
      </c>
      <c r="H42" s="5">
        <v>18615</v>
      </c>
      <c r="I42" s="5">
        <v>9731</v>
      </c>
      <c r="J42" s="3">
        <f t="shared" si="32"/>
        <v>8629</v>
      </c>
      <c r="K42" s="5">
        <v>18360</v>
      </c>
      <c r="L42" s="4">
        <f t="shared" si="33"/>
        <v>0.98630136986301364</v>
      </c>
      <c r="M42" s="5">
        <v>20702</v>
      </c>
      <c r="N42" s="5">
        <v>11077</v>
      </c>
      <c r="O42" s="3">
        <f t="shared" si="34"/>
        <v>9322</v>
      </c>
      <c r="P42" s="5">
        <v>20399</v>
      </c>
      <c r="Q42" s="4">
        <f t="shared" si="35"/>
        <v>0.98536373297265967</v>
      </c>
      <c r="R42" s="5">
        <v>18543</v>
      </c>
      <c r="S42" s="5">
        <v>9859</v>
      </c>
      <c r="T42" s="3">
        <f t="shared" si="36"/>
        <v>8479</v>
      </c>
      <c r="U42" s="5">
        <v>18338</v>
      </c>
      <c r="V42" s="4">
        <f t="shared" si="37"/>
        <v>0.98894461521868093</v>
      </c>
      <c r="W42" s="5">
        <v>18720</v>
      </c>
      <c r="X42" s="5">
        <v>9972</v>
      </c>
      <c r="Y42" s="3">
        <f t="shared" si="38"/>
        <v>8429</v>
      </c>
      <c r="Z42" s="5">
        <v>18401</v>
      </c>
      <c r="AA42" s="4">
        <f t="shared" si="39"/>
        <v>0.98295940170940166</v>
      </c>
      <c r="AB42" s="5">
        <v>20718</v>
      </c>
      <c r="AC42" s="5">
        <v>11198</v>
      </c>
      <c r="AD42" s="3">
        <f t="shared" si="40"/>
        <v>9148</v>
      </c>
      <c r="AE42" s="5">
        <v>20346</v>
      </c>
      <c r="AF42" s="4">
        <f t="shared" si="41"/>
        <v>0.98204459889950768</v>
      </c>
      <c r="AG42" s="5">
        <v>18665</v>
      </c>
      <c r="AH42" s="13">
        <v>10328</v>
      </c>
      <c r="AI42" s="3">
        <f t="shared" si="42"/>
        <v>8089</v>
      </c>
      <c r="AJ42" s="5">
        <v>18417</v>
      </c>
      <c r="AK42" s="4">
        <f t="shared" si="43"/>
        <v>0.98671309938387353</v>
      </c>
      <c r="AL42" s="5">
        <v>18792</v>
      </c>
      <c r="AM42" s="13">
        <v>10366</v>
      </c>
      <c r="AN42" s="3">
        <f t="shared" si="44"/>
        <v>8162</v>
      </c>
      <c r="AO42" s="5">
        <v>18528</v>
      </c>
      <c r="AP42" s="4">
        <f t="shared" si="45"/>
        <v>0.98595146871008943</v>
      </c>
      <c r="AQ42" s="5">
        <v>20796</v>
      </c>
      <c r="AR42" s="13">
        <v>11751</v>
      </c>
      <c r="AS42" s="3">
        <f t="shared" si="46"/>
        <v>8830</v>
      </c>
      <c r="AT42" s="5">
        <v>20581</v>
      </c>
      <c r="AU42" s="4">
        <f t="shared" si="47"/>
        <v>0.98966147336026156</v>
      </c>
      <c r="AV42" s="5">
        <v>18829</v>
      </c>
      <c r="AW42" s="13">
        <v>10333</v>
      </c>
      <c r="AX42" s="3">
        <f t="shared" si="48"/>
        <v>8274</v>
      </c>
      <c r="AY42" s="5">
        <v>18607</v>
      </c>
      <c r="AZ42" s="4">
        <f t="shared" si="49"/>
        <v>0.98820967656274894</v>
      </c>
      <c r="BA42" s="5">
        <v>18938</v>
      </c>
      <c r="BB42" s="13">
        <v>10404</v>
      </c>
      <c r="BC42" s="3">
        <f t="shared" si="50"/>
        <v>8318</v>
      </c>
      <c r="BD42" s="5">
        <v>18722</v>
      </c>
      <c r="BE42" s="4">
        <f t="shared" si="51"/>
        <v>0.9885943605449361</v>
      </c>
      <c r="BF42" s="5">
        <v>21042</v>
      </c>
      <c r="BG42" s="13">
        <v>11166</v>
      </c>
      <c r="BH42" s="3">
        <f t="shared" si="52"/>
        <v>9647</v>
      </c>
      <c r="BI42" s="5">
        <v>20813</v>
      </c>
      <c r="BJ42" s="4">
        <f t="shared" si="53"/>
        <v>0.98911700408706393</v>
      </c>
    </row>
    <row r="43" spans="1:62" x14ac:dyDescent="0.3">
      <c r="A43" s="11">
        <v>35</v>
      </c>
      <c r="B43" s="2" t="s">
        <v>46</v>
      </c>
      <c r="C43" s="5">
        <v>3455</v>
      </c>
      <c r="D43" s="5">
        <v>1579</v>
      </c>
      <c r="E43" s="3">
        <f t="shared" si="0"/>
        <v>1878</v>
      </c>
      <c r="F43" s="5">
        <v>3457</v>
      </c>
      <c r="G43" s="4">
        <f t="shared" si="1"/>
        <v>1.0005788712011578</v>
      </c>
      <c r="H43" s="5">
        <v>3541</v>
      </c>
      <c r="I43" s="5">
        <v>1531</v>
      </c>
      <c r="J43" s="3">
        <f t="shared" si="32"/>
        <v>1946</v>
      </c>
      <c r="K43" s="5">
        <v>3477</v>
      </c>
      <c r="L43" s="4">
        <f t="shared" si="33"/>
        <v>0.98192600960180743</v>
      </c>
      <c r="M43" s="5">
        <v>4395</v>
      </c>
      <c r="N43" s="5">
        <v>1896</v>
      </c>
      <c r="O43" s="3">
        <f t="shared" si="34"/>
        <v>2458</v>
      </c>
      <c r="P43" s="5">
        <v>4354</v>
      </c>
      <c r="Q43" s="4">
        <f t="shared" si="35"/>
        <v>0.99067121729237773</v>
      </c>
      <c r="R43" s="5">
        <v>3498</v>
      </c>
      <c r="S43" s="5">
        <v>1533</v>
      </c>
      <c r="T43" s="3">
        <f t="shared" si="36"/>
        <v>1960</v>
      </c>
      <c r="U43" s="5">
        <v>3493</v>
      </c>
      <c r="V43" s="4">
        <f t="shared" si="37"/>
        <v>0.99857061177815898</v>
      </c>
      <c r="W43" s="5">
        <v>3551</v>
      </c>
      <c r="X43" s="5">
        <v>1496</v>
      </c>
      <c r="Y43" s="3">
        <f t="shared" si="38"/>
        <v>2024</v>
      </c>
      <c r="Z43" s="5">
        <v>3520</v>
      </c>
      <c r="AA43" s="4">
        <f t="shared" si="39"/>
        <v>0.99127006477048718</v>
      </c>
      <c r="AB43" s="5">
        <v>4429</v>
      </c>
      <c r="AC43" s="5">
        <v>1985</v>
      </c>
      <c r="AD43" s="3">
        <f t="shared" si="40"/>
        <v>2406</v>
      </c>
      <c r="AE43" s="5">
        <v>4391</v>
      </c>
      <c r="AF43" s="4">
        <f t="shared" si="41"/>
        <v>0.99142018514337327</v>
      </c>
      <c r="AG43" s="5">
        <v>3560</v>
      </c>
      <c r="AH43" s="13">
        <v>1615</v>
      </c>
      <c r="AI43" s="3">
        <f t="shared" si="42"/>
        <v>1931</v>
      </c>
      <c r="AJ43" s="5">
        <v>3546</v>
      </c>
      <c r="AK43" s="4">
        <f t="shared" si="43"/>
        <v>0.99606741573033708</v>
      </c>
      <c r="AL43" s="5">
        <v>3588</v>
      </c>
      <c r="AM43" s="13">
        <v>1616</v>
      </c>
      <c r="AN43" s="3">
        <f t="shared" si="44"/>
        <v>1965</v>
      </c>
      <c r="AO43" s="5">
        <v>3581</v>
      </c>
      <c r="AP43" s="4">
        <f t="shared" si="45"/>
        <v>0.99804905239687847</v>
      </c>
      <c r="AQ43" s="5">
        <v>4449</v>
      </c>
      <c r="AR43" s="13">
        <v>2052</v>
      </c>
      <c r="AS43" s="3">
        <f t="shared" si="46"/>
        <v>2418</v>
      </c>
      <c r="AT43" s="5">
        <v>4470</v>
      </c>
      <c r="AU43" s="4">
        <f t="shared" si="47"/>
        <v>1.0047201618341199</v>
      </c>
      <c r="AV43" s="5">
        <v>3616</v>
      </c>
      <c r="AW43" s="13">
        <v>1590</v>
      </c>
      <c r="AX43" s="3">
        <f t="shared" si="48"/>
        <v>2042</v>
      </c>
      <c r="AY43" s="5">
        <v>3632</v>
      </c>
      <c r="AZ43" s="4">
        <f t="shared" si="49"/>
        <v>1.0044247787610618</v>
      </c>
      <c r="BA43" s="5">
        <v>3655</v>
      </c>
      <c r="BB43" s="13">
        <v>1641</v>
      </c>
      <c r="BC43" s="3">
        <f t="shared" si="50"/>
        <v>2014</v>
      </c>
      <c r="BD43" s="5">
        <v>3655</v>
      </c>
      <c r="BE43" s="4">
        <f t="shared" si="51"/>
        <v>1</v>
      </c>
      <c r="BF43" s="5">
        <v>4544</v>
      </c>
      <c r="BG43" s="13">
        <v>1774</v>
      </c>
      <c r="BH43" s="3">
        <f t="shared" si="52"/>
        <v>2777</v>
      </c>
      <c r="BI43" s="5">
        <v>4551</v>
      </c>
      <c r="BJ43" s="4">
        <f t="shared" si="53"/>
        <v>1.0015404929577465</v>
      </c>
    </row>
    <row r="44" spans="1:62" x14ac:dyDescent="0.3">
      <c r="A44" s="11">
        <v>36</v>
      </c>
      <c r="B44" s="2" t="s">
        <v>36</v>
      </c>
      <c r="C44" s="5">
        <v>336228</v>
      </c>
      <c r="D44" s="5">
        <v>169568</v>
      </c>
      <c r="E44" s="3">
        <f t="shared" si="0"/>
        <v>164131</v>
      </c>
      <c r="F44" s="5">
        <v>333699</v>
      </c>
      <c r="G44" s="4">
        <f t="shared" si="1"/>
        <v>0.99247831828402155</v>
      </c>
      <c r="H44" s="5">
        <v>340996</v>
      </c>
      <c r="I44" s="5">
        <v>168281</v>
      </c>
      <c r="J44" s="3">
        <f t="shared" si="32"/>
        <v>169341</v>
      </c>
      <c r="K44" s="5">
        <v>337622</v>
      </c>
      <c r="L44" s="4">
        <f t="shared" si="33"/>
        <v>0.99010545578247255</v>
      </c>
      <c r="M44" s="5">
        <v>408512</v>
      </c>
      <c r="N44" s="5">
        <v>204496</v>
      </c>
      <c r="O44" s="3">
        <f t="shared" si="34"/>
        <v>200402</v>
      </c>
      <c r="P44" s="5">
        <v>404898</v>
      </c>
      <c r="Q44" s="4">
        <f t="shared" si="35"/>
        <v>0.9911532586558045</v>
      </c>
      <c r="R44" s="5">
        <v>342556</v>
      </c>
      <c r="S44" s="5">
        <v>172031</v>
      </c>
      <c r="T44" s="3">
        <f t="shared" si="36"/>
        <v>167628</v>
      </c>
      <c r="U44" s="5">
        <v>339659</v>
      </c>
      <c r="V44" s="4">
        <f t="shared" si="37"/>
        <v>0.99154298859164636</v>
      </c>
      <c r="W44" s="5">
        <v>347597</v>
      </c>
      <c r="X44" s="5">
        <v>174724</v>
      </c>
      <c r="Y44" s="3">
        <f t="shared" si="38"/>
        <v>168816</v>
      </c>
      <c r="Z44" s="5">
        <v>343540</v>
      </c>
      <c r="AA44" s="4">
        <f t="shared" si="39"/>
        <v>0.98832843781735746</v>
      </c>
      <c r="AB44" s="5">
        <v>416340</v>
      </c>
      <c r="AC44" s="5">
        <v>210025</v>
      </c>
      <c r="AD44" s="3">
        <f t="shared" si="40"/>
        <v>203196</v>
      </c>
      <c r="AE44" s="5">
        <v>413221</v>
      </c>
      <c r="AF44" s="4">
        <f t="shared" si="41"/>
        <v>0.99250852668492096</v>
      </c>
      <c r="AG44" s="5">
        <v>350469</v>
      </c>
      <c r="AH44" s="13">
        <v>181425</v>
      </c>
      <c r="AI44" s="3">
        <f t="shared" si="42"/>
        <v>166211</v>
      </c>
      <c r="AJ44" s="5">
        <v>347636</v>
      </c>
      <c r="AK44" s="4">
        <f t="shared" si="43"/>
        <v>0.99191654611392166</v>
      </c>
      <c r="AL44" s="5">
        <v>355186</v>
      </c>
      <c r="AM44" s="13">
        <v>181733</v>
      </c>
      <c r="AN44" s="3">
        <f t="shared" si="44"/>
        <v>169382</v>
      </c>
      <c r="AO44" s="5">
        <v>351115</v>
      </c>
      <c r="AP44" s="4">
        <f t="shared" si="45"/>
        <v>0.9885383995990833</v>
      </c>
      <c r="AQ44" s="5">
        <v>424208</v>
      </c>
      <c r="AR44" s="13">
        <v>223587</v>
      </c>
      <c r="AS44" s="3">
        <f t="shared" si="46"/>
        <v>198297</v>
      </c>
      <c r="AT44" s="5">
        <v>421884</v>
      </c>
      <c r="AU44" s="4">
        <f t="shared" si="47"/>
        <v>0.99452155546335763</v>
      </c>
      <c r="AV44" s="5">
        <v>358114</v>
      </c>
      <c r="AW44" s="13">
        <v>187561</v>
      </c>
      <c r="AX44" s="3">
        <f t="shared" si="48"/>
        <v>167159</v>
      </c>
      <c r="AY44" s="5">
        <v>354720</v>
      </c>
      <c r="AZ44" s="4">
        <f t="shared" si="49"/>
        <v>0.99052257102486918</v>
      </c>
      <c r="BA44" s="5">
        <v>361984</v>
      </c>
      <c r="BB44" s="13">
        <v>186951</v>
      </c>
      <c r="BC44" s="3">
        <f t="shared" si="50"/>
        <v>170870</v>
      </c>
      <c r="BD44" s="5">
        <v>357821</v>
      </c>
      <c r="BE44" s="4">
        <f t="shared" si="51"/>
        <v>0.98849949169024043</v>
      </c>
      <c r="BF44" s="5">
        <v>432310</v>
      </c>
      <c r="BG44" s="13">
        <v>202596</v>
      </c>
      <c r="BH44" s="3">
        <f t="shared" si="52"/>
        <v>225482</v>
      </c>
      <c r="BI44" s="5">
        <v>428078</v>
      </c>
      <c r="BJ44" s="4">
        <f t="shared" si="53"/>
        <v>0.99021072841248181</v>
      </c>
    </row>
    <row r="45" spans="1:62" x14ac:dyDescent="0.3">
      <c r="A45" s="11">
        <v>37</v>
      </c>
      <c r="B45" s="2" t="s">
        <v>37</v>
      </c>
      <c r="C45" s="5">
        <v>255558</v>
      </c>
      <c r="D45" s="5">
        <v>135113</v>
      </c>
      <c r="E45" s="3">
        <f t="shared" si="0"/>
        <v>116368</v>
      </c>
      <c r="F45" s="5">
        <v>251481</v>
      </c>
      <c r="G45" s="4">
        <f t="shared" si="1"/>
        <v>0.98404667433615856</v>
      </c>
      <c r="H45" s="5">
        <v>257610</v>
      </c>
      <c r="I45" s="5">
        <v>134183</v>
      </c>
      <c r="J45" s="3">
        <f t="shared" si="32"/>
        <v>119223</v>
      </c>
      <c r="K45" s="5">
        <v>253406</v>
      </c>
      <c r="L45" s="4">
        <f t="shared" si="33"/>
        <v>0.98368075773455999</v>
      </c>
      <c r="M45" s="5">
        <v>310366</v>
      </c>
      <c r="N45" s="5">
        <v>161234</v>
      </c>
      <c r="O45" s="3">
        <f t="shared" si="34"/>
        <v>144182</v>
      </c>
      <c r="P45" s="5">
        <v>305416</v>
      </c>
      <c r="Q45" s="4">
        <f t="shared" si="35"/>
        <v>0.98405108807021391</v>
      </c>
      <c r="R45" s="5">
        <v>257356</v>
      </c>
      <c r="S45" s="5">
        <v>135142</v>
      </c>
      <c r="T45" s="3">
        <f t="shared" si="36"/>
        <v>118791</v>
      </c>
      <c r="U45" s="5">
        <v>253933</v>
      </c>
      <c r="V45" s="4">
        <f t="shared" si="37"/>
        <v>0.98669935808762954</v>
      </c>
      <c r="W45" s="5">
        <v>260553</v>
      </c>
      <c r="X45" s="5">
        <v>134901</v>
      </c>
      <c r="Y45" s="3">
        <f t="shared" si="38"/>
        <v>120995</v>
      </c>
      <c r="Z45" s="5">
        <v>255896</v>
      </c>
      <c r="AA45" s="4">
        <f t="shared" si="39"/>
        <v>0.98212647714668422</v>
      </c>
      <c r="AB45" s="5">
        <v>313911</v>
      </c>
      <c r="AC45" s="5">
        <v>160994</v>
      </c>
      <c r="AD45" s="3">
        <f t="shared" si="40"/>
        <v>148043</v>
      </c>
      <c r="AE45" s="5">
        <v>309037</v>
      </c>
      <c r="AF45" s="4">
        <f t="shared" si="41"/>
        <v>0.98447330612817008</v>
      </c>
      <c r="AG45" s="5">
        <v>261210</v>
      </c>
      <c r="AH45" s="13">
        <v>140924</v>
      </c>
      <c r="AI45" s="3">
        <f t="shared" si="42"/>
        <v>116300</v>
      </c>
      <c r="AJ45" s="5">
        <v>257224</v>
      </c>
      <c r="AK45" s="4">
        <f t="shared" si="43"/>
        <v>0.98474024731059306</v>
      </c>
      <c r="AL45" s="5">
        <v>264020</v>
      </c>
      <c r="AM45" s="13">
        <v>138694</v>
      </c>
      <c r="AN45" s="3">
        <f t="shared" si="44"/>
        <v>120924</v>
      </c>
      <c r="AO45" s="5">
        <v>259618</v>
      </c>
      <c r="AP45" s="4">
        <f t="shared" si="45"/>
        <v>0.98332702068025146</v>
      </c>
      <c r="AQ45" s="5">
        <v>317407</v>
      </c>
      <c r="AR45" s="13">
        <v>168538</v>
      </c>
      <c r="AS45" s="3">
        <f t="shared" si="46"/>
        <v>143510</v>
      </c>
      <c r="AT45" s="5">
        <v>312048</v>
      </c>
      <c r="AU45" s="4">
        <f t="shared" si="47"/>
        <v>0.98311631438500091</v>
      </c>
      <c r="AV45" s="5">
        <v>263886</v>
      </c>
      <c r="AW45" s="13">
        <v>141302</v>
      </c>
      <c r="AX45" s="3">
        <f t="shared" si="48"/>
        <v>118320</v>
      </c>
      <c r="AY45" s="5">
        <v>259622</v>
      </c>
      <c r="AZ45" s="4">
        <f t="shared" si="49"/>
        <v>0.98384150731755382</v>
      </c>
      <c r="BA45" s="5">
        <v>265781</v>
      </c>
      <c r="BB45" s="13">
        <v>140546</v>
      </c>
      <c r="BC45" s="3">
        <f t="shared" si="50"/>
        <v>120905</v>
      </c>
      <c r="BD45" s="5">
        <v>261451</v>
      </c>
      <c r="BE45" s="4">
        <f t="shared" si="51"/>
        <v>0.98370839149525358</v>
      </c>
      <c r="BF45" s="5">
        <v>319799</v>
      </c>
      <c r="BG45" s="13">
        <v>150065</v>
      </c>
      <c r="BH45" s="3">
        <f t="shared" si="52"/>
        <v>165114</v>
      </c>
      <c r="BI45" s="5">
        <v>315179</v>
      </c>
      <c r="BJ45" s="4">
        <f t="shared" si="53"/>
        <v>0.98555342574554639</v>
      </c>
    </row>
    <row r="46" spans="1:62" x14ac:dyDescent="0.3">
      <c r="A46" s="11">
        <v>38</v>
      </c>
      <c r="B46" s="2" t="s">
        <v>38</v>
      </c>
      <c r="C46" s="5">
        <v>2214</v>
      </c>
      <c r="D46" s="5">
        <v>725</v>
      </c>
      <c r="E46" s="3">
        <f t="shared" si="0"/>
        <v>1645</v>
      </c>
      <c r="F46" s="5">
        <v>2370</v>
      </c>
      <c r="G46" s="4">
        <f t="shared" si="1"/>
        <v>1.070460704607046</v>
      </c>
      <c r="H46" s="5">
        <v>2377</v>
      </c>
      <c r="I46" s="5">
        <v>888</v>
      </c>
      <c r="J46" s="3">
        <f t="shared" si="32"/>
        <v>1622</v>
      </c>
      <c r="K46" s="5">
        <v>2510</v>
      </c>
      <c r="L46" s="4">
        <f t="shared" si="33"/>
        <v>1.0559528817837611</v>
      </c>
      <c r="M46" s="5">
        <v>6689</v>
      </c>
      <c r="N46" s="5">
        <v>2471</v>
      </c>
      <c r="O46" s="3">
        <f t="shared" si="34"/>
        <v>4408</v>
      </c>
      <c r="P46" s="5">
        <v>6879</v>
      </c>
      <c r="Q46" s="4">
        <f t="shared" si="35"/>
        <v>1.0284048437733593</v>
      </c>
      <c r="R46" s="5">
        <v>2186</v>
      </c>
      <c r="S46" s="5">
        <v>814</v>
      </c>
      <c r="T46" s="3">
        <f t="shared" si="36"/>
        <v>1524</v>
      </c>
      <c r="U46" s="5">
        <v>2338</v>
      </c>
      <c r="V46" s="4">
        <f t="shared" si="37"/>
        <v>1.0695333943275389</v>
      </c>
      <c r="W46" s="5">
        <v>2396</v>
      </c>
      <c r="X46" s="5">
        <v>864</v>
      </c>
      <c r="Y46" s="3">
        <f t="shared" si="38"/>
        <v>1582</v>
      </c>
      <c r="Z46" s="5">
        <v>2446</v>
      </c>
      <c r="AA46" s="4">
        <f t="shared" si="39"/>
        <v>1.0208681135225375</v>
      </c>
      <c r="AB46" s="5">
        <v>6920</v>
      </c>
      <c r="AC46" s="5">
        <v>2554</v>
      </c>
      <c r="AD46" s="3">
        <f t="shared" si="40"/>
        <v>4611</v>
      </c>
      <c r="AE46" s="5">
        <v>7165</v>
      </c>
      <c r="AF46" s="4">
        <f t="shared" si="41"/>
        <v>1.0354046242774566</v>
      </c>
      <c r="AG46" s="5">
        <v>2260</v>
      </c>
      <c r="AH46" s="13">
        <v>869</v>
      </c>
      <c r="AI46" s="3">
        <f t="shared" si="42"/>
        <v>1491</v>
      </c>
      <c r="AJ46" s="5">
        <v>2360</v>
      </c>
      <c r="AK46" s="4">
        <f t="shared" si="43"/>
        <v>1.0442477876106195</v>
      </c>
      <c r="AL46" s="5">
        <v>2436</v>
      </c>
      <c r="AM46" s="13">
        <v>969</v>
      </c>
      <c r="AN46" s="3">
        <f t="shared" si="44"/>
        <v>1482</v>
      </c>
      <c r="AO46" s="5">
        <v>2451</v>
      </c>
      <c r="AP46" s="4">
        <f t="shared" si="45"/>
        <v>1.0061576354679802</v>
      </c>
      <c r="AQ46" s="5">
        <v>7143</v>
      </c>
      <c r="AR46" s="13">
        <v>3070</v>
      </c>
      <c r="AS46" s="3">
        <f t="shared" si="46"/>
        <v>4297</v>
      </c>
      <c r="AT46" s="5">
        <v>7367</v>
      </c>
      <c r="AU46" s="4">
        <f t="shared" si="47"/>
        <v>1.0313593728125436</v>
      </c>
      <c r="AV46" s="5">
        <v>2225</v>
      </c>
      <c r="AW46" s="13">
        <v>903</v>
      </c>
      <c r="AX46" s="3">
        <f t="shared" si="48"/>
        <v>1455</v>
      </c>
      <c r="AY46" s="5">
        <v>2358</v>
      </c>
      <c r="AZ46" s="4">
        <f t="shared" si="49"/>
        <v>1.0597752808988765</v>
      </c>
      <c r="BA46" s="5">
        <v>2388</v>
      </c>
      <c r="BB46" s="13">
        <v>1000</v>
      </c>
      <c r="BC46" s="3">
        <f t="shared" si="50"/>
        <v>1421</v>
      </c>
      <c r="BD46" s="5">
        <v>2421</v>
      </c>
      <c r="BE46" s="4">
        <f t="shared" si="51"/>
        <v>1.0138190954773869</v>
      </c>
      <c r="BF46" s="5">
        <v>7407</v>
      </c>
      <c r="BG46" s="13">
        <v>2920</v>
      </c>
      <c r="BH46" s="3">
        <f t="shared" si="52"/>
        <v>4647</v>
      </c>
      <c r="BI46" s="5">
        <v>7567</v>
      </c>
      <c r="BJ46" s="4">
        <f t="shared" si="53"/>
        <v>1.0216011880653435</v>
      </c>
    </row>
    <row r="47" spans="1:62" x14ac:dyDescent="0.3">
      <c r="A47" s="11">
        <v>97</v>
      </c>
      <c r="B47" s="2" t="s">
        <v>39</v>
      </c>
      <c r="C47" s="5">
        <v>84</v>
      </c>
      <c r="D47" s="5">
        <v>62</v>
      </c>
      <c r="E47" s="3">
        <f t="shared" si="0"/>
        <v>6</v>
      </c>
      <c r="F47" s="5">
        <v>68</v>
      </c>
      <c r="G47" s="4">
        <f t="shared" si="1"/>
        <v>0.80952380952380953</v>
      </c>
      <c r="H47" s="5">
        <v>81</v>
      </c>
      <c r="I47" s="5">
        <v>63</v>
      </c>
      <c r="J47" s="3">
        <f t="shared" si="32"/>
        <v>5</v>
      </c>
      <c r="K47" s="5">
        <v>68</v>
      </c>
      <c r="L47" s="4">
        <f t="shared" si="33"/>
        <v>0.83950617283950613</v>
      </c>
      <c r="M47" s="5">
        <v>86</v>
      </c>
      <c r="N47" s="5">
        <v>67</v>
      </c>
      <c r="O47" s="3">
        <f t="shared" si="34"/>
        <v>7</v>
      </c>
      <c r="P47" s="5">
        <v>74</v>
      </c>
      <c r="Q47" s="4">
        <f t="shared" si="35"/>
        <v>0.86046511627906974</v>
      </c>
      <c r="R47" s="5">
        <v>80</v>
      </c>
      <c r="S47" s="5">
        <v>62</v>
      </c>
      <c r="T47" s="3">
        <f t="shared" si="36"/>
        <v>5</v>
      </c>
      <c r="U47" s="5">
        <v>67</v>
      </c>
      <c r="V47" s="4">
        <f t="shared" si="37"/>
        <v>0.83750000000000002</v>
      </c>
      <c r="W47" s="5">
        <v>81</v>
      </c>
      <c r="X47" s="5">
        <v>62</v>
      </c>
      <c r="Y47" s="3">
        <f t="shared" si="38"/>
        <v>5</v>
      </c>
      <c r="Z47" s="5">
        <v>67</v>
      </c>
      <c r="AA47" s="4">
        <f t="shared" si="39"/>
        <v>0.8271604938271605</v>
      </c>
      <c r="AB47" s="5">
        <v>87</v>
      </c>
      <c r="AC47" s="5">
        <v>66</v>
      </c>
      <c r="AD47" s="3">
        <f t="shared" si="40"/>
        <v>7</v>
      </c>
      <c r="AE47" s="5">
        <v>73</v>
      </c>
      <c r="AF47" s="4">
        <f t="shared" si="41"/>
        <v>0.83908045977011492</v>
      </c>
      <c r="AG47" s="5">
        <v>81</v>
      </c>
      <c r="AH47" s="13">
        <v>63</v>
      </c>
      <c r="AI47" s="3">
        <f t="shared" si="42"/>
        <v>3</v>
      </c>
      <c r="AJ47" s="5">
        <v>66</v>
      </c>
      <c r="AK47" s="4">
        <f t="shared" si="43"/>
        <v>0.81481481481481477</v>
      </c>
      <c r="AL47" s="5">
        <v>81</v>
      </c>
      <c r="AM47" s="13">
        <v>62</v>
      </c>
      <c r="AN47" s="3">
        <f t="shared" si="44"/>
        <v>4</v>
      </c>
      <c r="AO47" s="5">
        <v>66</v>
      </c>
      <c r="AP47" s="4">
        <f t="shared" si="45"/>
        <v>0.81481481481481477</v>
      </c>
      <c r="AQ47" s="5">
        <v>87</v>
      </c>
      <c r="AR47" s="13">
        <v>66</v>
      </c>
      <c r="AS47" s="3">
        <f t="shared" si="46"/>
        <v>5</v>
      </c>
      <c r="AT47" s="5">
        <v>71</v>
      </c>
      <c r="AU47" s="4">
        <f t="shared" si="47"/>
        <v>0.81609195402298851</v>
      </c>
      <c r="AV47" s="5">
        <v>81</v>
      </c>
      <c r="AW47" s="13">
        <v>63</v>
      </c>
      <c r="AX47" s="3">
        <f t="shared" si="48"/>
        <v>3</v>
      </c>
      <c r="AY47" s="5">
        <v>66</v>
      </c>
      <c r="AZ47" s="4">
        <f t="shared" si="49"/>
        <v>0.81481481481481477</v>
      </c>
      <c r="BA47" s="5">
        <v>80</v>
      </c>
      <c r="BB47" s="13">
        <v>61</v>
      </c>
      <c r="BC47" s="3">
        <f t="shared" si="50"/>
        <v>4</v>
      </c>
      <c r="BD47" s="5">
        <v>65</v>
      </c>
      <c r="BE47" s="4">
        <f t="shared" si="51"/>
        <v>0.8125</v>
      </c>
      <c r="BF47" s="5">
        <v>85</v>
      </c>
      <c r="BG47" s="13">
        <v>63</v>
      </c>
      <c r="BH47" s="3">
        <f t="shared" si="52"/>
        <v>6</v>
      </c>
      <c r="BI47" s="5">
        <v>69</v>
      </c>
      <c r="BJ47" s="4">
        <f t="shared" si="53"/>
        <v>0.81176470588235294</v>
      </c>
    </row>
    <row r="48" spans="1:62" ht="15.6" x14ac:dyDescent="0.3">
      <c r="A48" s="18" t="s">
        <v>40</v>
      </c>
      <c r="B48" s="18"/>
      <c r="C48" s="7">
        <f>SUM(C10:C47)</f>
        <v>7712416</v>
      </c>
      <c r="D48" s="7">
        <f>SUM(D10:D47)</f>
        <v>4658929</v>
      </c>
      <c r="E48" s="8">
        <f>F48-D48</f>
        <v>3007798</v>
      </c>
      <c r="F48" s="7">
        <f>SUM(F10:F47)</f>
        <v>7666727</v>
      </c>
      <c r="G48" s="6">
        <f>F48/C48</f>
        <v>0.9940759160294258</v>
      </c>
      <c r="H48" s="7">
        <f>SUM(H10:H47)</f>
        <v>7867344</v>
      </c>
      <c r="I48" s="7">
        <f>SUM(I10:I47)</f>
        <v>4706855</v>
      </c>
      <c r="J48" s="8">
        <f>K48-I48</f>
        <v>3058445</v>
      </c>
      <c r="K48" s="7">
        <f>SUM(K10:K47)</f>
        <v>7765300</v>
      </c>
      <c r="L48" s="6">
        <f>K48/H48</f>
        <v>0.98702942187350651</v>
      </c>
      <c r="M48" s="7">
        <f>SUM(M10:M47)</f>
        <v>12152252</v>
      </c>
      <c r="N48" s="7">
        <f>SUM(N10:N47)</f>
        <v>7122664</v>
      </c>
      <c r="O48" s="8">
        <f>P48-N48</f>
        <v>4954715</v>
      </c>
      <c r="P48" s="7">
        <f>SUM(P10:P47)</f>
        <v>12077379</v>
      </c>
      <c r="Q48" s="6">
        <f>P48/M48</f>
        <v>0.99383875515418874</v>
      </c>
      <c r="R48" s="7">
        <f>SUM(R10:R47)</f>
        <v>7805893</v>
      </c>
      <c r="S48" s="7">
        <f>SUM(S10:S47)</f>
        <v>4711364</v>
      </c>
      <c r="T48" s="8">
        <f>U48-S48</f>
        <v>3023388</v>
      </c>
      <c r="U48" s="7">
        <f>SUM(U10:U47)</f>
        <v>7734752</v>
      </c>
      <c r="V48" s="6">
        <f>U48/R48</f>
        <v>0.99088624453345697</v>
      </c>
      <c r="W48" s="7">
        <f>SUM(W10:W47)</f>
        <v>7947831</v>
      </c>
      <c r="X48" s="7">
        <f>SUM(X10:X47)</f>
        <v>4763705</v>
      </c>
      <c r="Y48" s="8">
        <f>Z48-X48</f>
        <v>3062791</v>
      </c>
      <c r="Z48" s="7">
        <f>SUM(Z10:Z47)</f>
        <v>7826496</v>
      </c>
      <c r="AA48" s="6">
        <f>Z48/W48</f>
        <v>0.98473357070627199</v>
      </c>
      <c r="AB48" s="7">
        <f>SUM(AB10:AB47)</f>
        <v>12284179</v>
      </c>
      <c r="AC48" s="7">
        <f>SUM(AC10:AC47)</f>
        <v>7258454</v>
      </c>
      <c r="AD48" s="8">
        <f>AE48-AC48</f>
        <v>4962849</v>
      </c>
      <c r="AE48" s="7">
        <f>SUM(AE10:AE47)</f>
        <v>12221303</v>
      </c>
      <c r="AF48" s="6">
        <f>AE48/AB48</f>
        <v>0.99488154641836468</v>
      </c>
      <c r="AG48" s="7">
        <f>SUM(AG10:AG47)</f>
        <v>7934386</v>
      </c>
      <c r="AH48" s="7">
        <f>SUM(AH10:AH47)</f>
        <v>4892180</v>
      </c>
      <c r="AI48" s="8">
        <f>AJ48-AH48</f>
        <v>2974522</v>
      </c>
      <c r="AJ48" s="7">
        <f>SUM(AJ10:AJ47)</f>
        <v>7866702</v>
      </c>
      <c r="AK48" s="6">
        <f>AJ48/AG48</f>
        <v>0.99146953526082549</v>
      </c>
      <c r="AL48" s="7">
        <f>SUM(AL10:AL47)</f>
        <v>8078477</v>
      </c>
      <c r="AM48" s="7">
        <f>SUM(AM10:AM47)</f>
        <v>4911130</v>
      </c>
      <c r="AN48" s="8">
        <f>AO48-AM48</f>
        <v>3044602</v>
      </c>
      <c r="AO48" s="7">
        <f>SUM(AO10:AO47)</f>
        <v>7955732</v>
      </c>
      <c r="AP48" s="6">
        <f>AO48/AL48</f>
        <v>0.98480592319567162</v>
      </c>
      <c r="AQ48" s="7">
        <f>SUM(AQ10:AQ47)</f>
        <v>12445246</v>
      </c>
      <c r="AR48" s="7">
        <f>SUM(AR10:AR47)</f>
        <v>7537318</v>
      </c>
      <c r="AS48" s="8">
        <f>AT48-AR48</f>
        <v>4874311</v>
      </c>
      <c r="AT48" s="7">
        <f>SUM(AT10:AT47)</f>
        <v>12411629</v>
      </c>
      <c r="AU48" s="6">
        <f>AT48/AQ48</f>
        <v>0.99729880791428305</v>
      </c>
      <c r="AV48" s="7">
        <f>SUM(AV10:AV47)</f>
        <v>8061336</v>
      </c>
      <c r="AW48" s="7">
        <f>SUM(AW10:AW47)</f>
        <v>5006913</v>
      </c>
      <c r="AX48" s="8">
        <f>AY48-AW48</f>
        <v>2995556</v>
      </c>
      <c r="AY48" s="7">
        <f>SUM(AY10:AY47)</f>
        <v>8002469</v>
      </c>
      <c r="AZ48" s="6">
        <f>AY48/AV48</f>
        <v>0.99269761240568566</v>
      </c>
      <c r="BA48" s="7">
        <f>SUM(BA10:BA47)</f>
        <v>8202455</v>
      </c>
      <c r="BB48" s="7">
        <f>SUM(BB10:BB47)</f>
        <v>5066399</v>
      </c>
      <c r="BC48" s="8">
        <f>BD48-BB48</f>
        <v>3029331</v>
      </c>
      <c r="BD48" s="7">
        <f>SUM(BD10:BD47)</f>
        <v>8095730</v>
      </c>
      <c r="BE48" s="6">
        <f>BD48/BA48</f>
        <v>0.98698865156834148</v>
      </c>
      <c r="BF48" s="7">
        <f>SUM(BF10:BF47)</f>
        <v>12656060</v>
      </c>
      <c r="BG48" s="7">
        <f>SUM(BG10:BG47)</f>
        <v>7256595</v>
      </c>
      <c r="BH48" s="8">
        <f>BI48-BG48</f>
        <v>5326723</v>
      </c>
      <c r="BI48" s="7">
        <f>SUM(BI10:BI47)</f>
        <v>12583318</v>
      </c>
      <c r="BJ48" s="6">
        <f>BI48/BF48</f>
        <v>0.99425239766562423</v>
      </c>
    </row>
  </sheetData>
  <mergeCells count="18">
    <mergeCell ref="A48:B48"/>
    <mergeCell ref="A3:B3"/>
    <mergeCell ref="A5:C5"/>
    <mergeCell ref="A8:A9"/>
    <mergeCell ref="B8:B9"/>
    <mergeCell ref="C8:G8"/>
    <mergeCell ref="A1:E1"/>
    <mergeCell ref="AQ8:AU8"/>
    <mergeCell ref="AV8:AZ8"/>
    <mergeCell ref="BF8:BJ8"/>
    <mergeCell ref="R8:V8"/>
    <mergeCell ref="H8:L8"/>
    <mergeCell ref="M8:Q8"/>
    <mergeCell ref="W8:AA8"/>
    <mergeCell ref="AB8:AF8"/>
    <mergeCell ref="AG8:AK8"/>
    <mergeCell ref="AL8:AP8"/>
    <mergeCell ref="BA8:BE8"/>
  </mergeCells>
  <pageMargins left="0.7" right="0.7" top="0.75" bottom="0.75" header="0.3" footer="0.3"/>
  <pageSetup orientation="portrait" r:id="rId1"/>
  <ignoredErrors>
    <ignoredError sqref="A19:A47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Mayank Budhiraja</dc:creator>
  <cp:lastModifiedBy>Krishan Pal Singh</cp:lastModifiedBy>
  <dcterms:created xsi:type="dcterms:W3CDTF">2021-04-12T06:01:25Z</dcterms:created>
  <dcterms:modified xsi:type="dcterms:W3CDTF">2026-08-19T07:10:56Z</dcterms:modified>
</cp:coreProperties>
</file>