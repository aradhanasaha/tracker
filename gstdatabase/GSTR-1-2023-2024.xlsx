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GSTN\Krishnan Sir\Monthly Report\Aug-26\GST Statistics Downloads 31st Aug 26\Downloads\GSTR 1\"/>
    </mc:Choice>
  </mc:AlternateContent>
  <xr:revisionPtr revIDLastSave="0" documentId="13_ncr:1_{23C35BF6-2C0C-428B-B8BB-F3FCB8FEAA4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STR-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C48" i="2"/>
  <c r="P48" i="2"/>
  <c r="BD48" i="2"/>
  <c r="BB48" i="2"/>
  <c r="BA48" i="2"/>
  <c r="BE47" i="2"/>
  <c r="BC47" i="2"/>
  <c r="BE46" i="2"/>
  <c r="BC46" i="2"/>
  <c r="BE45" i="2"/>
  <c r="BC45" i="2"/>
  <c r="BE44" i="2"/>
  <c r="BC44" i="2"/>
  <c r="BE43" i="2"/>
  <c r="BC43" i="2"/>
  <c r="BE42" i="2"/>
  <c r="BC42" i="2"/>
  <c r="BE41" i="2"/>
  <c r="BC41" i="2"/>
  <c r="BE40" i="2"/>
  <c r="BC40" i="2"/>
  <c r="BE39" i="2"/>
  <c r="BC39" i="2"/>
  <c r="BE38" i="2"/>
  <c r="BC38" i="2"/>
  <c r="BE37" i="2"/>
  <c r="BC37" i="2"/>
  <c r="BE36" i="2"/>
  <c r="BC36" i="2"/>
  <c r="BE35" i="2"/>
  <c r="BC35" i="2"/>
  <c r="BE33" i="2"/>
  <c r="BC33" i="2"/>
  <c r="BE32" i="2"/>
  <c r="BC32" i="2"/>
  <c r="BE31" i="2"/>
  <c r="BC31" i="2"/>
  <c r="BE30" i="2"/>
  <c r="BC30" i="2"/>
  <c r="BE29" i="2"/>
  <c r="BC29" i="2"/>
  <c r="BE28" i="2"/>
  <c r="BC28" i="2"/>
  <c r="BE27" i="2"/>
  <c r="BC27" i="2"/>
  <c r="BE26" i="2"/>
  <c r="BC26" i="2"/>
  <c r="BE25" i="2"/>
  <c r="BC25" i="2"/>
  <c r="BE24" i="2"/>
  <c r="BC24" i="2"/>
  <c r="BE23" i="2"/>
  <c r="BC23" i="2"/>
  <c r="BE22" i="2"/>
  <c r="BC22" i="2"/>
  <c r="BE21" i="2"/>
  <c r="BC21" i="2"/>
  <c r="BE20" i="2"/>
  <c r="BC20" i="2"/>
  <c r="BE19" i="2"/>
  <c r="BC19" i="2"/>
  <c r="BE18" i="2"/>
  <c r="BC18" i="2"/>
  <c r="BE17" i="2"/>
  <c r="BC17" i="2"/>
  <c r="BE16" i="2"/>
  <c r="BC16" i="2"/>
  <c r="BE15" i="2"/>
  <c r="BC15" i="2"/>
  <c r="BE14" i="2"/>
  <c r="BC14" i="2"/>
  <c r="BE13" i="2"/>
  <c r="BC13" i="2"/>
  <c r="BE12" i="2"/>
  <c r="BC12" i="2"/>
  <c r="BE11" i="2"/>
  <c r="BC11" i="2"/>
  <c r="BE10" i="2"/>
  <c r="BC10" i="2"/>
  <c r="AY48" i="2"/>
  <c r="AW48" i="2"/>
  <c r="AV48" i="2"/>
  <c r="AZ47" i="2"/>
  <c r="AX47" i="2"/>
  <c r="AZ46" i="2"/>
  <c r="AX46" i="2"/>
  <c r="AZ45" i="2"/>
  <c r="AX45" i="2"/>
  <c r="AZ44" i="2"/>
  <c r="AX44" i="2"/>
  <c r="AZ43" i="2"/>
  <c r="AX43" i="2"/>
  <c r="AZ42" i="2"/>
  <c r="AX42" i="2"/>
  <c r="AZ41" i="2"/>
  <c r="AX41" i="2"/>
  <c r="AZ40" i="2"/>
  <c r="AX40" i="2"/>
  <c r="AZ39" i="2"/>
  <c r="AX39" i="2"/>
  <c r="AZ38" i="2"/>
  <c r="AX38" i="2"/>
  <c r="AZ37" i="2"/>
  <c r="AX37" i="2"/>
  <c r="AZ36" i="2"/>
  <c r="AX36" i="2"/>
  <c r="AZ35" i="2"/>
  <c r="AX35" i="2"/>
  <c r="AZ33" i="2"/>
  <c r="AX33" i="2"/>
  <c r="AZ32" i="2"/>
  <c r="AX32" i="2"/>
  <c r="AZ31" i="2"/>
  <c r="AX31" i="2"/>
  <c r="AZ30" i="2"/>
  <c r="AX30" i="2"/>
  <c r="AZ29" i="2"/>
  <c r="AX29" i="2"/>
  <c r="AZ28" i="2"/>
  <c r="AX28" i="2"/>
  <c r="AZ27" i="2"/>
  <c r="AX27" i="2"/>
  <c r="AZ26" i="2"/>
  <c r="AX26" i="2"/>
  <c r="AZ25" i="2"/>
  <c r="AX25" i="2"/>
  <c r="AZ24" i="2"/>
  <c r="AX24" i="2"/>
  <c r="AZ23" i="2"/>
  <c r="AX23" i="2"/>
  <c r="AZ22" i="2"/>
  <c r="AX22" i="2"/>
  <c r="AZ21" i="2"/>
  <c r="AX21" i="2"/>
  <c r="AZ20" i="2"/>
  <c r="AX20" i="2"/>
  <c r="AZ19" i="2"/>
  <c r="AX19" i="2"/>
  <c r="AZ18" i="2"/>
  <c r="AX18" i="2"/>
  <c r="AZ17" i="2"/>
  <c r="AX17" i="2"/>
  <c r="AZ16" i="2"/>
  <c r="AX16" i="2"/>
  <c r="AZ15" i="2"/>
  <c r="AX15" i="2"/>
  <c r="AZ14" i="2"/>
  <c r="AX14" i="2"/>
  <c r="AZ13" i="2"/>
  <c r="AX13" i="2"/>
  <c r="AZ12" i="2"/>
  <c r="AX12" i="2"/>
  <c r="AZ11" i="2"/>
  <c r="AX11" i="2"/>
  <c r="AZ10" i="2"/>
  <c r="AX10" i="2"/>
  <c r="BF48" i="2"/>
  <c r="BC48" i="2" l="1"/>
  <c r="BE48" i="2"/>
  <c r="AX48" i="2"/>
  <c r="AZ48" i="2"/>
  <c r="AT48" i="2"/>
  <c r="AR48" i="2"/>
  <c r="AQ48" i="2"/>
  <c r="AU47" i="2"/>
  <c r="AS47" i="2"/>
  <c r="AU46" i="2"/>
  <c r="AS46" i="2"/>
  <c r="AU45" i="2"/>
  <c r="AS45" i="2"/>
  <c r="AU44" i="2"/>
  <c r="AS44" i="2"/>
  <c r="AU43" i="2"/>
  <c r="AS43" i="2"/>
  <c r="AU42" i="2"/>
  <c r="AS42" i="2"/>
  <c r="AU41" i="2"/>
  <c r="AS41" i="2"/>
  <c r="AU40" i="2"/>
  <c r="AS40" i="2"/>
  <c r="AU39" i="2"/>
  <c r="AS39" i="2"/>
  <c r="AU38" i="2"/>
  <c r="AS38" i="2"/>
  <c r="AU37" i="2"/>
  <c r="AS37" i="2"/>
  <c r="AU36" i="2"/>
  <c r="AS36" i="2"/>
  <c r="AU35" i="2"/>
  <c r="AS35" i="2"/>
  <c r="AU33" i="2"/>
  <c r="AS33" i="2"/>
  <c r="AU32" i="2"/>
  <c r="AS32" i="2"/>
  <c r="AU31" i="2"/>
  <c r="AS31" i="2"/>
  <c r="AU30" i="2"/>
  <c r="AS30" i="2"/>
  <c r="AU29" i="2"/>
  <c r="AS29" i="2"/>
  <c r="AU28" i="2"/>
  <c r="AS28" i="2"/>
  <c r="AU27" i="2"/>
  <c r="AS27" i="2"/>
  <c r="AU26" i="2"/>
  <c r="AS26" i="2"/>
  <c r="AU25" i="2"/>
  <c r="AS25" i="2"/>
  <c r="AU24" i="2"/>
  <c r="AS24" i="2"/>
  <c r="AU23" i="2"/>
  <c r="AS23" i="2"/>
  <c r="AU22" i="2"/>
  <c r="AS22" i="2"/>
  <c r="AU21" i="2"/>
  <c r="AS21" i="2"/>
  <c r="AU20" i="2"/>
  <c r="AS20" i="2"/>
  <c r="AU19" i="2"/>
  <c r="AS19" i="2"/>
  <c r="AU18" i="2"/>
  <c r="AS18" i="2"/>
  <c r="AU17" i="2"/>
  <c r="AS17" i="2"/>
  <c r="AU16" i="2"/>
  <c r="AS16" i="2"/>
  <c r="AU15" i="2"/>
  <c r="AS15" i="2"/>
  <c r="AU14" i="2"/>
  <c r="AS14" i="2"/>
  <c r="AU13" i="2"/>
  <c r="AS13" i="2"/>
  <c r="AU12" i="2"/>
  <c r="AS12" i="2"/>
  <c r="AU11" i="2"/>
  <c r="AS11" i="2"/>
  <c r="AU10" i="2"/>
  <c r="AS10" i="2"/>
  <c r="AO48" i="2"/>
  <c r="AM48" i="2"/>
  <c r="AL48" i="2"/>
  <c r="AP47" i="2"/>
  <c r="AN47" i="2"/>
  <c r="AP46" i="2"/>
  <c r="AN46" i="2"/>
  <c r="AP45" i="2"/>
  <c r="AN45" i="2"/>
  <c r="AP44" i="2"/>
  <c r="AN44" i="2"/>
  <c r="AP43" i="2"/>
  <c r="AN43" i="2"/>
  <c r="AP42" i="2"/>
  <c r="AN42" i="2"/>
  <c r="AP41" i="2"/>
  <c r="AN41" i="2"/>
  <c r="AP40" i="2"/>
  <c r="AN40" i="2"/>
  <c r="AP39" i="2"/>
  <c r="AN39" i="2"/>
  <c r="AP38" i="2"/>
  <c r="AN38" i="2"/>
  <c r="AP37" i="2"/>
  <c r="AN37" i="2"/>
  <c r="AP36" i="2"/>
  <c r="AN36" i="2"/>
  <c r="AP35" i="2"/>
  <c r="AN35" i="2"/>
  <c r="AP33" i="2"/>
  <c r="AN33" i="2"/>
  <c r="AP32" i="2"/>
  <c r="AN32" i="2"/>
  <c r="AP31" i="2"/>
  <c r="AN31" i="2"/>
  <c r="AP30" i="2"/>
  <c r="AN30" i="2"/>
  <c r="AP29" i="2"/>
  <c r="AN29" i="2"/>
  <c r="AP28" i="2"/>
  <c r="AN28" i="2"/>
  <c r="AP27" i="2"/>
  <c r="AN27" i="2"/>
  <c r="AP26" i="2"/>
  <c r="AN26" i="2"/>
  <c r="AP25" i="2"/>
  <c r="AN25" i="2"/>
  <c r="AP24" i="2"/>
  <c r="AN24" i="2"/>
  <c r="AP23" i="2"/>
  <c r="AN23" i="2"/>
  <c r="AP22" i="2"/>
  <c r="AN22" i="2"/>
  <c r="AP21" i="2"/>
  <c r="AN21" i="2"/>
  <c r="AP20" i="2"/>
  <c r="AN20" i="2"/>
  <c r="AP19" i="2"/>
  <c r="AN19" i="2"/>
  <c r="AP18" i="2"/>
  <c r="AN18" i="2"/>
  <c r="AP17" i="2"/>
  <c r="AN17" i="2"/>
  <c r="AP16" i="2"/>
  <c r="AN16" i="2"/>
  <c r="AP15" i="2"/>
  <c r="AN15" i="2"/>
  <c r="AP14" i="2"/>
  <c r="AN14" i="2"/>
  <c r="AP13" i="2"/>
  <c r="AN13" i="2"/>
  <c r="AP12" i="2"/>
  <c r="AN12" i="2"/>
  <c r="AP11" i="2"/>
  <c r="AN11" i="2"/>
  <c r="AP10" i="2"/>
  <c r="AN10" i="2"/>
  <c r="AU48" i="2" l="1"/>
  <c r="AP48" i="2"/>
  <c r="AS48" i="2"/>
  <c r="AN48" i="2"/>
  <c r="AJ48" i="2"/>
  <c r="AH48" i="2"/>
  <c r="AG48" i="2"/>
  <c r="AK47" i="2"/>
  <c r="AI47" i="2"/>
  <c r="AK46" i="2"/>
  <c r="AI46" i="2"/>
  <c r="AK45" i="2"/>
  <c r="AI45" i="2"/>
  <c r="AK44" i="2"/>
  <c r="AI44" i="2"/>
  <c r="AK43" i="2"/>
  <c r="AI43" i="2"/>
  <c r="AK42" i="2"/>
  <c r="AI42" i="2"/>
  <c r="AK41" i="2"/>
  <c r="AI41" i="2"/>
  <c r="AK40" i="2"/>
  <c r="AI40" i="2"/>
  <c r="AK39" i="2"/>
  <c r="AI39" i="2"/>
  <c r="AK38" i="2"/>
  <c r="AI38" i="2"/>
  <c r="AK37" i="2"/>
  <c r="AI37" i="2"/>
  <c r="AK36" i="2"/>
  <c r="AI36" i="2"/>
  <c r="AK35" i="2"/>
  <c r="AI35" i="2"/>
  <c r="AK33" i="2"/>
  <c r="AI33" i="2"/>
  <c r="AK32" i="2"/>
  <c r="AI32" i="2"/>
  <c r="AK31" i="2"/>
  <c r="AI31" i="2"/>
  <c r="AK30" i="2"/>
  <c r="AI30" i="2"/>
  <c r="AK29" i="2"/>
  <c r="AI29" i="2"/>
  <c r="AK28" i="2"/>
  <c r="AI28" i="2"/>
  <c r="AK27" i="2"/>
  <c r="AI27" i="2"/>
  <c r="AK26" i="2"/>
  <c r="AI26" i="2"/>
  <c r="AK25" i="2"/>
  <c r="AI25" i="2"/>
  <c r="AK24" i="2"/>
  <c r="AI24" i="2"/>
  <c r="AK23" i="2"/>
  <c r="AI23" i="2"/>
  <c r="AK22" i="2"/>
  <c r="AI22" i="2"/>
  <c r="AK21" i="2"/>
  <c r="AI21" i="2"/>
  <c r="AK20" i="2"/>
  <c r="AI20" i="2"/>
  <c r="AK19" i="2"/>
  <c r="AI19" i="2"/>
  <c r="AK18" i="2"/>
  <c r="AI18" i="2"/>
  <c r="AK17" i="2"/>
  <c r="AI17" i="2"/>
  <c r="AK16" i="2"/>
  <c r="AI16" i="2"/>
  <c r="AK15" i="2"/>
  <c r="AI15" i="2"/>
  <c r="AK14" i="2"/>
  <c r="AI14" i="2"/>
  <c r="AK13" i="2"/>
  <c r="AI13" i="2"/>
  <c r="AK12" i="2"/>
  <c r="AI12" i="2"/>
  <c r="AK11" i="2"/>
  <c r="AI11" i="2"/>
  <c r="AK10" i="2"/>
  <c r="AI10" i="2"/>
  <c r="AI48" i="2" l="1"/>
  <c r="AK48" i="2"/>
  <c r="AE48" i="2"/>
  <c r="AC48" i="2"/>
  <c r="AB48" i="2"/>
  <c r="AF47" i="2"/>
  <c r="AD47" i="2"/>
  <c r="AF46" i="2"/>
  <c r="AD46" i="2"/>
  <c r="AF45" i="2"/>
  <c r="AD45" i="2"/>
  <c r="AF44" i="2"/>
  <c r="AD44" i="2"/>
  <c r="AF43" i="2"/>
  <c r="AD43" i="2"/>
  <c r="AF42" i="2"/>
  <c r="AD42" i="2"/>
  <c r="AF41" i="2"/>
  <c r="AD41" i="2"/>
  <c r="AF40" i="2"/>
  <c r="AD40" i="2"/>
  <c r="AF39" i="2"/>
  <c r="AD39" i="2"/>
  <c r="AF38" i="2"/>
  <c r="AD38" i="2"/>
  <c r="AF37" i="2"/>
  <c r="AD37" i="2"/>
  <c r="AF36" i="2"/>
  <c r="AD36" i="2"/>
  <c r="AF35" i="2"/>
  <c r="AD35" i="2"/>
  <c r="AF33" i="2"/>
  <c r="AD33" i="2"/>
  <c r="AF32" i="2"/>
  <c r="AD32" i="2"/>
  <c r="AF31" i="2"/>
  <c r="AD31" i="2"/>
  <c r="AF30" i="2"/>
  <c r="AD30" i="2"/>
  <c r="AF29" i="2"/>
  <c r="AD29" i="2"/>
  <c r="AF28" i="2"/>
  <c r="AD28" i="2"/>
  <c r="AF27" i="2"/>
  <c r="AD27" i="2"/>
  <c r="AF26" i="2"/>
  <c r="AD26" i="2"/>
  <c r="AF25" i="2"/>
  <c r="AD25" i="2"/>
  <c r="AF24" i="2"/>
  <c r="AD24" i="2"/>
  <c r="AF23" i="2"/>
  <c r="AD23" i="2"/>
  <c r="AF22" i="2"/>
  <c r="AD22" i="2"/>
  <c r="AF21" i="2"/>
  <c r="AD21" i="2"/>
  <c r="AF20" i="2"/>
  <c r="AD20" i="2"/>
  <c r="AF19" i="2"/>
  <c r="AD19" i="2"/>
  <c r="AF18" i="2"/>
  <c r="AD18" i="2"/>
  <c r="AF17" i="2"/>
  <c r="AD17" i="2"/>
  <c r="AF16" i="2"/>
  <c r="AD16" i="2"/>
  <c r="AF15" i="2"/>
  <c r="AD15" i="2"/>
  <c r="AF14" i="2"/>
  <c r="AD14" i="2"/>
  <c r="AF13" i="2"/>
  <c r="AD13" i="2"/>
  <c r="AF12" i="2"/>
  <c r="AD12" i="2"/>
  <c r="AF11" i="2"/>
  <c r="AD11" i="2"/>
  <c r="AF10" i="2"/>
  <c r="AD10" i="2"/>
  <c r="AD48" i="2" l="1"/>
  <c r="AF48" i="2"/>
  <c r="Z48" i="2" l="1"/>
  <c r="X48" i="2"/>
  <c r="W48" i="2"/>
  <c r="AA47" i="2"/>
  <c r="Y47" i="2"/>
  <c r="AA46" i="2"/>
  <c r="Y46" i="2"/>
  <c r="AA45" i="2"/>
  <c r="Y45" i="2"/>
  <c r="AA44" i="2"/>
  <c r="Y44" i="2"/>
  <c r="AA43" i="2"/>
  <c r="Y43" i="2"/>
  <c r="AA42" i="2"/>
  <c r="Y42" i="2"/>
  <c r="AA41" i="2"/>
  <c r="Y41" i="2"/>
  <c r="AA40" i="2"/>
  <c r="Y40" i="2"/>
  <c r="AA39" i="2"/>
  <c r="Y39" i="2"/>
  <c r="AA38" i="2"/>
  <c r="Y38" i="2"/>
  <c r="AA37" i="2"/>
  <c r="Y37" i="2"/>
  <c r="AA36" i="2"/>
  <c r="Y36" i="2"/>
  <c r="AA35" i="2"/>
  <c r="Y35" i="2"/>
  <c r="AA33" i="2"/>
  <c r="Y33" i="2"/>
  <c r="AA32" i="2"/>
  <c r="Y32" i="2"/>
  <c r="AA31" i="2"/>
  <c r="Y31" i="2"/>
  <c r="AA30" i="2"/>
  <c r="Y30" i="2"/>
  <c r="AA29" i="2"/>
  <c r="Y29" i="2"/>
  <c r="AA28" i="2"/>
  <c r="Y28" i="2"/>
  <c r="AA27" i="2"/>
  <c r="Y27" i="2"/>
  <c r="AA26" i="2"/>
  <c r="Y26" i="2"/>
  <c r="AA25" i="2"/>
  <c r="Y25" i="2"/>
  <c r="AA24" i="2"/>
  <c r="Y24" i="2"/>
  <c r="AA23" i="2"/>
  <c r="Y23" i="2"/>
  <c r="AA22" i="2"/>
  <c r="Y22" i="2"/>
  <c r="AA21" i="2"/>
  <c r="Y21" i="2"/>
  <c r="AA20" i="2"/>
  <c r="Y20" i="2"/>
  <c r="AA19" i="2"/>
  <c r="Y19" i="2"/>
  <c r="AA18" i="2"/>
  <c r="Y18" i="2"/>
  <c r="AA17" i="2"/>
  <c r="Y17" i="2"/>
  <c r="AA16" i="2"/>
  <c r="Y16" i="2"/>
  <c r="AA15" i="2"/>
  <c r="Y15" i="2"/>
  <c r="AA14" i="2"/>
  <c r="Y14" i="2"/>
  <c r="AA13" i="2"/>
  <c r="Y13" i="2"/>
  <c r="AA12" i="2"/>
  <c r="Y12" i="2"/>
  <c r="AA11" i="2"/>
  <c r="Y11" i="2"/>
  <c r="AA10" i="2"/>
  <c r="Y10" i="2"/>
  <c r="AA48" i="2" l="1"/>
  <c r="Y48" i="2"/>
  <c r="BI48" i="2" l="1"/>
  <c r="BG48" i="2"/>
  <c r="BJ47" i="2"/>
  <c r="BH47" i="2"/>
  <c r="BJ46" i="2"/>
  <c r="BH46" i="2"/>
  <c r="BJ45" i="2"/>
  <c r="BH45" i="2"/>
  <c r="BJ44" i="2"/>
  <c r="BH44" i="2"/>
  <c r="BJ43" i="2"/>
  <c r="BH43" i="2"/>
  <c r="BJ42" i="2"/>
  <c r="BH42" i="2"/>
  <c r="BJ41" i="2"/>
  <c r="BH41" i="2"/>
  <c r="BJ40" i="2"/>
  <c r="BH40" i="2"/>
  <c r="BJ39" i="2"/>
  <c r="BH39" i="2"/>
  <c r="BJ38" i="2"/>
  <c r="BH38" i="2"/>
  <c r="BJ37" i="2"/>
  <c r="BH37" i="2"/>
  <c r="BJ36" i="2"/>
  <c r="BH36" i="2"/>
  <c r="BJ35" i="2"/>
  <c r="BH35" i="2"/>
  <c r="BJ33" i="2"/>
  <c r="BH33" i="2"/>
  <c r="BJ32" i="2"/>
  <c r="BH32" i="2"/>
  <c r="BJ31" i="2"/>
  <c r="BH31" i="2"/>
  <c r="BJ30" i="2"/>
  <c r="BH30" i="2"/>
  <c r="BJ29" i="2"/>
  <c r="BH29" i="2"/>
  <c r="BJ28" i="2"/>
  <c r="BH28" i="2"/>
  <c r="BJ27" i="2"/>
  <c r="BH27" i="2"/>
  <c r="BJ26" i="2"/>
  <c r="BH26" i="2"/>
  <c r="BJ25" i="2"/>
  <c r="BH25" i="2"/>
  <c r="BJ24" i="2"/>
  <c r="BH24" i="2"/>
  <c r="BJ23" i="2"/>
  <c r="BH23" i="2"/>
  <c r="BJ22" i="2"/>
  <c r="BH22" i="2"/>
  <c r="BJ21" i="2"/>
  <c r="BH21" i="2"/>
  <c r="BJ20" i="2"/>
  <c r="BH20" i="2"/>
  <c r="BJ19" i="2"/>
  <c r="BH19" i="2"/>
  <c r="BJ18" i="2"/>
  <c r="BH18" i="2"/>
  <c r="BJ17" i="2"/>
  <c r="BH17" i="2"/>
  <c r="BJ16" i="2"/>
  <c r="BH16" i="2"/>
  <c r="BJ15" i="2"/>
  <c r="BH15" i="2"/>
  <c r="BJ14" i="2"/>
  <c r="BH14" i="2"/>
  <c r="BJ13" i="2"/>
  <c r="BH13" i="2"/>
  <c r="BJ12" i="2"/>
  <c r="BH12" i="2"/>
  <c r="BJ11" i="2"/>
  <c r="BH11" i="2"/>
  <c r="BJ10" i="2"/>
  <c r="BH10" i="2"/>
  <c r="BJ48" i="2" l="1"/>
  <c r="BH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N48" i="2"/>
  <c r="M48" i="2"/>
  <c r="Q47" i="2"/>
  <c r="O47" i="2"/>
  <c r="Q46" i="2"/>
  <c r="O46" i="2"/>
  <c r="Q45" i="2"/>
  <c r="O45" i="2"/>
  <c r="Q44" i="2"/>
  <c r="O44" i="2"/>
  <c r="Q43" i="2"/>
  <c r="O43" i="2"/>
  <c r="Q42" i="2"/>
  <c r="O42" i="2"/>
  <c r="Q41" i="2"/>
  <c r="O41" i="2"/>
  <c r="Q40" i="2"/>
  <c r="O40" i="2"/>
  <c r="Q39" i="2"/>
  <c r="O39" i="2"/>
  <c r="Q38" i="2"/>
  <c r="O38" i="2"/>
  <c r="Q37" i="2"/>
  <c r="O37" i="2"/>
  <c r="Q36" i="2"/>
  <c r="O36" i="2"/>
  <c r="Q35" i="2"/>
  <c r="O35" i="2"/>
  <c r="Q33" i="2"/>
  <c r="O33" i="2"/>
  <c r="Q32" i="2"/>
  <c r="O32" i="2"/>
  <c r="Q31" i="2"/>
  <c r="O31" i="2"/>
  <c r="Q30" i="2"/>
  <c r="O30" i="2"/>
  <c r="Q29" i="2"/>
  <c r="O29" i="2"/>
  <c r="Q28" i="2"/>
  <c r="O28" i="2"/>
  <c r="Q27" i="2"/>
  <c r="O27" i="2"/>
  <c r="Q26" i="2"/>
  <c r="O26" i="2"/>
  <c r="Q25" i="2"/>
  <c r="O25" i="2"/>
  <c r="Q24" i="2"/>
  <c r="O24" i="2"/>
  <c r="Q23" i="2"/>
  <c r="O23" i="2"/>
  <c r="Q22" i="2"/>
  <c r="O22" i="2"/>
  <c r="Q21" i="2"/>
  <c r="O21" i="2"/>
  <c r="Q20" i="2"/>
  <c r="O20" i="2"/>
  <c r="Q19" i="2"/>
  <c r="O19" i="2"/>
  <c r="Q18" i="2"/>
  <c r="O18" i="2"/>
  <c r="Q17" i="2"/>
  <c r="O17" i="2"/>
  <c r="Q16" i="2"/>
  <c r="O16" i="2"/>
  <c r="Q15" i="2"/>
  <c r="O15" i="2"/>
  <c r="Q14" i="2"/>
  <c r="O14" i="2"/>
  <c r="Q13" i="2"/>
  <c r="O13" i="2"/>
  <c r="Q12" i="2"/>
  <c r="O12" i="2"/>
  <c r="Q11" i="2"/>
  <c r="O11" i="2"/>
  <c r="Q10" i="2"/>
  <c r="O10" i="2"/>
  <c r="O48" i="2" l="1"/>
  <c r="Q48" i="2"/>
  <c r="K48" i="2"/>
  <c r="I48" i="2"/>
  <c r="H48" i="2"/>
  <c r="L47" i="2"/>
  <c r="J47" i="2"/>
  <c r="L46" i="2"/>
  <c r="J46" i="2"/>
  <c r="L45" i="2"/>
  <c r="J45" i="2"/>
  <c r="L44" i="2"/>
  <c r="J44" i="2"/>
  <c r="L43" i="2"/>
  <c r="J43" i="2"/>
  <c r="L42" i="2"/>
  <c r="J42" i="2"/>
  <c r="L41" i="2"/>
  <c r="J41" i="2"/>
  <c r="L40" i="2"/>
  <c r="J40" i="2"/>
  <c r="L39" i="2"/>
  <c r="J39" i="2"/>
  <c r="L38" i="2"/>
  <c r="J38" i="2"/>
  <c r="L37" i="2"/>
  <c r="J37" i="2"/>
  <c r="L36" i="2"/>
  <c r="J36" i="2"/>
  <c r="L35" i="2"/>
  <c r="J35" i="2"/>
  <c r="L33" i="2"/>
  <c r="J33" i="2"/>
  <c r="L32" i="2"/>
  <c r="J32" i="2"/>
  <c r="L31" i="2"/>
  <c r="J31" i="2"/>
  <c r="L30" i="2"/>
  <c r="J30" i="2"/>
  <c r="L29" i="2"/>
  <c r="J29" i="2"/>
  <c r="L28" i="2"/>
  <c r="J28" i="2"/>
  <c r="L27" i="2"/>
  <c r="J27" i="2"/>
  <c r="L26" i="2"/>
  <c r="J26" i="2"/>
  <c r="L25" i="2"/>
  <c r="J25" i="2"/>
  <c r="L24" i="2"/>
  <c r="J24" i="2"/>
  <c r="L23" i="2"/>
  <c r="J23" i="2"/>
  <c r="L22" i="2"/>
  <c r="J22" i="2"/>
  <c r="L21" i="2"/>
  <c r="J21" i="2"/>
  <c r="L20" i="2"/>
  <c r="J20" i="2"/>
  <c r="L19" i="2"/>
  <c r="J19" i="2"/>
  <c r="L18" i="2"/>
  <c r="J18" i="2"/>
  <c r="L17" i="2"/>
  <c r="J17" i="2"/>
  <c r="L16" i="2"/>
  <c r="J16" i="2"/>
  <c r="L15" i="2"/>
  <c r="J15" i="2"/>
  <c r="L14" i="2"/>
  <c r="J14" i="2"/>
  <c r="L13" i="2"/>
  <c r="J13" i="2"/>
  <c r="L12" i="2"/>
  <c r="J12" i="2"/>
  <c r="L11" i="2"/>
  <c r="J11" i="2"/>
  <c r="L10" i="2"/>
  <c r="J10" i="2"/>
  <c r="J48" i="2" l="1"/>
  <c r="L48" i="2"/>
  <c r="U48" i="2"/>
  <c r="S48" i="2"/>
  <c r="R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T48" i="2" l="1"/>
  <c r="V48" i="2"/>
  <c r="D48" i="2"/>
  <c r="E11" i="2" l="1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F48" i="2" l="1"/>
  <c r="E10" i="2"/>
  <c r="G48" i="2" l="1"/>
  <c r="E48" i="2"/>
</calcChain>
</file>

<file path=xl/sharedStrings.xml><?xml version="1.0" encoding="utf-8"?>
<sst xmlns="http://schemas.openxmlformats.org/spreadsheetml/2006/main" count="128" uniqueCount="50">
  <si>
    <t>STATE WISE RETURN PERIOD WISE GSTR-1 FILING SUMMARY</t>
  </si>
  <si>
    <t>STATE</t>
  </si>
  <si>
    <t>No. of Tax Payers eligible to File</t>
  </si>
  <si>
    <t>No. Tax Payers filed by Due Date</t>
  </si>
  <si>
    <t>No. of Tax Payers filed after due date</t>
  </si>
  <si>
    <t>Total Returns Filed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</si>
  <si>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</si>
  <si>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</si>
  <si>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</si>
  <si>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</si>
  <si>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</si>
  <si>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</si>
  <si>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</si>
  <si>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</si>
  <si>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</si>
  <si>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</si>
  <si>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</si>
  <si>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</si>
  <si>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</si>
  <si>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</si>
  <si>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</si>
  <si>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</si>
  <si>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</si>
  <si>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</si>
  <si>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</si>
  <si>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</si>
  <si>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</si>
  <si>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Madhya Pradesh</t>
  </si>
  <si>
    <t>Daman and Diu</t>
  </si>
  <si>
    <t>Dadra and Nagar Haveli</t>
  </si>
  <si>
    <t>Karnataka</t>
  </si>
  <si>
    <t>Goa</t>
  </si>
  <si>
    <t>Lakshadweep</t>
  </si>
  <si>
    <t>Kerala</t>
  </si>
  <si>
    <t>Tamil Nadu</t>
  </si>
  <si>
    <t>Puducherry</t>
  </si>
  <si>
    <t>Telangana</t>
  </si>
  <si>
    <t>Andhra Pradesh</t>
  </si>
  <si>
    <t>Ladakh</t>
  </si>
  <si>
    <t>Other Territory</t>
  </si>
  <si>
    <t>Grand Total</t>
  </si>
  <si>
    <t>-</t>
  </si>
  <si>
    <t>FINANCIAL YEAR 2023-2024</t>
  </si>
  <si>
    <t>Chhattisgarh</t>
  </si>
  <si>
    <t>Gujarat</t>
  </si>
  <si>
    <t>Maharashtra</t>
  </si>
  <si>
    <t>Andaman and Nicobar Islands</t>
  </si>
  <si>
    <t>STATE 
CD</t>
  </si>
  <si>
    <t>Data Considered upto 31st Aug 2026</t>
  </si>
  <si>
    <t>Filing %age as on 31st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</si>
</sst>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[&gt;=10000000]##\,##\,##\,##0;[&gt;=100000]\ ##\,##\,##0;##,##0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5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0" fontId="0" fillId="0" borderId="1" xfId="1" applyNumberFormat="1" applyFont="1" applyFill="1" applyBorder="1" applyAlignment="1">
      <alignment horizontal="right" vertical="center" wrapText="1"/>
    </xf>
    <xf numFmtId="165" fontId="0" fillId="0" borderId="1" xfId="0" applyNumberFormat="1" applyBorder="1" applyAlignment="1">
      <alignment horizontal="right" vertical="center" wrapText="1"/>
    </xf>
    <xf numFmtId="10" fontId="4" fillId="2" borderId="1" xfId="1" applyNumberFormat="1" applyFont="1" applyFill="1" applyBorder="1" applyAlignment="1">
      <alignment horizontal="right" vertical="center" wrapText="1"/>
    </xf>
    <xf numFmtId="165" fontId="4" fillId="2" borderId="1" xfId="0" applyNumberFormat="1" applyFont="1" applyFill="1" applyBorder="1" applyAlignment="1">
      <alignment horizontal="right" vertical="center" wrapText="1"/>
    </xf>
    <xf numFmtId="165" fontId="4" fillId="2" borderId="1" xfId="0" applyNumberFormat="1" applyFont="1" applyFill="1" applyBorder="1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6" fontId="0" fillId="0" borderId="1" xfId="7" applyNumberFormat="1" applyFont="1" applyBorder="1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7" fontId="2" fillId="2" borderId="2" xfId="0" applyNumberFormat="1" applyFont="1" applyFill="1" applyBorder="1" applyAlignment="1">
      <alignment horizontal="center" vertical="center"/>
    </xf>
    <xf numFmtId="17" fontId="2" fillId="2" borderId="3" xfId="0" applyNumberFormat="1" applyFont="1" applyFill="1" applyBorder="1" applyAlignment="1">
      <alignment horizontal="center" vertical="center"/>
    </xf>
    <xf numFmtId="17" fontId="2" fillId="2" borderId="4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8">
    <cellStyle name="Comma" xfId="7" builtinId="3"/>
    <cellStyle name="Comma 2" xfId="2" xr:uid="{00000000-0005-0000-0000-000001000000}"/>
    <cellStyle name="Comma 2 2" xfId="3" xr:uid="{00000000-0005-0000-0000-000002000000}"/>
    <cellStyle name="Comma 3" xfId="4" xr:uid="{00000000-0005-0000-0000-000003000000}"/>
    <cellStyle name="Normal" xfId="0" builtinId="0"/>
    <cellStyle name="Normal 2" xfId="5" xr:uid="{00000000-0005-0000-0000-000005000000}"/>
    <cellStyle name="Normal 3" xfId="6" xr:uid="{00000000-0005-0000-0000-000006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8"/>
  <sheetViews>
    <sheetView tabSelected="1" zoomScale="55" zoomScaleNormal="55" workbookViewId="0">
      <selection activeCell="A46" sqref="A46"/>
    </sheetView>
  </sheetViews>
  <sheetFormatPr defaultColWidth="8.77734375" defaultRowHeight="14.4" x14ac:dyDescent="0.3"/>
  <cols>
    <col min="1" max="1" width="10.44140625" customWidth="1"/>
    <col min="2" max="2" width="26.77734375" bestFit="1" customWidth="1"/>
    <col min="3" max="3" width="24.21875" customWidth="1"/>
    <col min="4" max="7" width="18.77734375" customWidth="1"/>
    <col min="8" max="62" width="19.5546875" customWidth="1"/>
  </cols>
  <sheetData>
    <row r="1" spans="1:62" ht="15.6" x14ac:dyDescent="0.3">
      <c r="A1" s="21" t="s">
        <v>0</v>
      </c>
      <c r="B1" s="21"/>
      <c r="C1" s="21"/>
      <c r="D1" s="21"/>
      <c r="E1" s="21"/>
    </row>
    <row r="2" spans="1:62" ht="15.6" x14ac:dyDescent="0.3">
      <c r="A2" s="1"/>
      <c r="B2" s="1"/>
      <c r="C2" s="1"/>
      <c r="D2" s="1"/>
      <c r="E2" s="1"/>
      <c r="F2" s="1"/>
      <c r="G2" s="1"/>
    </row>
    <row r="3" spans="1:62" ht="15.6" x14ac:dyDescent="0.3">
      <c r="A3" s="15" t="s">
        <v>42</v>
      </c>
      <c r="B3" s="15"/>
      <c r="C3" s="1"/>
      <c r="D3" s="1"/>
      <c r="E3" s="1"/>
      <c r="F3" s="1"/>
      <c r="G3" s="1"/>
    </row>
    <row r="4" spans="1:62" ht="15.6" x14ac:dyDescent="0.3">
      <c r="A4" s="1"/>
      <c r="B4" s="1"/>
      <c r="C4" s="1"/>
      <c r="D4" s="1"/>
      <c r="E4" s="1"/>
      <c r="F4" s="1"/>
      <c r="G4" s="1"/>
    </row>
    <row r="5" spans="1:62" ht="15.6" x14ac:dyDescent="0.3">
      <c r="A5" s="15" t="s">
        <v>48</v>
      </c>
      <c r="B5" s="15"/>
      <c r="C5" s="15"/>
    </row>
    <row r="8" spans="1:62" s="9" customFormat="1" ht="15.6" x14ac:dyDescent="0.3">
      <c r="A8" s="16" t="s">
        <v>47</v>
      </c>
      <c r="B8" s="17" t="s">
        <v>1</v>
      </c>
      <c r="C8" s="18">
        <v>45017</v>
      </c>
      <c r="D8" s="19"/>
      <c r="E8" s="19"/>
      <c r="F8" s="19"/>
      <c r="G8" s="20"/>
      <c r="H8" s="18">
        <v>45047</v>
      </c>
      <c r="I8" s="19"/>
      <c r="J8" s="19"/>
      <c r="K8" s="19"/>
      <c r="L8" s="20"/>
      <c r="M8" s="18">
        <v>45078</v>
      </c>
      <c r="N8" s="19"/>
      <c r="O8" s="19"/>
      <c r="P8" s="19"/>
      <c r="Q8" s="20"/>
      <c r="R8" s="18">
        <v>45108</v>
      </c>
      <c r="S8" s="19"/>
      <c r="T8" s="19"/>
      <c r="U8" s="19"/>
      <c r="V8" s="20"/>
      <c r="W8" s="18">
        <v>45139</v>
      </c>
      <c r="X8" s="19"/>
      <c r="Y8" s="19"/>
      <c r="Z8" s="19"/>
      <c r="AA8" s="20"/>
      <c r="AB8" s="18">
        <v>45170</v>
      </c>
      <c r="AC8" s="19"/>
      <c r="AD8" s="19"/>
      <c r="AE8" s="19"/>
      <c r="AF8" s="20"/>
      <c r="AG8" s="18">
        <v>45200</v>
      </c>
      <c r="AH8" s="19"/>
      <c r="AI8" s="19"/>
      <c r="AJ8" s="19"/>
      <c r="AK8" s="20"/>
      <c r="AL8" s="18">
        <v>45231</v>
      </c>
      <c r="AM8" s="19"/>
      <c r="AN8" s="19"/>
      <c r="AO8" s="19"/>
      <c r="AP8" s="20"/>
      <c r="AQ8" s="18">
        <v>45261</v>
      </c>
      <c r="AR8" s="19"/>
      <c r="AS8" s="19"/>
      <c r="AT8" s="19"/>
      <c r="AU8" s="20"/>
      <c r="AV8" s="18">
        <v>45292</v>
      </c>
      <c r="AW8" s="19"/>
      <c r="AX8" s="19"/>
      <c r="AY8" s="19"/>
      <c r="AZ8" s="20"/>
      <c r="BA8" s="18">
        <v>45323</v>
      </c>
      <c r="BB8" s="19"/>
      <c r="BC8" s="19"/>
      <c r="BD8" s="19"/>
      <c r="BE8" s="20"/>
      <c r="BF8" s="18">
        <v>45352</v>
      </c>
      <c r="BG8" s="19"/>
      <c r="BH8" s="19"/>
      <c r="BI8" s="19"/>
      <c r="BJ8" s="20"/>
    </row>
    <row r="9" spans="1:62" s="9" customFormat="1" ht="46.8" x14ac:dyDescent="0.3">
      <c r="A9" s="17"/>
      <c r="B9" s="17"/>
      <c r="C9" s="12" t="s">
        <v>2</v>
      </c>
      <c r="D9" s="12" t="s">
        <v>3</v>
      </c>
      <c r="E9" s="12" t="s">
        <v>4</v>
      </c>
      <c r="F9" s="12" t="s">
        <v>5</v>
      </c>
      <c r="G9" s="12" t="s">
        <v>49</v>
      </c>
      <c r="H9" s="12" t="s">
        <v>2</v>
      </c>
      <c r="I9" s="12" t="s">
        <v>3</v>
      </c>
      <c r="J9" s="12" t="s">
        <v>4</v>
      </c>
      <c r="K9" s="12" t="s">
        <v>5</v>
      </c>
      <c r="L9" s="12" t="s">
        <v>49</v>
      </c>
      <c r="M9" s="12" t="s">
        <v>2</v>
      </c>
      <c r="N9" s="12" t="s">
        <v>3</v>
      </c>
      <c r="O9" s="12" t="s">
        <v>4</v>
      </c>
      <c r="P9" s="12" t="s">
        <v>5</v>
      </c>
      <c r="Q9" s="12" t="s">
        <v>49</v>
      </c>
      <c r="R9" s="12" t="s">
        <v>2</v>
      </c>
      <c r="S9" s="12" t="s">
        <v>3</v>
      </c>
      <c r="T9" s="12" t="s">
        <v>4</v>
      </c>
      <c r="U9" s="12" t="s">
        <v>5</v>
      </c>
      <c r="V9" s="12" t="s">
        <v>49</v>
      </c>
      <c r="W9" s="12" t="s">
        <v>2</v>
      </c>
      <c r="X9" s="12" t="s">
        <v>3</v>
      </c>
      <c r="Y9" s="12" t="s">
        <v>4</v>
      </c>
      <c r="Z9" s="12" t="s">
        <v>5</v>
      </c>
      <c r="AA9" s="12" t="s">
        <v>49</v>
      </c>
      <c r="AB9" s="12" t="s">
        <v>2</v>
      </c>
      <c r="AC9" s="12" t="s">
        <v>3</v>
      </c>
      <c r="AD9" s="12" t="s">
        <v>4</v>
      </c>
      <c r="AE9" s="12" t="s">
        <v>5</v>
      </c>
      <c r="AF9" s="12" t="s">
        <v>49</v>
      </c>
      <c r="AG9" s="12" t="s">
        <v>2</v>
      </c>
      <c r="AH9" s="12" t="s">
        <v>3</v>
      </c>
      <c r="AI9" s="12" t="s">
        <v>4</v>
      </c>
      <c r="AJ9" s="12" t="s">
        <v>5</v>
      </c>
      <c r="AK9" s="12" t="s">
        <v>49</v>
      </c>
      <c r="AL9" s="12" t="s">
        <v>2</v>
      </c>
      <c r="AM9" s="12" t="s">
        <v>3</v>
      </c>
      <c r="AN9" s="12" t="s">
        <v>4</v>
      </c>
      <c r="AO9" s="12" t="s">
        <v>5</v>
      </c>
      <c r="AP9" s="12" t="s">
        <v>49</v>
      </c>
      <c r="AQ9" s="12" t="s">
        <v>2</v>
      </c>
      <c r="AR9" s="12" t="s">
        <v>3</v>
      </c>
      <c r="AS9" s="12" t="s">
        <v>4</v>
      </c>
      <c r="AT9" s="12" t="s">
        <v>5</v>
      </c>
      <c r="AU9" s="12" t="s">
        <v>49</v>
      </c>
      <c r="AV9" s="12" t="s">
        <v>2</v>
      </c>
      <c r="AW9" s="12" t="s">
        <v>3</v>
      </c>
      <c r="AX9" s="12" t="s">
        <v>4</v>
      </c>
      <c r="AY9" s="12" t="s">
        <v>5</v>
      </c>
      <c r="AZ9" s="12" t="s">
        <v>49</v>
      </c>
      <c r="BA9" s="12" t="s">
        <v>2</v>
      </c>
      <c r="BB9" s="12" t="s">
        <v>3</v>
      </c>
      <c r="BC9" s="12" t="s">
        <v>4</v>
      </c>
      <c r="BD9" s="12" t="s">
        <v>5</v>
      </c>
      <c r="BE9" s="12" t="s">
        <v>49</v>
      </c>
      <c r="BF9" s="12" t="s">
        <v>2</v>
      </c>
      <c r="BG9" s="12" t="s">
        <v>3</v>
      </c>
      <c r="BH9" s="12" t="s">
        <v>4</v>
      </c>
      <c r="BI9" s="12" t="s">
        <v>5</v>
      </c>
      <c r="BJ9" s="12" t="s">
        <v>49</v>
      </c>
    </row>
    <row r="10" spans="1:62" x14ac:dyDescent="0.3">
      <c r="A10" s="10">
        <v>1</v>
      </c>
      <c r="B10" s="2" t="s">
        <v>6</v>
      </c>
      <c r="C10" s="5">
        <v>70249</v>
      </c>
      <c r="D10" s="5">
        <v>28689</v>
      </c>
      <c r="E10" s="3">
        <f>F10-D10</f>
        <v>41879</v>
      </c>
      <c r="F10" s="5">
        <v>70568</v>
      </c>
      <c r="G10" s="4">
        <f>F10/C10</f>
        <v>1.0045409899073297</v>
      </c>
      <c r="H10" s="5">
        <v>72254</v>
      </c>
      <c r="I10" s="5">
        <v>29165</v>
      </c>
      <c r="J10" s="3">
        <f>K10-I10</f>
        <v>43023</v>
      </c>
      <c r="K10" s="5">
        <v>72188</v>
      </c>
      <c r="L10" s="4">
        <f>K10/H10</f>
        <v>0.99908655576161876</v>
      </c>
      <c r="M10" s="5">
        <v>120466</v>
      </c>
      <c r="N10" s="5">
        <v>45623</v>
      </c>
      <c r="O10" s="3">
        <f>P10-N10</f>
        <v>74873</v>
      </c>
      <c r="P10" s="5">
        <v>120496</v>
      </c>
      <c r="Q10" s="4">
        <f>P10/M10</f>
        <v>1.0002490329221523</v>
      </c>
      <c r="R10" s="5">
        <v>70979</v>
      </c>
      <c r="S10" s="5">
        <v>29494</v>
      </c>
      <c r="T10" s="3">
        <f>U10-S10</f>
        <v>41696</v>
      </c>
      <c r="U10" s="5">
        <v>71190</v>
      </c>
      <c r="V10" s="4">
        <f>U10/R10</f>
        <v>1.0029727102382395</v>
      </c>
      <c r="W10" s="5">
        <v>73348</v>
      </c>
      <c r="X10" s="5">
        <v>30390</v>
      </c>
      <c r="Y10" s="3">
        <f>Z10-X10</f>
        <v>42549</v>
      </c>
      <c r="Z10" s="5">
        <v>72939</v>
      </c>
      <c r="AA10" s="4">
        <f>Z10/W10</f>
        <v>0.99442384250422644</v>
      </c>
      <c r="AB10" s="5">
        <v>123554</v>
      </c>
      <c r="AC10" s="5">
        <v>46600</v>
      </c>
      <c r="AD10" s="3">
        <f>AE10-AC10</f>
        <v>77029</v>
      </c>
      <c r="AE10" s="5">
        <v>123629</v>
      </c>
      <c r="AF10" s="4">
        <f>AE10/AB10</f>
        <v>1.0006070220308529</v>
      </c>
      <c r="AG10" s="5">
        <v>71950</v>
      </c>
      <c r="AH10" s="13">
        <v>30051</v>
      </c>
      <c r="AI10" s="3">
        <f>AJ10-AH10</f>
        <v>41867</v>
      </c>
      <c r="AJ10" s="5">
        <v>71918</v>
      </c>
      <c r="AK10" s="4">
        <f>AJ10/AG10</f>
        <v>0.99955524669909657</v>
      </c>
      <c r="AL10" s="5">
        <v>73532</v>
      </c>
      <c r="AM10" s="13">
        <v>29930</v>
      </c>
      <c r="AN10" s="3">
        <f>AO10-AM10</f>
        <v>43053</v>
      </c>
      <c r="AO10" s="5">
        <v>72983</v>
      </c>
      <c r="AP10" s="4">
        <f>AO10/AL10</f>
        <v>0.99253386280802913</v>
      </c>
      <c r="AQ10" s="5">
        <v>125499</v>
      </c>
      <c r="AR10" s="13">
        <v>46715</v>
      </c>
      <c r="AS10" s="3">
        <f>AT10-AR10</f>
        <v>79262</v>
      </c>
      <c r="AT10" s="5">
        <v>125977</v>
      </c>
      <c r="AU10" s="4">
        <f>AT10/AQ10</f>
        <v>1.0038087952892054</v>
      </c>
      <c r="AV10" s="5">
        <v>72481</v>
      </c>
      <c r="AW10" s="13">
        <v>29864</v>
      </c>
      <c r="AX10" s="3">
        <f>AY10-AW10</f>
        <v>42370</v>
      </c>
      <c r="AY10" s="5">
        <v>72234</v>
      </c>
      <c r="AZ10" s="4">
        <f>AY10/AV10</f>
        <v>0.99659221037237344</v>
      </c>
      <c r="BA10" s="5">
        <v>73790</v>
      </c>
      <c r="BB10" s="13">
        <v>30195</v>
      </c>
      <c r="BC10" s="3">
        <f>BD10-BB10</f>
        <v>43039</v>
      </c>
      <c r="BD10" s="5">
        <v>73234</v>
      </c>
      <c r="BE10" s="4">
        <f>BD10/BA10</f>
        <v>0.99246510367258434</v>
      </c>
      <c r="BF10" s="5">
        <v>128129</v>
      </c>
      <c r="BG10" s="13">
        <v>42523</v>
      </c>
      <c r="BH10" s="3">
        <f>BI10-BG10</f>
        <v>85654</v>
      </c>
      <c r="BI10" s="5">
        <v>128177</v>
      </c>
      <c r="BJ10" s="4">
        <f>BI10/BF10</f>
        <v>1.0003746224508112</v>
      </c>
    </row>
    <row r="11" spans="1:62" x14ac:dyDescent="0.3">
      <c r="A11" s="10">
        <v>2</v>
      </c>
      <c r="B11" s="2" t="s">
        <v>7</v>
      </c>
      <c r="C11" s="5">
        <v>44514</v>
      </c>
      <c r="D11" s="5">
        <v>27155</v>
      </c>
      <c r="E11" s="3">
        <f t="shared" ref="E11:E47" si="0">F11-D11</f>
        <v>17637</v>
      </c>
      <c r="F11" s="5">
        <v>44792</v>
      </c>
      <c r="G11" s="4">
        <f t="shared" ref="G11:G47" si="1">F11/C11</f>
        <v>1.0062452262209642</v>
      </c>
      <c r="H11" s="5">
        <v>46110</v>
      </c>
      <c r="I11" s="5">
        <v>27222</v>
      </c>
      <c r="J11" s="3">
        <f t="shared" ref="J11:J33" si="2">K11-I11</f>
        <v>18778</v>
      </c>
      <c r="K11" s="5">
        <v>46000</v>
      </c>
      <c r="L11" s="4">
        <f t="shared" ref="L11:L33" si="3">K11/H11</f>
        <v>0.99761440034699633</v>
      </c>
      <c r="M11" s="5">
        <v>102242</v>
      </c>
      <c r="N11" s="5">
        <v>50063</v>
      </c>
      <c r="O11" s="3">
        <f t="shared" ref="O11:O33" si="4">P11-N11</f>
        <v>52511</v>
      </c>
      <c r="P11" s="5">
        <v>102574</v>
      </c>
      <c r="Q11" s="4">
        <f t="shared" ref="Q11:Q33" si="5">P11/M11</f>
        <v>1.0032471978247688</v>
      </c>
      <c r="R11" s="5">
        <v>44890</v>
      </c>
      <c r="S11" s="5">
        <v>28025</v>
      </c>
      <c r="T11" s="3">
        <f t="shared" ref="T11:T33" si="6">U11-S11</f>
        <v>16802</v>
      </c>
      <c r="U11" s="5">
        <v>44827</v>
      </c>
      <c r="V11" s="4">
        <f t="shared" ref="V11:V33" si="7">U11/R11</f>
        <v>0.99859656939184671</v>
      </c>
      <c r="W11" s="5">
        <v>46425</v>
      </c>
      <c r="X11" s="5">
        <v>28597</v>
      </c>
      <c r="Y11" s="3">
        <f t="shared" ref="Y11:Y33" si="8">Z11-X11</f>
        <v>17312</v>
      </c>
      <c r="Z11" s="5">
        <v>45909</v>
      </c>
      <c r="AA11" s="4">
        <f t="shared" ref="AA11:AA33" si="9">Z11/W11</f>
        <v>0.98888529886914378</v>
      </c>
      <c r="AB11" s="5">
        <v>103964</v>
      </c>
      <c r="AC11" s="5">
        <v>59922</v>
      </c>
      <c r="AD11" s="3">
        <f t="shared" ref="AD11:AD33" si="10">AE11-AC11</f>
        <v>44425</v>
      </c>
      <c r="AE11" s="5">
        <v>104347</v>
      </c>
      <c r="AF11" s="4">
        <f t="shared" ref="AF11:AF33" si="11">AE11/AB11</f>
        <v>1.0036839675272209</v>
      </c>
      <c r="AG11" s="5">
        <v>45569</v>
      </c>
      <c r="AH11" s="13">
        <v>29709</v>
      </c>
      <c r="AI11" s="3">
        <f t="shared" ref="AI11:AI33" si="12">AJ11-AH11</f>
        <v>15647</v>
      </c>
      <c r="AJ11" s="5">
        <v>45356</v>
      </c>
      <c r="AK11" s="4">
        <f t="shared" ref="AK11:AK33" si="13">AJ11/AG11</f>
        <v>0.99532576971186548</v>
      </c>
      <c r="AL11" s="5">
        <v>46951</v>
      </c>
      <c r="AM11" s="13">
        <v>30251</v>
      </c>
      <c r="AN11" s="3">
        <f t="shared" ref="AN11:AN25" si="14">AO11-AM11</f>
        <v>16017</v>
      </c>
      <c r="AO11" s="5">
        <v>46268</v>
      </c>
      <c r="AP11" s="4">
        <f t="shared" ref="AP11:AP26" si="15">AO11/AL11</f>
        <v>0.98545291900066023</v>
      </c>
      <c r="AQ11" s="5">
        <v>105644</v>
      </c>
      <c r="AR11" s="13">
        <v>63606</v>
      </c>
      <c r="AS11" s="3">
        <f t="shared" ref="AS11:AS25" si="16">AT11-AR11</f>
        <v>42452</v>
      </c>
      <c r="AT11" s="5">
        <v>106058</v>
      </c>
      <c r="AU11" s="4">
        <f t="shared" ref="AU11:AU26" si="17">AT11/AQ11</f>
        <v>1.0039188217030783</v>
      </c>
      <c r="AV11" s="5">
        <v>46072</v>
      </c>
      <c r="AW11" s="13">
        <v>30845</v>
      </c>
      <c r="AX11" s="3">
        <f t="shared" ref="AX11:AX25" si="18">AY11-AW11</f>
        <v>15110</v>
      </c>
      <c r="AY11" s="5">
        <v>45955</v>
      </c>
      <c r="AZ11" s="4">
        <f t="shared" ref="AZ11:AZ26" si="19">AY11/AV11</f>
        <v>0.9974604966139955</v>
      </c>
      <c r="BA11" s="5">
        <v>47252</v>
      </c>
      <c r="BB11" s="13">
        <v>31346</v>
      </c>
      <c r="BC11" s="3">
        <f t="shared" ref="BC11:BC25" si="20">BD11-BB11</f>
        <v>15576</v>
      </c>
      <c r="BD11" s="5">
        <v>46922</v>
      </c>
      <c r="BE11" s="4">
        <f t="shared" ref="BE11:BE26" si="21">BD11/BA11</f>
        <v>0.99301616862778297</v>
      </c>
      <c r="BF11" s="5">
        <v>107665</v>
      </c>
      <c r="BG11" s="13">
        <v>61196</v>
      </c>
      <c r="BH11" s="3">
        <f t="shared" ref="BH11:BH33" si="22">BI11-BG11</f>
        <v>46592</v>
      </c>
      <c r="BI11" s="5">
        <v>107788</v>
      </c>
      <c r="BJ11" s="4">
        <f t="shared" ref="BJ11:BJ33" si="23">BI11/BF11</f>
        <v>1.0011424325453955</v>
      </c>
    </row>
    <row r="12" spans="1:62" x14ac:dyDescent="0.3">
      <c r="A12" s="10">
        <v>3</v>
      </c>
      <c r="B12" s="2" t="s">
        <v>8</v>
      </c>
      <c r="C12" s="5">
        <v>165970</v>
      </c>
      <c r="D12" s="5">
        <v>129901</v>
      </c>
      <c r="E12" s="3">
        <f t="shared" si="0"/>
        <v>35177</v>
      </c>
      <c r="F12" s="5">
        <v>165078</v>
      </c>
      <c r="G12" s="4">
        <f t="shared" si="1"/>
        <v>0.99462553473519311</v>
      </c>
      <c r="H12" s="5">
        <v>170538</v>
      </c>
      <c r="I12" s="5">
        <v>130540</v>
      </c>
      <c r="J12" s="3">
        <f t="shared" si="2"/>
        <v>37621</v>
      </c>
      <c r="K12" s="5">
        <v>168161</v>
      </c>
      <c r="L12" s="4">
        <f t="shared" si="3"/>
        <v>0.98606175749686287</v>
      </c>
      <c r="M12" s="5">
        <v>344875</v>
      </c>
      <c r="N12" s="5">
        <v>247761</v>
      </c>
      <c r="O12" s="3">
        <f t="shared" si="4"/>
        <v>96123</v>
      </c>
      <c r="P12" s="5">
        <v>343884</v>
      </c>
      <c r="Q12" s="4">
        <f t="shared" si="5"/>
        <v>0.99712649510692275</v>
      </c>
      <c r="R12" s="5">
        <v>167705</v>
      </c>
      <c r="S12" s="5">
        <v>129138</v>
      </c>
      <c r="T12" s="3">
        <f t="shared" si="6"/>
        <v>37676</v>
      </c>
      <c r="U12" s="5">
        <v>166814</v>
      </c>
      <c r="V12" s="4">
        <f t="shared" si="7"/>
        <v>0.99468709937091915</v>
      </c>
      <c r="W12" s="5">
        <v>171864</v>
      </c>
      <c r="X12" s="5">
        <v>131240</v>
      </c>
      <c r="Y12" s="3">
        <f t="shared" si="8"/>
        <v>38704</v>
      </c>
      <c r="Z12" s="5">
        <v>169944</v>
      </c>
      <c r="AA12" s="4">
        <f t="shared" si="9"/>
        <v>0.98882837592515016</v>
      </c>
      <c r="AB12" s="5">
        <v>349048</v>
      </c>
      <c r="AC12" s="5">
        <v>255454</v>
      </c>
      <c r="AD12" s="3">
        <f t="shared" si="10"/>
        <v>93201</v>
      </c>
      <c r="AE12" s="5">
        <v>348655</v>
      </c>
      <c r="AF12" s="4">
        <f t="shared" si="11"/>
        <v>0.99887408035571035</v>
      </c>
      <c r="AG12" s="5">
        <v>170526</v>
      </c>
      <c r="AH12" s="13">
        <v>131776</v>
      </c>
      <c r="AI12" s="3">
        <f t="shared" si="12"/>
        <v>38087</v>
      </c>
      <c r="AJ12" s="5">
        <v>169863</v>
      </c>
      <c r="AK12" s="4">
        <f t="shared" si="13"/>
        <v>0.99611202983709224</v>
      </c>
      <c r="AL12" s="5">
        <v>174892</v>
      </c>
      <c r="AM12" s="13">
        <v>133948</v>
      </c>
      <c r="AN12" s="3">
        <f t="shared" si="14"/>
        <v>38331</v>
      </c>
      <c r="AO12" s="5">
        <v>172279</v>
      </c>
      <c r="AP12" s="4">
        <f t="shared" si="15"/>
        <v>0.98505935091370678</v>
      </c>
      <c r="AQ12" s="5">
        <v>353589</v>
      </c>
      <c r="AR12" s="13">
        <v>259019</v>
      </c>
      <c r="AS12" s="3">
        <f t="shared" si="16"/>
        <v>94350</v>
      </c>
      <c r="AT12" s="5">
        <v>353369</v>
      </c>
      <c r="AU12" s="4">
        <f t="shared" si="17"/>
        <v>0.9993778086988</v>
      </c>
      <c r="AV12" s="5">
        <v>172980</v>
      </c>
      <c r="AW12" s="13">
        <v>135676</v>
      </c>
      <c r="AX12" s="3">
        <f t="shared" si="18"/>
        <v>36209</v>
      </c>
      <c r="AY12" s="5">
        <v>171885</v>
      </c>
      <c r="AZ12" s="4">
        <f t="shared" si="19"/>
        <v>0.99366978841484566</v>
      </c>
      <c r="BA12" s="5">
        <v>177212</v>
      </c>
      <c r="BB12" s="13">
        <v>137894</v>
      </c>
      <c r="BC12" s="3">
        <f t="shared" si="20"/>
        <v>36719</v>
      </c>
      <c r="BD12" s="5">
        <v>174613</v>
      </c>
      <c r="BE12" s="4">
        <f t="shared" si="21"/>
        <v>0.98533395029681958</v>
      </c>
      <c r="BF12" s="5">
        <v>359260</v>
      </c>
      <c r="BG12" s="13">
        <v>257240</v>
      </c>
      <c r="BH12" s="3">
        <f t="shared" si="22"/>
        <v>100772</v>
      </c>
      <c r="BI12" s="5">
        <v>358012</v>
      </c>
      <c r="BJ12" s="4">
        <f t="shared" si="23"/>
        <v>0.99652619272949949</v>
      </c>
    </row>
    <row r="13" spans="1:62" x14ac:dyDescent="0.3">
      <c r="A13" s="10">
        <v>4</v>
      </c>
      <c r="B13" s="2" t="s">
        <v>9</v>
      </c>
      <c r="C13" s="5">
        <v>16508</v>
      </c>
      <c r="D13" s="5">
        <v>13215</v>
      </c>
      <c r="E13" s="3">
        <f t="shared" si="0"/>
        <v>3342</v>
      </c>
      <c r="F13" s="5">
        <v>16557</v>
      </c>
      <c r="G13" s="4">
        <f t="shared" si="1"/>
        <v>1.002968257814393</v>
      </c>
      <c r="H13" s="5">
        <v>16836</v>
      </c>
      <c r="I13" s="5">
        <v>13210</v>
      </c>
      <c r="J13" s="3">
        <f t="shared" si="2"/>
        <v>3543</v>
      </c>
      <c r="K13" s="5">
        <v>16753</v>
      </c>
      <c r="L13" s="4">
        <f t="shared" si="3"/>
        <v>0.99507008790686624</v>
      </c>
      <c r="M13" s="5">
        <v>27790</v>
      </c>
      <c r="N13" s="5">
        <v>20316</v>
      </c>
      <c r="O13" s="3">
        <f t="shared" si="4"/>
        <v>7552</v>
      </c>
      <c r="P13" s="5">
        <v>27868</v>
      </c>
      <c r="Q13" s="4">
        <f t="shared" si="5"/>
        <v>1.0028067650233896</v>
      </c>
      <c r="R13" s="5">
        <v>16731</v>
      </c>
      <c r="S13" s="5">
        <v>13202</v>
      </c>
      <c r="T13" s="3">
        <f t="shared" si="6"/>
        <v>3510</v>
      </c>
      <c r="U13" s="5">
        <v>16712</v>
      </c>
      <c r="V13" s="4">
        <f t="shared" si="7"/>
        <v>0.99886438347976814</v>
      </c>
      <c r="W13" s="5">
        <v>16980</v>
      </c>
      <c r="X13" s="5">
        <v>13307</v>
      </c>
      <c r="Y13" s="3">
        <f t="shared" si="8"/>
        <v>3656</v>
      </c>
      <c r="Z13" s="5">
        <v>16963</v>
      </c>
      <c r="AA13" s="4">
        <f t="shared" si="9"/>
        <v>0.99899882214369851</v>
      </c>
      <c r="AB13" s="5">
        <v>28086</v>
      </c>
      <c r="AC13" s="5">
        <v>21392</v>
      </c>
      <c r="AD13" s="3">
        <f t="shared" si="10"/>
        <v>6742</v>
      </c>
      <c r="AE13" s="5">
        <v>28134</v>
      </c>
      <c r="AF13" s="4">
        <f t="shared" si="11"/>
        <v>1.0017090365306558</v>
      </c>
      <c r="AG13" s="5">
        <v>17018</v>
      </c>
      <c r="AH13" s="13">
        <v>13532</v>
      </c>
      <c r="AI13" s="3">
        <f t="shared" si="12"/>
        <v>3644</v>
      </c>
      <c r="AJ13" s="5">
        <v>17176</v>
      </c>
      <c r="AK13" s="4">
        <f t="shared" si="13"/>
        <v>1.009284287225291</v>
      </c>
      <c r="AL13" s="5">
        <v>17260</v>
      </c>
      <c r="AM13" s="13">
        <v>13581</v>
      </c>
      <c r="AN13" s="3">
        <f t="shared" si="14"/>
        <v>3704</v>
      </c>
      <c r="AO13" s="5">
        <v>17285</v>
      </c>
      <c r="AP13" s="4">
        <f t="shared" si="15"/>
        <v>1.0014484356894553</v>
      </c>
      <c r="AQ13" s="5">
        <v>28368</v>
      </c>
      <c r="AR13" s="13">
        <v>21983</v>
      </c>
      <c r="AS13" s="3">
        <f t="shared" si="16"/>
        <v>6504</v>
      </c>
      <c r="AT13" s="5">
        <v>28487</v>
      </c>
      <c r="AU13" s="4">
        <f t="shared" si="17"/>
        <v>1.0041948674562888</v>
      </c>
      <c r="AV13" s="5">
        <v>17209</v>
      </c>
      <c r="AW13" s="13">
        <v>13801</v>
      </c>
      <c r="AX13" s="3">
        <f t="shared" si="18"/>
        <v>3474</v>
      </c>
      <c r="AY13" s="5">
        <v>17275</v>
      </c>
      <c r="AZ13" s="4">
        <f t="shared" si="19"/>
        <v>1.0038352025103143</v>
      </c>
      <c r="BA13" s="5">
        <v>17487</v>
      </c>
      <c r="BB13" s="13">
        <v>13967</v>
      </c>
      <c r="BC13" s="3">
        <f t="shared" si="20"/>
        <v>3442</v>
      </c>
      <c r="BD13" s="5">
        <v>17409</v>
      </c>
      <c r="BE13" s="4">
        <f t="shared" si="21"/>
        <v>0.99553954366100528</v>
      </c>
      <c r="BF13" s="5">
        <v>28574</v>
      </c>
      <c r="BG13" s="13">
        <v>21642</v>
      </c>
      <c r="BH13" s="3">
        <f t="shared" si="22"/>
        <v>7064</v>
      </c>
      <c r="BI13" s="5">
        <v>28706</v>
      </c>
      <c r="BJ13" s="4">
        <f t="shared" si="23"/>
        <v>1.0046195842374186</v>
      </c>
    </row>
    <row r="14" spans="1:62" x14ac:dyDescent="0.3">
      <c r="A14" s="10">
        <v>5</v>
      </c>
      <c r="B14" s="2" t="s">
        <v>10</v>
      </c>
      <c r="C14" s="5">
        <v>85383</v>
      </c>
      <c r="D14" s="5">
        <v>48444</v>
      </c>
      <c r="E14" s="3">
        <f t="shared" si="0"/>
        <v>36558</v>
      </c>
      <c r="F14" s="5">
        <v>85002</v>
      </c>
      <c r="G14" s="4">
        <f t="shared" si="1"/>
        <v>0.99553775341695649</v>
      </c>
      <c r="H14" s="5">
        <v>88261</v>
      </c>
      <c r="I14" s="5">
        <v>48825</v>
      </c>
      <c r="J14" s="3">
        <f t="shared" si="2"/>
        <v>37987</v>
      </c>
      <c r="K14" s="5">
        <v>86812</v>
      </c>
      <c r="L14" s="4">
        <f t="shared" si="3"/>
        <v>0.98358278288258683</v>
      </c>
      <c r="M14" s="5">
        <v>157146</v>
      </c>
      <c r="N14" s="5">
        <v>78901</v>
      </c>
      <c r="O14" s="3">
        <f t="shared" si="4"/>
        <v>76996</v>
      </c>
      <c r="P14" s="5">
        <v>155897</v>
      </c>
      <c r="Q14" s="4">
        <f t="shared" si="5"/>
        <v>0.99205197714227533</v>
      </c>
      <c r="R14" s="5">
        <v>86469</v>
      </c>
      <c r="S14" s="5">
        <v>48332</v>
      </c>
      <c r="T14" s="3">
        <f t="shared" si="6"/>
        <v>36763</v>
      </c>
      <c r="U14" s="5">
        <v>85095</v>
      </c>
      <c r="V14" s="4">
        <f t="shared" si="7"/>
        <v>0.98410991222287758</v>
      </c>
      <c r="W14" s="5">
        <v>88169</v>
      </c>
      <c r="X14" s="5">
        <v>48565</v>
      </c>
      <c r="Y14" s="3">
        <f t="shared" si="8"/>
        <v>37746</v>
      </c>
      <c r="Z14" s="5">
        <v>86311</v>
      </c>
      <c r="AA14" s="4">
        <f t="shared" si="9"/>
        <v>0.97892683369438238</v>
      </c>
      <c r="AB14" s="5">
        <v>157930</v>
      </c>
      <c r="AC14" s="5">
        <v>81416</v>
      </c>
      <c r="AD14" s="3">
        <f t="shared" si="10"/>
        <v>76158</v>
      </c>
      <c r="AE14" s="5">
        <v>157574</v>
      </c>
      <c r="AF14" s="4">
        <f t="shared" si="11"/>
        <v>0.9977458367631229</v>
      </c>
      <c r="AG14" s="5">
        <v>87312</v>
      </c>
      <c r="AH14" s="13">
        <v>48856</v>
      </c>
      <c r="AI14" s="3">
        <f t="shared" si="12"/>
        <v>37778</v>
      </c>
      <c r="AJ14" s="5">
        <v>86634</v>
      </c>
      <c r="AK14" s="4">
        <f t="shared" si="13"/>
        <v>0.99223474436503578</v>
      </c>
      <c r="AL14" s="5">
        <v>89337</v>
      </c>
      <c r="AM14" s="13">
        <v>50118</v>
      </c>
      <c r="AN14" s="3">
        <f t="shared" si="14"/>
        <v>37710</v>
      </c>
      <c r="AO14" s="5">
        <v>87828</v>
      </c>
      <c r="AP14" s="4">
        <f t="shared" si="15"/>
        <v>0.98310890224654957</v>
      </c>
      <c r="AQ14" s="5">
        <v>160173</v>
      </c>
      <c r="AR14" s="13">
        <v>83010</v>
      </c>
      <c r="AS14" s="3">
        <f t="shared" si="16"/>
        <v>77666</v>
      </c>
      <c r="AT14" s="5">
        <v>160676</v>
      </c>
      <c r="AU14" s="4">
        <f t="shared" si="17"/>
        <v>1.0031403544917059</v>
      </c>
      <c r="AV14" s="5">
        <v>88523</v>
      </c>
      <c r="AW14" s="13">
        <v>50537</v>
      </c>
      <c r="AX14" s="3">
        <f t="shared" si="18"/>
        <v>37642</v>
      </c>
      <c r="AY14" s="5">
        <v>88179</v>
      </c>
      <c r="AZ14" s="4">
        <f t="shared" si="19"/>
        <v>0.99611400427007668</v>
      </c>
      <c r="BA14" s="5">
        <v>90782</v>
      </c>
      <c r="BB14" s="13">
        <v>51914</v>
      </c>
      <c r="BC14" s="3">
        <f t="shared" si="20"/>
        <v>37749</v>
      </c>
      <c r="BD14" s="5">
        <v>89663</v>
      </c>
      <c r="BE14" s="4">
        <f t="shared" si="21"/>
        <v>0.98767376792756278</v>
      </c>
      <c r="BF14" s="5">
        <v>163900</v>
      </c>
      <c r="BG14" s="13">
        <v>81154</v>
      </c>
      <c r="BH14" s="3">
        <f t="shared" si="22"/>
        <v>82175</v>
      </c>
      <c r="BI14" s="5">
        <v>163329</v>
      </c>
      <c r="BJ14" s="4">
        <f t="shared" si="23"/>
        <v>0.99651616839536306</v>
      </c>
    </row>
    <row r="15" spans="1:62" x14ac:dyDescent="0.3">
      <c r="A15" s="10">
        <v>6</v>
      </c>
      <c r="B15" s="2" t="s">
        <v>11</v>
      </c>
      <c r="C15" s="5">
        <v>284262</v>
      </c>
      <c r="D15" s="5">
        <v>209878</v>
      </c>
      <c r="E15" s="3">
        <f t="shared" si="0"/>
        <v>72335</v>
      </c>
      <c r="F15" s="5">
        <v>282213</v>
      </c>
      <c r="G15" s="4">
        <f t="shared" si="1"/>
        <v>0.99279186102961348</v>
      </c>
      <c r="H15" s="5">
        <v>290906</v>
      </c>
      <c r="I15" s="5">
        <v>210450</v>
      </c>
      <c r="J15" s="3">
        <f t="shared" si="2"/>
        <v>76326</v>
      </c>
      <c r="K15" s="5">
        <v>286776</v>
      </c>
      <c r="L15" s="4">
        <f t="shared" si="3"/>
        <v>0.98580297415660045</v>
      </c>
      <c r="M15" s="5">
        <v>490131</v>
      </c>
      <c r="N15" s="5">
        <v>339316</v>
      </c>
      <c r="O15" s="3">
        <f t="shared" si="4"/>
        <v>147285</v>
      </c>
      <c r="P15" s="5">
        <v>486601</v>
      </c>
      <c r="Q15" s="4">
        <f t="shared" si="5"/>
        <v>0.99279784384174841</v>
      </c>
      <c r="R15" s="5">
        <v>287010</v>
      </c>
      <c r="S15" s="5">
        <v>208590</v>
      </c>
      <c r="T15" s="3">
        <f t="shared" si="6"/>
        <v>74985</v>
      </c>
      <c r="U15" s="5">
        <v>283575</v>
      </c>
      <c r="V15" s="4">
        <f t="shared" si="7"/>
        <v>0.98803177589631019</v>
      </c>
      <c r="W15" s="5">
        <v>292338</v>
      </c>
      <c r="X15" s="5">
        <v>213093</v>
      </c>
      <c r="Y15" s="3">
        <f t="shared" si="8"/>
        <v>74393</v>
      </c>
      <c r="Z15" s="5">
        <v>287486</v>
      </c>
      <c r="AA15" s="4">
        <f t="shared" si="9"/>
        <v>0.9834027735019053</v>
      </c>
      <c r="AB15" s="5">
        <v>495688</v>
      </c>
      <c r="AC15" s="5">
        <v>349688</v>
      </c>
      <c r="AD15" s="3">
        <f t="shared" si="10"/>
        <v>142483</v>
      </c>
      <c r="AE15" s="5">
        <v>492171</v>
      </c>
      <c r="AF15" s="4">
        <f t="shared" si="11"/>
        <v>0.99290481109084749</v>
      </c>
      <c r="AG15" s="5">
        <v>292071</v>
      </c>
      <c r="AH15" s="13">
        <v>211009</v>
      </c>
      <c r="AI15" s="3">
        <f t="shared" si="12"/>
        <v>78362</v>
      </c>
      <c r="AJ15" s="5">
        <v>289371</v>
      </c>
      <c r="AK15" s="4">
        <f t="shared" si="13"/>
        <v>0.9907556724221166</v>
      </c>
      <c r="AL15" s="5">
        <v>298411</v>
      </c>
      <c r="AM15" s="13">
        <v>218221</v>
      </c>
      <c r="AN15" s="3">
        <f t="shared" si="14"/>
        <v>75049</v>
      </c>
      <c r="AO15" s="5">
        <v>293270</v>
      </c>
      <c r="AP15" s="4">
        <f t="shared" si="15"/>
        <v>0.98277208279855632</v>
      </c>
      <c r="AQ15" s="5">
        <v>502913</v>
      </c>
      <c r="AR15" s="13">
        <v>362088</v>
      </c>
      <c r="AS15" s="3">
        <f t="shared" si="16"/>
        <v>137747</v>
      </c>
      <c r="AT15" s="5">
        <v>499835</v>
      </c>
      <c r="AU15" s="4">
        <f t="shared" si="17"/>
        <v>0.99387965711763271</v>
      </c>
      <c r="AV15" s="5">
        <v>298012</v>
      </c>
      <c r="AW15" s="13">
        <v>222703</v>
      </c>
      <c r="AX15" s="3">
        <f t="shared" si="18"/>
        <v>71738</v>
      </c>
      <c r="AY15" s="5">
        <v>294441</v>
      </c>
      <c r="AZ15" s="4">
        <f t="shared" si="19"/>
        <v>0.98801726104989063</v>
      </c>
      <c r="BA15" s="5">
        <v>303376</v>
      </c>
      <c r="BB15" s="13">
        <v>227228</v>
      </c>
      <c r="BC15" s="3">
        <f t="shared" si="20"/>
        <v>71602</v>
      </c>
      <c r="BD15" s="5">
        <v>298830</v>
      </c>
      <c r="BE15" s="4">
        <f t="shared" si="21"/>
        <v>0.98501529455197512</v>
      </c>
      <c r="BF15" s="5">
        <v>511329</v>
      </c>
      <c r="BG15" s="13">
        <v>358006</v>
      </c>
      <c r="BH15" s="3">
        <f t="shared" si="22"/>
        <v>149707</v>
      </c>
      <c r="BI15" s="5">
        <v>507713</v>
      </c>
      <c r="BJ15" s="4">
        <f t="shared" si="23"/>
        <v>0.99292823211669978</v>
      </c>
    </row>
    <row r="16" spans="1:62" x14ac:dyDescent="0.3">
      <c r="A16" s="10">
        <v>7</v>
      </c>
      <c r="B16" s="2" t="s">
        <v>12</v>
      </c>
      <c r="C16" s="5">
        <v>430635</v>
      </c>
      <c r="D16" s="5">
        <v>319634</v>
      </c>
      <c r="E16" s="3">
        <f t="shared" si="0"/>
        <v>107238</v>
      </c>
      <c r="F16" s="5">
        <v>426872</v>
      </c>
      <c r="G16" s="4">
        <f t="shared" si="1"/>
        <v>0.99126174138191281</v>
      </c>
      <c r="H16" s="5">
        <v>441093</v>
      </c>
      <c r="I16" s="5">
        <v>317926</v>
      </c>
      <c r="J16" s="3">
        <f t="shared" si="2"/>
        <v>113356</v>
      </c>
      <c r="K16" s="5">
        <v>431282</v>
      </c>
      <c r="L16" s="4">
        <f t="shared" si="3"/>
        <v>0.97775752505707414</v>
      </c>
      <c r="M16" s="5">
        <v>754668</v>
      </c>
      <c r="N16" s="5">
        <v>551852</v>
      </c>
      <c r="O16" s="3">
        <f t="shared" si="4"/>
        <v>199897</v>
      </c>
      <c r="P16" s="5">
        <v>751749</v>
      </c>
      <c r="Q16" s="4">
        <f t="shared" si="5"/>
        <v>0.99613207397160075</v>
      </c>
      <c r="R16" s="5">
        <v>429537</v>
      </c>
      <c r="S16" s="5">
        <v>312302</v>
      </c>
      <c r="T16" s="3">
        <f t="shared" si="6"/>
        <v>111585</v>
      </c>
      <c r="U16" s="5">
        <v>423887</v>
      </c>
      <c r="V16" s="4">
        <f t="shared" si="7"/>
        <v>0.98684630194837697</v>
      </c>
      <c r="W16" s="5">
        <v>433887</v>
      </c>
      <c r="X16" s="5">
        <v>314243</v>
      </c>
      <c r="Y16" s="3">
        <f t="shared" si="8"/>
        <v>112663</v>
      </c>
      <c r="Z16" s="5">
        <v>426906</v>
      </c>
      <c r="AA16" s="4">
        <f t="shared" si="9"/>
        <v>0.98391055735709987</v>
      </c>
      <c r="AB16" s="5">
        <v>753330</v>
      </c>
      <c r="AC16" s="5">
        <v>552078</v>
      </c>
      <c r="AD16" s="3">
        <f t="shared" si="10"/>
        <v>200097</v>
      </c>
      <c r="AE16" s="5">
        <v>752175</v>
      </c>
      <c r="AF16" s="4">
        <f t="shared" si="11"/>
        <v>0.99846680737525384</v>
      </c>
      <c r="AG16" s="5">
        <v>431686</v>
      </c>
      <c r="AH16" s="13">
        <v>312341</v>
      </c>
      <c r="AI16" s="3">
        <f t="shared" si="12"/>
        <v>113831</v>
      </c>
      <c r="AJ16" s="5">
        <v>426172</v>
      </c>
      <c r="AK16" s="4">
        <f t="shared" si="13"/>
        <v>0.98722682690659413</v>
      </c>
      <c r="AL16" s="5">
        <v>438911</v>
      </c>
      <c r="AM16" s="13">
        <v>316492</v>
      </c>
      <c r="AN16" s="3">
        <f t="shared" si="14"/>
        <v>114099</v>
      </c>
      <c r="AO16" s="5">
        <v>430591</v>
      </c>
      <c r="AP16" s="4">
        <f t="shared" si="15"/>
        <v>0.98104399297351852</v>
      </c>
      <c r="AQ16" s="5">
        <v>759875</v>
      </c>
      <c r="AR16" s="13">
        <v>562999</v>
      </c>
      <c r="AS16" s="3">
        <f t="shared" si="16"/>
        <v>195728</v>
      </c>
      <c r="AT16" s="5">
        <v>758727</v>
      </c>
      <c r="AU16" s="4">
        <f t="shared" si="17"/>
        <v>0.9984892252015134</v>
      </c>
      <c r="AV16" s="5">
        <v>437477</v>
      </c>
      <c r="AW16" s="13">
        <v>322741</v>
      </c>
      <c r="AX16" s="3">
        <f t="shared" si="18"/>
        <v>108404</v>
      </c>
      <c r="AY16" s="5">
        <v>431145</v>
      </c>
      <c r="AZ16" s="4">
        <f t="shared" si="19"/>
        <v>0.98552609622905885</v>
      </c>
      <c r="BA16" s="5">
        <v>445887</v>
      </c>
      <c r="BB16" s="13">
        <v>327168</v>
      </c>
      <c r="BC16" s="3">
        <f t="shared" si="20"/>
        <v>109828</v>
      </c>
      <c r="BD16" s="5">
        <v>436996</v>
      </c>
      <c r="BE16" s="4">
        <f t="shared" si="21"/>
        <v>0.98005997035123249</v>
      </c>
      <c r="BF16" s="5">
        <v>770088</v>
      </c>
      <c r="BG16" s="13">
        <v>557582</v>
      </c>
      <c r="BH16" s="3">
        <f t="shared" si="22"/>
        <v>207496</v>
      </c>
      <c r="BI16" s="5">
        <v>765078</v>
      </c>
      <c r="BJ16" s="4">
        <f t="shared" si="23"/>
        <v>0.99349425000779135</v>
      </c>
    </row>
    <row r="17" spans="1:62" x14ac:dyDescent="0.3">
      <c r="A17" s="10">
        <v>8</v>
      </c>
      <c r="B17" s="2" t="s">
        <v>13</v>
      </c>
      <c r="C17" s="5">
        <v>302574</v>
      </c>
      <c r="D17" s="5">
        <v>211846</v>
      </c>
      <c r="E17" s="3">
        <f t="shared" si="0"/>
        <v>89318</v>
      </c>
      <c r="F17" s="5">
        <v>301164</v>
      </c>
      <c r="G17" s="4">
        <f t="shared" si="1"/>
        <v>0.99533998294632053</v>
      </c>
      <c r="H17" s="5">
        <v>314962</v>
      </c>
      <c r="I17" s="5">
        <v>217051</v>
      </c>
      <c r="J17" s="3">
        <f t="shared" si="2"/>
        <v>92360</v>
      </c>
      <c r="K17" s="5">
        <v>309411</v>
      </c>
      <c r="L17" s="4">
        <f t="shared" si="3"/>
        <v>0.98237565166591523</v>
      </c>
      <c r="M17" s="5">
        <v>695415</v>
      </c>
      <c r="N17" s="5">
        <v>442279</v>
      </c>
      <c r="O17" s="3">
        <f t="shared" si="4"/>
        <v>249507</v>
      </c>
      <c r="P17" s="5">
        <v>691786</v>
      </c>
      <c r="Q17" s="4">
        <f t="shared" si="5"/>
        <v>0.99478153332901931</v>
      </c>
      <c r="R17" s="5">
        <v>305324</v>
      </c>
      <c r="S17" s="5">
        <v>211986</v>
      </c>
      <c r="T17" s="3">
        <f t="shared" si="6"/>
        <v>90722</v>
      </c>
      <c r="U17" s="5">
        <v>302708</v>
      </c>
      <c r="V17" s="4">
        <f t="shared" si="7"/>
        <v>0.99143205250815525</v>
      </c>
      <c r="W17" s="5">
        <v>316716</v>
      </c>
      <c r="X17" s="5">
        <v>216353</v>
      </c>
      <c r="Y17" s="3">
        <f t="shared" si="8"/>
        <v>93466</v>
      </c>
      <c r="Z17" s="5">
        <v>309819</v>
      </c>
      <c r="AA17" s="4">
        <f t="shared" si="9"/>
        <v>0.97822339256621071</v>
      </c>
      <c r="AB17" s="5">
        <v>703511</v>
      </c>
      <c r="AC17" s="5">
        <v>445675</v>
      </c>
      <c r="AD17" s="3">
        <f t="shared" si="10"/>
        <v>254125</v>
      </c>
      <c r="AE17" s="5">
        <v>699800</v>
      </c>
      <c r="AF17" s="4">
        <f t="shared" si="11"/>
        <v>0.99472502917509464</v>
      </c>
      <c r="AG17" s="5">
        <v>311084</v>
      </c>
      <c r="AH17" s="13">
        <v>218094</v>
      </c>
      <c r="AI17" s="3">
        <f t="shared" si="12"/>
        <v>90903</v>
      </c>
      <c r="AJ17" s="5">
        <v>308997</v>
      </c>
      <c r="AK17" s="4">
        <f t="shared" si="13"/>
        <v>0.99329120109038072</v>
      </c>
      <c r="AL17" s="5">
        <v>323550</v>
      </c>
      <c r="AM17" s="13">
        <v>222745</v>
      </c>
      <c r="AN17" s="3">
        <f t="shared" si="14"/>
        <v>93554</v>
      </c>
      <c r="AO17" s="5">
        <v>316299</v>
      </c>
      <c r="AP17" s="4">
        <f t="shared" si="15"/>
        <v>0.97758924432081595</v>
      </c>
      <c r="AQ17" s="5">
        <v>714257</v>
      </c>
      <c r="AR17" s="13">
        <v>469924</v>
      </c>
      <c r="AS17" s="3">
        <f t="shared" si="16"/>
        <v>244309</v>
      </c>
      <c r="AT17" s="5">
        <v>714233</v>
      </c>
      <c r="AU17" s="4">
        <f t="shared" si="17"/>
        <v>0.99996639864922565</v>
      </c>
      <c r="AV17" s="5">
        <v>316308</v>
      </c>
      <c r="AW17" s="13">
        <v>227656</v>
      </c>
      <c r="AX17" s="3">
        <f t="shared" si="18"/>
        <v>87085</v>
      </c>
      <c r="AY17" s="5">
        <v>314741</v>
      </c>
      <c r="AZ17" s="4">
        <f t="shared" si="19"/>
        <v>0.99504596785411692</v>
      </c>
      <c r="BA17" s="5">
        <v>328067</v>
      </c>
      <c r="BB17" s="13">
        <v>233170</v>
      </c>
      <c r="BC17" s="3">
        <f t="shared" si="20"/>
        <v>88510</v>
      </c>
      <c r="BD17" s="5">
        <v>321680</v>
      </c>
      <c r="BE17" s="4">
        <f t="shared" si="21"/>
        <v>0.98053141583883785</v>
      </c>
      <c r="BF17" s="5">
        <v>726752</v>
      </c>
      <c r="BG17" s="13">
        <v>452470</v>
      </c>
      <c r="BH17" s="3">
        <f t="shared" si="22"/>
        <v>273173</v>
      </c>
      <c r="BI17" s="5">
        <v>725643</v>
      </c>
      <c r="BJ17" s="4">
        <f t="shared" si="23"/>
        <v>0.99847403240720356</v>
      </c>
    </row>
    <row r="18" spans="1:62" x14ac:dyDescent="0.3">
      <c r="A18" s="10">
        <v>9</v>
      </c>
      <c r="B18" s="2" t="s">
        <v>14</v>
      </c>
      <c r="C18" s="5">
        <v>921236</v>
      </c>
      <c r="D18" s="5">
        <v>463533</v>
      </c>
      <c r="E18" s="3">
        <f t="shared" si="0"/>
        <v>454349</v>
      </c>
      <c r="F18" s="5">
        <v>917882</v>
      </c>
      <c r="G18" s="4">
        <f t="shared" si="1"/>
        <v>0.99635923910919677</v>
      </c>
      <c r="H18" s="5">
        <v>943261</v>
      </c>
      <c r="I18" s="5">
        <v>483030</v>
      </c>
      <c r="J18" s="3">
        <f t="shared" si="2"/>
        <v>449520</v>
      </c>
      <c r="K18" s="5">
        <v>932550</v>
      </c>
      <c r="L18" s="4">
        <f t="shared" si="3"/>
        <v>0.98864471233306583</v>
      </c>
      <c r="M18" s="5">
        <v>1440086</v>
      </c>
      <c r="N18" s="5">
        <v>694090</v>
      </c>
      <c r="O18" s="3">
        <f t="shared" si="4"/>
        <v>736571</v>
      </c>
      <c r="P18" s="5">
        <v>1430661</v>
      </c>
      <c r="Q18" s="4">
        <f t="shared" si="5"/>
        <v>0.99345525197800688</v>
      </c>
      <c r="R18" s="5">
        <v>938677</v>
      </c>
      <c r="S18" s="5">
        <v>472567</v>
      </c>
      <c r="T18" s="3">
        <f t="shared" si="6"/>
        <v>455706</v>
      </c>
      <c r="U18" s="5">
        <v>928273</v>
      </c>
      <c r="V18" s="4">
        <f t="shared" si="7"/>
        <v>0.98891631519681422</v>
      </c>
      <c r="W18" s="5">
        <v>958009</v>
      </c>
      <c r="X18" s="5">
        <v>481180</v>
      </c>
      <c r="Y18" s="3">
        <f t="shared" si="8"/>
        <v>462197</v>
      </c>
      <c r="Z18" s="5">
        <v>943377</v>
      </c>
      <c r="AA18" s="4">
        <f t="shared" si="9"/>
        <v>0.98472665705645768</v>
      </c>
      <c r="AB18" s="5">
        <v>1463397</v>
      </c>
      <c r="AC18" s="5">
        <v>703758</v>
      </c>
      <c r="AD18" s="3">
        <f t="shared" si="10"/>
        <v>751191</v>
      </c>
      <c r="AE18" s="5">
        <v>1454949</v>
      </c>
      <c r="AF18" s="4">
        <f t="shared" si="11"/>
        <v>0.99422713043692179</v>
      </c>
      <c r="AG18" s="5">
        <v>959088</v>
      </c>
      <c r="AH18" s="13">
        <v>481971</v>
      </c>
      <c r="AI18" s="3">
        <f t="shared" si="12"/>
        <v>469123</v>
      </c>
      <c r="AJ18" s="5">
        <v>951094</v>
      </c>
      <c r="AK18" s="4">
        <f t="shared" si="13"/>
        <v>0.99166499841516109</v>
      </c>
      <c r="AL18" s="5">
        <v>980581</v>
      </c>
      <c r="AM18" s="13">
        <v>494021</v>
      </c>
      <c r="AN18" s="3">
        <f t="shared" si="14"/>
        <v>470122</v>
      </c>
      <c r="AO18" s="5">
        <v>964143</v>
      </c>
      <c r="AP18" s="4">
        <f t="shared" si="15"/>
        <v>0.98323646899134287</v>
      </c>
      <c r="AQ18" s="5">
        <v>1490329</v>
      </c>
      <c r="AR18" s="13">
        <v>732983</v>
      </c>
      <c r="AS18" s="3">
        <f t="shared" si="16"/>
        <v>753048</v>
      </c>
      <c r="AT18" s="5">
        <v>1486031</v>
      </c>
      <c r="AU18" s="4">
        <f t="shared" si="17"/>
        <v>0.99711607302817029</v>
      </c>
      <c r="AV18" s="5">
        <v>983291</v>
      </c>
      <c r="AW18" s="13">
        <v>509298</v>
      </c>
      <c r="AX18" s="3">
        <f t="shared" si="18"/>
        <v>464925</v>
      </c>
      <c r="AY18" s="5">
        <v>974223</v>
      </c>
      <c r="AZ18" s="4">
        <f t="shared" si="19"/>
        <v>0.99077790806587263</v>
      </c>
      <c r="BA18" s="5">
        <v>1002255</v>
      </c>
      <c r="BB18" s="13">
        <v>514513</v>
      </c>
      <c r="BC18" s="3">
        <f t="shared" si="20"/>
        <v>473197</v>
      </c>
      <c r="BD18" s="5">
        <v>987710</v>
      </c>
      <c r="BE18" s="4">
        <f t="shared" si="21"/>
        <v>0.98548772517971972</v>
      </c>
      <c r="BF18" s="5">
        <v>1522890</v>
      </c>
      <c r="BG18" s="13">
        <v>703619</v>
      </c>
      <c r="BH18" s="3">
        <f t="shared" si="22"/>
        <v>809277</v>
      </c>
      <c r="BI18" s="5">
        <v>1512896</v>
      </c>
      <c r="BJ18" s="4">
        <f t="shared" si="23"/>
        <v>0.99343747742778532</v>
      </c>
    </row>
    <row r="19" spans="1:62" x14ac:dyDescent="0.3">
      <c r="A19" s="11">
        <v>10</v>
      </c>
      <c r="B19" s="2" t="s">
        <v>15</v>
      </c>
      <c r="C19" s="5">
        <v>275195</v>
      </c>
      <c r="D19" s="5">
        <v>85464</v>
      </c>
      <c r="E19" s="3">
        <f t="shared" si="0"/>
        <v>185671</v>
      </c>
      <c r="F19" s="5">
        <v>271135</v>
      </c>
      <c r="G19" s="4">
        <f t="shared" si="1"/>
        <v>0.98524682497865146</v>
      </c>
      <c r="H19" s="5">
        <v>285702</v>
      </c>
      <c r="I19" s="5">
        <v>87608</v>
      </c>
      <c r="J19" s="3">
        <f t="shared" si="2"/>
        <v>189624</v>
      </c>
      <c r="K19" s="5">
        <v>277232</v>
      </c>
      <c r="L19" s="4">
        <f t="shared" si="3"/>
        <v>0.97035372521018404</v>
      </c>
      <c r="M19" s="5">
        <v>479092</v>
      </c>
      <c r="N19" s="5">
        <v>142398</v>
      </c>
      <c r="O19" s="3">
        <f t="shared" si="4"/>
        <v>327939</v>
      </c>
      <c r="P19" s="5">
        <v>470337</v>
      </c>
      <c r="Q19" s="4">
        <f t="shared" si="5"/>
        <v>0.981725848062585</v>
      </c>
      <c r="R19" s="5">
        <v>279649</v>
      </c>
      <c r="S19" s="5">
        <v>86817</v>
      </c>
      <c r="T19" s="3">
        <f t="shared" si="6"/>
        <v>185557</v>
      </c>
      <c r="U19" s="5">
        <v>272374</v>
      </c>
      <c r="V19" s="4">
        <f t="shared" si="7"/>
        <v>0.97398524579025847</v>
      </c>
      <c r="W19" s="5">
        <v>287758</v>
      </c>
      <c r="X19" s="5">
        <v>88230</v>
      </c>
      <c r="Y19" s="3">
        <f t="shared" si="8"/>
        <v>188450</v>
      </c>
      <c r="Z19" s="5">
        <v>276680</v>
      </c>
      <c r="AA19" s="4">
        <f t="shared" si="9"/>
        <v>0.9615023735221957</v>
      </c>
      <c r="AB19" s="5">
        <v>485015</v>
      </c>
      <c r="AC19" s="5">
        <v>144558</v>
      </c>
      <c r="AD19" s="3">
        <f t="shared" si="10"/>
        <v>331920</v>
      </c>
      <c r="AE19" s="5">
        <v>476478</v>
      </c>
      <c r="AF19" s="4">
        <f t="shared" si="11"/>
        <v>0.98239848252115913</v>
      </c>
      <c r="AG19" s="5">
        <v>283525</v>
      </c>
      <c r="AH19" s="13">
        <v>92392</v>
      </c>
      <c r="AI19" s="3">
        <f t="shared" si="12"/>
        <v>184086</v>
      </c>
      <c r="AJ19" s="5">
        <v>276478</v>
      </c>
      <c r="AK19" s="4">
        <f t="shared" si="13"/>
        <v>0.97514504893748344</v>
      </c>
      <c r="AL19" s="5">
        <v>295027</v>
      </c>
      <c r="AM19" s="13">
        <v>93946</v>
      </c>
      <c r="AN19" s="3">
        <f t="shared" si="14"/>
        <v>188138</v>
      </c>
      <c r="AO19" s="5">
        <v>282084</v>
      </c>
      <c r="AP19" s="4">
        <f t="shared" si="15"/>
        <v>0.95612943900049829</v>
      </c>
      <c r="AQ19" s="5">
        <v>494059</v>
      </c>
      <c r="AR19" s="13">
        <v>152139</v>
      </c>
      <c r="AS19" s="3">
        <f t="shared" si="16"/>
        <v>335822</v>
      </c>
      <c r="AT19" s="5">
        <v>487961</v>
      </c>
      <c r="AU19" s="4">
        <f t="shared" si="17"/>
        <v>0.9876573445681589</v>
      </c>
      <c r="AV19" s="5">
        <v>287237</v>
      </c>
      <c r="AW19" s="13">
        <v>96990</v>
      </c>
      <c r="AX19" s="3">
        <f t="shared" si="18"/>
        <v>186052</v>
      </c>
      <c r="AY19" s="5">
        <v>283042</v>
      </c>
      <c r="AZ19" s="4">
        <f t="shared" si="19"/>
        <v>0.98539533555913761</v>
      </c>
      <c r="BA19" s="5">
        <v>298081</v>
      </c>
      <c r="BB19" s="13">
        <v>96192</v>
      </c>
      <c r="BC19" s="3">
        <f t="shared" si="20"/>
        <v>191284</v>
      </c>
      <c r="BD19" s="5">
        <v>287476</v>
      </c>
      <c r="BE19" s="4">
        <f t="shared" si="21"/>
        <v>0.96442242209332363</v>
      </c>
      <c r="BF19" s="5">
        <v>503654</v>
      </c>
      <c r="BG19" s="13">
        <v>138584</v>
      </c>
      <c r="BH19" s="3">
        <f t="shared" si="22"/>
        <v>355560</v>
      </c>
      <c r="BI19" s="5">
        <v>494144</v>
      </c>
      <c r="BJ19" s="4">
        <f t="shared" si="23"/>
        <v>0.98111798973104547</v>
      </c>
    </row>
    <row r="20" spans="1:62" x14ac:dyDescent="0.3">
      <c r="A20" s="11">
        <v>11</v>
      </c>
      <c r="B20" s="2" t="s">
        <v>16</v>
      </c>
      <c r="C20" s="5">
        <v>5644</v>
      </c>
      <c r="D20" s="5">
        <v>2256</v>
      </c>
      <c r="E20" s="3">
        <f t="shared" si="0"/>
        <v>3537</v>
      </c>
      <c r="F20" s="5">
        <v>5793</v>
      </c>
      <c r="G20" s="4">
        <f t="shared" si="1"/>
        <v>1.0263997165131113</v>
      </c>
      <c r="H20" s="5">
        <v>5914</v>
      </c>
      <c r="I20" s="5">
        <v>2313</v>
      </c>
      <c r="J20" s="3">
        <f t="shared" si="2"/>
        <v>3644</v>
      </c>
      <c r="K20" s="5">
        <v>5957</v>
      </c>
      <c r="L20" s="4">
        <f t="shared" si="3"/>
        <v>1.0072708826513359</v>
      </c>
      <c r="M20" s="5">
        <v>9037</v>
      </c>
      <c r="N20" s="5">
        <v>3567</v>
      </c>
      <c r="O20" s="3">
        <f t="shared" si="4"/>
        <v>5724</v>
      </c>
      <c r="P20" s="5">
        <v>9291</v>
      </c>
      <c r="Q20" s="4">
        <f t="shared" si="5"/>
        <v>1.0281066725683301</v>
      </c>
      <c r="R20" s="5">
        <v>5910</v>
      </c>
      <c r="S20" s="5">
        <v>2387</v>
      </c>
      <c r="T20" s="3">
        <f t="shared" si="6"/>
        <v>3641</v>
      </c>
      <c r="U20" s="5">
        <v>6028</v>
      </c>
      <c r="V20" s="4">
        <f t="shared" si="7"/>
        <v>1.0199661590524534</v>
      </c>
      <c r="W20" s="5">
        <v>6115</v>
      </c>
      <c r="X20" s="5">
        <v>2405</v>
      </c>
      <c r="Y20" s="3">
        <f t="shared" si="8"/>
        <v>3724</v>
      </c>
      <c r="Z20" s="5">
        <v>6129</v>
      </c>
      <c r="AA20" s="4">
        <f t="shared" si="9"/>
        <v>1.0022894521668029</v>
      </c>
      <c r="AB20" s="5">
        <v>9431</v>
      </c>
      <c r="AC20" s="5">
        <v>3773</v>
      </c>
      <c r="AD20" s="3">
        <f t="shared" si="10"/>
        <v>5788</v>
      </c>
      <c r="AE20" s="5">
        <v>9561</v>
      </c>
      <c r="AF20" s="4">
        <f t="shared" si="11"/>
        <v>1.0137843282790797</v>
      </c>
      <c r="AG20" s="5">
        <v>6099</v>
      </c>
      <c r="AH20" s="13">
        <v>2590</v>
      </c>
      <c r="AI20" s="3">
        <f t="shared" si="12"/>
        <v>3561</v>
      </c>
      <c r="AJ20" s="5">
        <v>6151</v>
      </c>
      <c r="AK20" s="4">
        <f t="shared" si="13"/>
        <v>1.0085259878668633</v>
      </c>
      <c r="AL20" s="5">
        <v>6250</v>
      </c>
      <c r="AM20" s="13">
        <v>2798</v>
      </c>
      <c r="AN20" s="3">
        <f t="shared" si="14"/>
        <v>3435</v>
      </c>
      <c r="AO20" s="5">
        <v>6233</v>
      </c>
      <c r="AP20" s="4">
        <f t="shared" si="15"/>
        <v>0.99728000000000006</v>
      </c>
      <c r="AQ20" s="5">
        <v>9632</v>
      </c>
      <c r="AR20" s="13">
        <v>3775</v>
      </c>
      <c r="AS20" s="3">
        <f t="shared" si="16"/>
        <v>5971</v>
      </c>
      <c r="AT20" s="5">
        <v>9746</v>
      </c>
      <c r="AU20" s="4">
        <f t="shared" si="17"/>
        <v>1.0118355481727574</v>
      </c>
      <c r="AV20" s="5">
        <v>6297</v>
      </c>
      <c r="AW20" s="13">
        <v>2627</v>
      </c>
      <c r="AX20" s="3">
        <f t="shared" si="18"/>
        <v>3625</v>
      </c>
      <c r="AY20" s="5">
        <v>6252</v>
      </c>
      <c r="AZ20" s="4">
        <f t="shared" si="19"/>
        <v>0.99285373987613146</v>
      </c>
      <c r="BA20" s="5">
        <v>6366</v>
      </c>
      <c r="BB20" s="13">
        <v>2564</v>
      </c>
      <c r="BC20" s="3">
        <f t="shared" si="20"/>
        <v>3731</v>
      </c>
      <c r="BD20" s="5">
        <v>6295</v>
      </c>
      <c r="BE20" s="4">
        <f t="shared" si="21"/>
        <v>0.98884699968583101</v>
      </c>
      <c r="BF20" s="5">
        <v>9853</v>
      </c>
      <c r="BG20" s="13">
        <v>3537</v>
      </c>
      <c r="BH20" s="3">
        <f t="shared" si="22"/>
        <v>6364</v>
      </c>
      <c r="BI20" s="5">
        <v>9901</v>
      </c>
      <c r="BJ20" s="4">
        <f t="shared" si="23"/>
        <v>1.0048716127067898</v>
      </c>
    </row>
    <row r="21" spans="1:62" x14ac:dyDescent="0.3">
      <c r="A21" s="11">
        <v>12</v>
      </c>
      <c r="B21" s="2" t="s">
        <v>17</v>
      </c>
      <c r="C21" s="5">
        <v>9571</v>
      </c>
      <c r="D21" s="5">
        <v>2217</v>
      </c>
      <c r="E21" s="3">
        <f t="shared" si="0"/>
        <v>7626</v>
      </c>
      <c r="F21" s="5">
        <v>9843</v>
      </c>
      <c r="G21" s="4">
        <f t="shared" si="1"/>
        <v>1.0284191829484903</v>
      </c>
      <c r="H21" s="5">
        <v>10057</v>
      </c>
      <c r="I21" s="5">
        <v>2717</v>
      </c>
      <c r="J21" s="3">
        <f t="shared" si="2"/>
        <v>7268</v>
      </c>
      <c r="K21" s="5">
        <v>9985</v>
      </c>
      <c r="L21" s="4">
        <f t="shared" si="3"/>
        <v>0.99284080739783231</v>
      </c>
      <c r="M21" s="5">
        <v>12982</v>
      </c>
      <c r="N21" s="5">
        <v>3444</v>
      </c>
      <c r="O21" s="3">
        <f t="shared" si="4"/>
        <v>9817</v>
      </c>
      <c r="P21" s="5">
        <v>13261</v>
      </c>
      <c r="Q21" s="4">
        <f t="shared" si="5"/>
        <v>1.021491295640117</v>
      </c>
      <c r="R21" s="5">
        <v>9811</v>
      </c>
      <c r="S21" s="5">
        <v>2714</v>
      </c>
      <c r="T21" s="3">
        <f t="shared" si="6"/>
        <v>7334</v>
      </c>
      <c r="U21" s="5">
        <v>10048</v>
      </c>
      <c r="V21" s="4">
        <f t="shared" si="7"/>
        <v>1.0241565589644277</v>
      </c>
      <c r="W21" s="5">
        <v>10152</v>
      </c>
      <c r="X21" s="5">
        <v>2791</v>
      </c>
      <c r="Y21" s="3">
        <f t="shared" si="8"/>
        <v>7392</v>
      </c>
      <c r="Z21" s="5">
        <v>10183</v>
      </c>
      <c r="AA21" s="4">
        <f t="shared" si="9"/>
        <v>1.0030535855003939</v>
      </c>
      <c r="AB21" s="5">
        <v>13231</v>
      </c>
      <c r="AC21" s="5">
        <v>3844</v>
      </c>
      <c r="AD21" s="3">
        <f t="shared" si="10"/>
        <v>9742</v>
      </c>
      <c r="AE21" s="5">
        <v>13586</v>
      </c>
      <c r="AF21" s="4">
        <f t="shared" si="11"/>
        <v>1.026830927367546</v>
      </c>
      <c r="AG21" s="5">
        <v>10040</v>
      </c>
      <c r="AH21" s="13">
        <v>2854</v>
      </c>
      <c r="AI21" s="3">
        <f t="shared" si="12"/>
        <v>7402</v>
      </c>
      <c r="AJ21" s="5">
        <v>10256</v>
      </c>
      <c r="AK21" s="4">
        <f t="shared" si="13"/>
        <v>1.0215139442231076</v>
      </c>
      <c r="AL21" s="5">
        <v>10211</v>
      </c>
      <c r="AM21" s="13">
        <v>2879</v>
      </c>
      <c r="AN21" s="3">
        <f t="shared" si="14"/>
        <v>7529</v>
      </c>
      <c r="AO21" s="5">
        <v>10408</v>
      </c>
      <c r="AP21" s="4">
        <f t="shared" si="15"/>
        <v>1.0192929194006464</v>
      </c>
      <c r="AQ21" s="5">
        <v>13473</v>
      </c>
      <c r="AR21" s="13">
        <v>3814</v>
      </c>
      <c r="AS21" s="3">
        <f t="shared" si="16"/>
        <v>10101</v>
      </c>
      <c r="AT21" s="5">
        <v>13915</v>
      </c>
      <c r="AU21" s="4">
        <f t="shared" si="17"/>
        <v>1.0328063534476359</v>
      </c>
      <c r="AV21" s="5">
        <v>10213</v>
      </c>
      <c r="AW21" s="13">
        <v>2804</v>
      </c>
      <c r="AX21" s="3">
        <f t="shared" si="18"/>
        <v>7714</v>
      </c>
      <c r="AY21" s="5">
        <v>10518</v>
      </c>
      <c r="AZ21" s="4">
        <f t="shared" si="19"/>
        <v>1.0298638989523157</v>
      </c>
      <c r="BA21" s="5">
        <v>10449</v>
      </c>
      <c r="BB21" s="13">
        <v>2838</v>
      </c>
      <c r="BC21" s="3">
        <f t="shared" si="20"/>
        <v>7822</v>
      </c>
      <c r="BD21" s="5">
        <v>10660</v>
      </c>
      <c r="BE21" s="4">
        <f t="shared" si="21"/>
        <v>1.020193319934922</v>
      </c>
      <c r="BF21" s="5">
        <v>13925</v>
      </c>
      <c r="BG21" s="13">
        <v>3448</v>
      </c>
      <c r="BH21" s="3">
        <f t="shared" si="22"/>
        <v>10914</v>
      </c>
      <c r="BI21" s="5">
        <v>14362</v>
      </c>
      <c r="BJ21" s="4">
        <f t="shared" si="23"/>
        <v>1.0313824057450629</v>
      </c>
    </row>
    <row r="22" spans="1:62" x14ac:dyDescent="0.3">
      <c r="A22" s="11">
        <v>13</v>
      </c>
      <c r="B22" s="2" t="s">
        <v>18</v>
      </c>
      <c r="C22" s="5">
        <v>6159</v>
      </c>
      <c r="D22" s="5">
        <v>2028</v>
      </c>
      <c r="E22" s="3">
        <f t="shared" si="0"/>
        <v>4204</v>
      </c>
      <c r="F22" s="5">
        <v>6232</v>
      </c>
      <c r="G22" s="4">
        <f t="shared" si="1"/>
        <v>1.011852573469719</v>
      </c>
      <c r="H22" s="5">
        <v>6265</v>
      </c>
      <c r="I22" s="5">
        <v>1943</v>
      </c>
      <c r="J22" s="3">
        <f t="shared" si="2"/>
        <v>4376</v>
      </c>
      <c r="K22" s="5">
        <v>6319</v>
      </c>
      <c r="L22" s="4">
        <f t="shared" si="3"/>
        <v>1.0086193136472466</v>
      </c>
      <c r="M22" s="5">
        <v>7537</v>
      </c>
      <c r="N22" s="5">
        <v>2508</v>
      </c>
      <c r="O22" s="3">
        <f t="shared" si="4"/>
        <v>5111</v>
      </c>
      <c r="P22" s="5">
        <v>7619</v>
      </c>
      <c r="Q22" s="4">
        <f t="shared" si="5"/>
        <v>1.0108796603423114</v>
      </c>
      <c r="R22" s="5">
        <v>6306</v>
      </c>
      <c r="S22" s="5">
        <v>1958</v>
      </c>
      <c r="T22" s="3">
        <f t="shared" si="6"/>
        <v>4414</v>
      </c>
      <c r="U22" s="5">
        <v>6372</v>
      </c>
      <c r="V22" s="4">
        <f t="shared" si="7"/>
        <v>1.0104662226451</v>
      </c>
      <c r="W22" s="5">
        <v>6435</v>
      </c>
      <c r="X22" s="5">
        <v>2042</v>
      </c>
      <c r="Y22" s="3">
        <f t="shared" si="8"/>
        <v>4404</v>
      </c>
      <c r="Z22" s="5">
        <v>6446</v>
      </c>
      <c r="AA22" s="4">
        <f t="shared" si="9"/>
        <v>1.0017094017094017</v>
      </c>
      <c r="AB22" s="5">
        <v>7668</v>
      </c>
      <c r="AC22" s="5">
        <v>2427</v>
      </c>
      <c r="AD22" s="3">
        <f t="shared" si="10"/>
        <v>5303</v>
      </c>
      <c r="AE22" s="5">
        <v>7730</v>
      </c>
      <c r="AF22" s="4">
        <f t="shared" si="11"/>
        <v>1.0080855503390715</v>
      </c>
      <c r="AG22" s="5">
        <v>6422</v>
      </c>
      <c r="AH22" s="13">
        <v>2052</v>
      </c>
      <c r="AI22" s="3">
        <f t="shared" si="12"/>
        <v>4415</v>
      </c>
      <c r="AJ22" s="5">
        <v>6467</v>
      </c>
      <c r="AK22" s="4">
        <f t="shared" si="13"/>
        <v>1.0070071628776083</v>
      </c>
      <c r="AL22" s="5">
        <v>6508</v>
      </c>
      <c r="AM22" s="13">
        <v>2080</v>
      </c>
      <c r="AN22" s="3">
        <f t="shared" si="14"/>
        <v>4437</v>
      </c>
      <c r="AO22" s="5">
        <v>6517</v>
      </c>
      <c r="AP22" s="4">
        <f t="shared" si="15"/>
        <v>1.0013829133374308</v>
      </c>
      <c r="AQ22" s="5">
        <v>7781</v>
      </c>
      <c r="AR22" s="13">
        <v>2416</v>
      </c>
      <c r="AS22" s="3">
        <f t="shared" si="16"/>
        <v>5410</v>
      </c>
      <c r="AT22" s="5">
        <v>7826</v>
      </c>
      <c r="AU22" s="4">
        <f t="shared" si="17"/>
        <v>1.005783318339545</v>
      </c>
      <c r="AV22" s="5">
        <v>6603</v>
      </c>
      <c r="AW22" s="13">
        <v>2044</v>
      </c>
      <c r="AX22" s="3">
        <f t="shared" si="18"/>
        <v>4487</v>
      </c>
      <c r="AY22" s="5">
        <v>6531</v>
      </c>
      <c r="AZ22" s="4">
        <f t="shared" si="19"/>
        <v>0.98909586551567474</v>
      </c>
      <c r="BA22" s="5">
        <v>6608</v>
      </c>
      <c r="BB22" s="13">
        <v>2145</v>
      </c>
      <c r="BC22" s="3">
        <f t="shared" si="20"/>
        <v>4426</v>
      </c>
      <c r="BD22" s="5">
        <v>6571</v>
      </c>
      <c r="BE22" s="4">
        <f t="shared" si="21"/>
        <v>0.99440072639225185</v>
      </c>
      <c r="BF22" s="5">
        <v>7906</v>
      </c>
      <c r="BG22" s="13">
        <v>2348</v>
      </c>
      <c r="BH22" s="3">
        <f t="shared" si="22"/>
        <v>5620</v>
      </c>
      <c r="BI22" s="5">
        <v>7968</v>
      </c>
      <c r="BJ22" s="4">
        <f t="shared" si="23"/>
        <v>1.0078421452061725</v>
      </c>
    </row>
    <row r="23" spans="1:62" x14ac:dyDescent="0.3">
      <c r="A23" s="11">
        <v>14</v>
      </c>
      <c r="B23" s="2" t="s">
        <v>19</v>
      </c>
      <c r="C23" s="5">
        <v>8800</v>
      </c>
      <c r="D23" s="5">
        <v>1119</v>
      </c>
      <c r="E23" s="3">
        <f t="shared" si="0"/>
        <v>7377</v>
      </c>
      <c r="F23" s="5">
        <v>8496</v>
      </c>
      <c r="G23" s="4">
        <f t="shared" si="1"/>
        <v>0.96545454545454545</v>
      </c>
      <c r="H23" s="5">
        <v>8763</v>
      </c>
      <c r="I23" s="5">
        <v>1518</v>
      </c>
      <c r="J23" s="3">
        <f t="shared" si="2"/>
        <v>7011</v>
      </c>
      <c r="K23" s="5">
        <v>8529</v>
      </c>
      <c r="L23" s="4">
        <f t="shared" si="3"/>
        <v>0.97329681615884966</v>
      </c>
      <c r="M23" s="5">
        <v>10654</v>
      </c>
      <c r="N23" s="5">
        <v>2385</v>
      </c>
      <c r="O23" s="3">
        <f t="shared" si="4"/>
        <v>8132</v>
      </c>
      <c r="P23" s="5">
        <v>10517</v>
      </c>
      <c r="Q23" s="4">
        <f t="shared" si="5"/>
        <v>0.98714097991364746</v>
      </c>
      <c r="R23" s="5">
        <v>8621</v>
      </c>
      <c r="S23" s="5">
        <v>1989</v>
      </c>
      <c r="T23" s="3">
        <f t="shared" si="6"/>
        <v>6408</v>
      </c>
      <c r="U23" s="5">
        <v>8397</v>
      </c>
      <c r="V23" s="4">
        <f t="shared" si="7"/>
        <v>0.97401693539032597</v>
      </c>
      <c r="W23" s="5">
        <v>8774</v>
      </c>
      <c r="X23" s="5">
        <v>2156</v>
      </c>
      <c r="Y23" s="3">
        <f t="shared" si="8"/>
        <v>6298</v>
      </c>
      <c r="Z23" s="5">
        <v>8454</v>
      </c>
      <c r="AA23" s="4">
        <f t="shared" si="9"/>
        <v>0.96352860724868927</v>
      </c>
      <c r="AB23" s="5">
        <v>10734</v>
      </c>
      <c r="AC23" s="5">
        <v>2905</v>
      </c>
      <c r="AD23" s="3">
        <f t="shared" si="10"/>
        <v>7680</v>
      </c>
      <c r="AE23" s="5">
        <v>10585</v>
      </c>
      <c r="AF23" s="4">
        <f t="shared" si="11"/>
        <v>0.98611887460406189</v>
      </c>
      <c r="AG23" s="5">
        <v>8589</v>
      </c>
      <c r="AH23" s="13">
        <v>2323</v>
      </c>
      <c r="AI23" s="3">
        <f t="shared" si="12"/>
        <v>6128</v>
      </c>
      <c r="AJ23" s="5">
        <v>8451</v>
      </c>
      <c r="AK23" s="4">
        <f t="shared" si="13"/>
        <v>0.98393293747816979</v>
      </c>
      <c r="AL23" s="5">
        <v>8660</v>
      </c>
      <c r="AM23" s="13">
        <v>2574</v>
      </c>
      <c r="AN23" s="3">
        <f t="shared" si="14"/>
        <v>5952</v>
      </c>
      <c r="AO23" s="5">
        <v>8526</v>
      </c>
      <c r="AP23" s="4">
        <f t="shared" si="15"/>
        <v>0.98452655889145502</v>
      </c>
      <c r="AQ23" s="5">
        <v>10698</v>
      </c>
      <c r="AR23" s="13">
        <v>3107</v>
      </c>
      <c r="AS23" s="3">
        <f t="shared" si="16"/>
        <v>7651</v>
      </c>
      <c r="AT23" s="5">
        <v>10758</v>
      </c>
      <c r="AU23" s="4">
        <f t="shared" si="17"/>
        <v>1.0056085249579361</v>
      </c>
      <c r="AV23" s="5">
        <v>8445</v>
      </c>
      <c r="AW23" s="13">
        <v>2420</v>
      </c>
      <c r="AX23" s="3">
        <f t="shared" si="18"/>
        <v>6089</v>
      </c>
      <c r="AY23" s="5">
        <v>8509</v>
      </c>
      <c r="AZ23" s="4">
        <f t="shared" si="19"/>
        <v>1.007578448786264</v>
      </c>
      <c r="BA23" s="5">
        <v>8623</v>
      </c>
      <c r="BB23" s="13">
        <v>2549</v>
      </c>
      <c r="BC23" s="3">
        <f t="shared" si="20"/>
        <v>6007</v>
      </c>
      <c r="BD23" s="5">
        <v>8556</v>
      </c>
      <c r="BE23" s="4">
        <f t="shared" si="21"/>
        <v>0.99223008233793342</v>
      </c>
      <c r="BF23" s="5">
        <v>11023</v>
      </c>
      <c r="BG23" s="13">
        <v>2978</v>
      </c>
      <c r="BH23" s="3">
        <f t="shared" si="22"/>
        <v>7968</v>
      </c>
      <c r="BI23" s="5">
        <v>10946</v>
      </c>
      <c r="BJ23" s="4">
        <f t="shared" si="23"/>
        <v>0.99301460582418577</v>
      </c>
    </row>
    <row r="24" spans="1:62" x14ac:dyDescent="0.3">
      <c r="A24" s="11">
        <v>15</v>
      </c>
      <c r="B24" s="2" t="s">
        <v>20</v>
      </c>
      <c r="C24" s="5">
        <v>5637</v>
      </c>
      <c r="D24" s="5">
        <v>1404</v>
      </c>
      <c r="E24" s="3">
        <f t="shared" si="0"/>
        <v>4157</v>
      </c>
      <c r="F24" s="5">
        <v>5561</v>
      </c>
      <c r="G24" s="4">
        <f t="shared" si="1"/>
        <v>0.98651765123292534</v>
      </c>
      <c r="H24" s="5">
        <v>5804</v>
      </c>
      <c r="I24" s="5">
        <v>1385</v>
      </c>
      <c r="J24" s="3">
        <f t="shared" si="2"/>
        <v>4251</v>
      </c>
      <c r="K24" s="5">
        <v>5636</v>
      </c>
      <c r="L24" s="4">
        <f t="shared" si="3"/>
        <v>0.9710544452101999</v>
      </c>
      <c r="M24" s="5">
        <v>6771</v>
      </c>
      <c r="N24" s="5">
        <v>1663</v>
      </c>
      <c r="O24" s="3">
        <f t="shared" si="4"/>
        <v>4963</v>
      </c>
      <c r="P24" s="5">
        <v>6626</v>
      </c>
      <c r="Q24" s="4">
        <f t="shared" si="5"/>
        <v>0.97858514251956874</v>
      </c>
      <c r="R24" s="5">
        <v>5821</v>
      </c>
      <c r="S24" s="5">
        <v>1583</v>
      </c>
      <c r="T24" s="3">
        <f t="shared" si="6"/>
        <v>4152</v>
      </c>
      <c r="U24" s="5">
        <v>5735</v>
      </c>
      <c r="V24" s="4">
        <f t="shared" si="7"/>
        <v>0.9852259062016836</v>
      </c>
      <c r="W24" s="5">
        <v>5925</v>
      </c>
      <c r="X24" s="5">
        <v>1407</v>
      </c>
      <c r="Y24" s="3">
        <f t="shared" si="8"/>
        <v>4403</v>
      </c>
      <c r="Z24" s="5">
        <v>5810</v>
      </c>
      <c r="AA24" s="4">
        <f t="shared" si="9"/>
        <v>0.98059071729957803</v>
      </c>
      <c r="AB24" s="5">
        <v>6940</v>
      </c>
      <c r="AC24" s="5">
        <v>1577</v>
      </c>
      <c r="AD24" s="3">
        <f t="shared" si="10"/>
        <v>5241</v>
      </c>
      <c r="AE24" s="5">
        <v>6818</v>
      </c>
      <c r="AF24" s="4">
        <f t="shared" si="11"/>
        <v>0.98242074927953893</v>
      </c>
      <c r="AG24" s="5">
        <v>6076</v>
      </c>
      <c r="AH24" s="13">
        <v>1332</v>
      </c>
      <c r="AI24" s="3">
        <f t="shared" si="12"/>
        <v>4624</v>
      </c>
      <c r="AJ24" s="5">
        <v>5956</v>
      </c>
      <c r="AK24" s="4">
        <f t="shared" si="13"/>
        <v>0.98025016458196179</v>
      </c>
      <c r="AL24" s="5">
        <v>6181</v>
      </c>
      <c r="AM24" s="13">
        <v>1579</v>
      </c>
      <c r="AN24" s="3">
        <f t="shared" si="14"/>
        <v>4442</v>
      </c>
      <c r="AO24" s="5">
        <v>6021</v>
      </c>
      <c r="AP24" s="4">
        <f t="shared" si="15"/>
        <v>0.97411422099983824</v>
      </c>
      <c r="AQ24" s="5">
        <v>6974</v>
      </c>
      <c r="AR24" s="13">
        <v>1440</v>
      </c>
      <c r="AS24" s="3">
        <f t="shared" si="16"/>
        <v>5472</v>
      </c>
      <c r="AT24" s="5">
        <v>6912</v>
      </c>
      <c r="AU24" s="4">
        <f t="shared" si="17"/>
        <v>0.99110983653570406</v>
      </c>
      <c r="AV24" s="5">
        <v>6124</v>
      </c>
      <c r="AW24" s="13">
        <v>1347</v>
      </c>
      <c r="AX24" s="3">
        <f t="shared" si="18"/>
        <v>4701</v>
      </c>
      <c r="AY24" s="5">
        <v>6048</v>
      </c>
      <c r="AZ24" s="4">
        <f t="shared" si="19"/>
        <v>0.98758981058131945</v>
      </c>
      <c r="BA24" s="5">
        <v>6202</v>
      </c>
      <c r="BB24" s="13">
        <v>1409</v>
      </c>
      <c r="BC24" s="3">
        <f t="shared" si="20"/>
        <v>4731</v>
      </c>
      <c r="BD24" s="5">
        <v>6140</v>
      </c>
      <c r="BE24" s="4">
        <f t="shared" si="21"/>
        <v>0.9900032247662045</v>
      </c>
      <c r="BF24" s="5">
        <v>7084</v>
      </c>
      <c r="BG24" s="13">
        <v>1486</v>
      </c>
      <c r="BH24" s="3">
        <f t="shared" si="22"/>
        <v>5558</v>
      </c>
      <c r="BI24" s="5">
        <v>7044</v>
      </c>
      <c r="BJ24" s="4">
        <f t="shared" si="23"/>
        <v>0.99435347261434215</v>
      </c>
    </row>
    <row r="25" spans="1:62" x14ac:dyDescent="0.3">
      <c r="A25" s="11">
        <v>16</v>
      </c>
      <c r="B25" s="2" t="s">
        <v>21</v>
      </c>
      <c r="C25" s="5">
        <v>18284</v>
      </c>
      <c r="D25" s="5">
        <v>8422</v>
      </c>
      <c r="E25" s="3">
        <f t="shared" si="0"/>
        <v>10074</v>
      </c>
      <c r="F25" s="5">
        <v>18496</v>
      </c>
      <c r="G25" s="4">
        <f t="shared" si="1"/>
        <v>1.0115948370159702</v>
      </c>
      <c r="H25" s="5">
        <v>18682</v>
      </c>
      <c r="I25" s="5">
        <v>8511</v>
      </c>
      <c r="J25" s="3">
        <f t="shared" si="2"/>
        <v>10339</v>
      </c>
      <c r="K25" s="5">
        <v>18850</v>
      </c>
      <c r="L25" s="4">
        <f t="shared" si="3"/>
        <v>1.0089926132105771</v>
      </c>
      <c r="M25" s="5">
        <v>25970</v>
      </c>
      <c r="N25" s="5">
        <v>11784</v>
      </c>
      <c r="O25" s="3">
        <f t="shared" si="4"/>
        <v>14499</v>
      </c>
      <c r="P25" s="5">
        <v>26283</v>
      </c>
      <c r="Q25" s="4">
        <f t="shared" si="5"/>
        <v>1.0120523681170581</v>
      </c>
      <c r="R25" s="5">
        <v>18895</v>
      </c>
      <c r="S25" s="5">
        <v>8642</v>
      </c>
      <c r="T25" s="3">
        <f t="shared" si="6"/>
        <v>10408</v>
      </c>
      <c r="U25" s="5">
        <v>19050</v>
      </c>
      <c r="V25" s="4">
        <f t="shared" si="7"/>
        <v>1.008203228367293</v>
      </c>
      <c r="W25" s="5">
        <v>19436</v>
      </c>
      <c r="X25" s="5">
        <v>8570</v>
      </c>
      <c r="Y25" s="3">
        <f t="shared" si="8"/>
        <v>10770</v>
      </c>
      <c r="Z25" s="5">
        <v>19340</v>
      </c>
      <c r="AA25" s="4">
        <f t="shared" si="9"/>
        <v>0.99506071208067504</v>
      </c>
      <c r="AB25" s="5">
        <v>26661</v>
      </c>
      <c r="AC25" s="5">
        <v>12257</v>
      </c>
      <c r="AD25" s="3">
        <f t="shared" si="10"/>
        <v>14627</v>
      </c>
      <c r="AE25" s="5">
        <v>26884</v>
      </c>
      <c r="AF25" s="4">
        <f t="shared" si="11"/>
        <v>1.0083642774089494</v>
      </c>
      <c r="AG25" s="5">
        <v>19440</v>
      </c>
      <c r="AH25" s="13">
        <v>9030</v>
      </c>
      <c r="AI25" s="3">
        <f t="shared" si="12"/>
        <v>10489</v>
      </c>
      <c r="AJ25" s="5">
        <v>19519</v>
      </c>
      <c r="AK25" s="4">
        <f t="shared" si="13"/>
        <v>1.0040637860082304</v>
      </c>
      <c r="AL25" s="5">
        <v>19709</v>
      </c>
      <c r="AM25" s="13">
        <v>9159</v>
      </c>
      <c r="AN25" s="3">
        <f t="shared" si="14"/>
        <v>10536</v>
      </c>
      <c r="AO25" s="5">
        <v>19695</v>
      </c>
      <c r="AP25" s="4">
        <f t="shared" si="15"/>
        <v>0.99928966462022428</v>
      </c>
      <c r="AQ25" s="5">
        <v>27081</v>
      </c>
      <c r="AR25" s="13">
        <v>11814</v>
      </c>
      <c r="AS25" s="3">
        <f t="shared" si="16"/>
        <v>15506</v>
      </c>
      <c r="AT25" s="5">
        <v>27320</v>
      </c>
      <c r="AU25" s="4">
        <f t="shared" si="17"/>
        <v>1.0088253757246779</v>
      </c>
      <c r="AV25" s="5">
        <v>19795</v>
      </c>
      <c r="AW25" s="13">
        <v>9085</v>
      </c>
      <c r="AX25" s="3">
        <f t="shared" si="18"/>
        <v>10843</v>
      </c>
      <c r="AY25" s="5">
        <v>19928</v>
      </c>
      <c r="AZ25" s="4">
        <f t="shared" si="19"/>
        <v>1.0067188684011115</v>
      </c>
      <c r="BA25" s="5">
        <v>20139</v>
      </c>
      <c r="BB25" s="13">
        <v>9051</v>
      </c>
      <c r="BC25" s="3">
        <f t="shared" si="20"/>
        <v>11103</v>
      </c>
      <c r="BD25" s="5">
        <v>20154</v>
      </c>
      <c r="BE25" s="4">
        <f t="shared" si="21"/>
        <v>1.0007448234768359</v>
      </c>
      <c r="BF25" s="5">
        <v>27639</v>
      </c>
      <c r="BG25" s="13">
        <v>10870</v>
      </c>
      <c r="BH25" s="3">
        <f t="shared" si="22"/>
        <v>16945</v>
      </c>
      <c r="BI25" s="5">
        <v>27815</v>
      </c>
      <c r="BJ25" s="4">
        <f t="shared" si="23"/>
        <v>1.0063678135967293</v>
      </c>
    </row>
    <row r="26" spans="1:62" x14ac:dyDescent="0.3">
      <c r="A26" s="11">
        <v>17</v>
      </c>
      <c r="B26" s="2" t="s">
        <v>22</v>
      </c>
      <c r="C26" s="5">
        <v>13535</v>
      </c>
      <c r="D26" s="5">
        <v>4378</v>
      </c>
      <c r="E26" s="3">
        <f t="shared" si="0"/>
        <v>8949</v>
      </c>
      <c r="F26" s="5">
        <v>13327</v>
      </c>
      <c r="G26" s="4">
        <f t="shared" si="1"/>
        <v>0.98463243442925752</v>
      </c>
      <c r="H26" s="5">
        <v>13884</v>
      </c>
      <c r="I26" s="5">
        <v>4506</v>
      </c>
      <c r="J26" s="3">
        <f t="shared" si="2"/>
        <v>9417</v>
      </c>
      <c r="K26" s="5">
        <v>13923</v>
      </c>
      <c r="L26" s="4">
        <f t="shared" si="3"/>
        <v>1.002808988764045</v>
      </c>
      <c r="M26" s="5">
        <v>25920</v>
      </c>
      <c r="N26" s="5">
        <v>8579</v>
      </c>
      <c r="O26" s="3">
        <f t="shared" si="4"/>
        <v>17777</v>
      </c>
      <c r="P26" s="5">
        <v>26356</v>
      </c>
      <c r="Q26" s="4">
        <f t="shared" si="5"/>
        <v>1.0168209876543211</v>
      </c>
      <c r="R26" s="5">
        <v>13869</v>
      </c>
      <c r="S26" s="5">
        <v>4590</v>
      </c>
      <c r="T26" s="3">
        <f t="shared" si="6"/>
        <v>9537</v>
      </c>
      <c r="U26" s="5">
        <v>14127</v>
      </c>
      <c r="V26" s="4">
        <f t="shared" si="7"/>
        <v>1.0186026389790179</v>
      </c>
      <c r="W26" s="5">
        <v>14474</v>
      </c>
      <c r="X26" s="5">
        <v>4858</v>
      </c>
      <c r="Y26" s="3">
        <f t="shared" si="8"/>
        <v>9580</v>
      </c>
      <c r="Z26" s="5">
        <v>14438</v>
      </c>
      <c r="AA26" s="4">
        <f t="shared" si="9"/>
        <v>0.99751278153931189</v>
      </c>
      <c r="AB26" s="5">
        <v>27035</v>
      </c>
      <c r="AC26" s="5">
        <v>8868</v>
      </c>
      <c r="AD26" s="3">
        <f t="shared" si="10"/>
        <v>18169</v>
      </c>
      <c r="AE26" s="5">
        <v>27037</v>
      </c>
      <c r="AF26" s="4">
        <f t="shared" si="11"/>
        <v>1.0000739781764381</v>
      </c>
      <c r="AG26" s="5">
        <v>14053</v>
      </c>
      <c r="AH26" s="13">
        <v>4668</v>
      </c>
      <c r="AI26" s="3">
        <f t="shared" si="12"/>
        <v>9402</v>
      </c>
      <c r="AJ26" s="5">
        <v>14070</v>
      </c>
      <c r="AK26" s="4">
        <f t="shared" si="13"/>
        <v>1.0012097061125738</v>
      </c>
      <c r="AL26" s="5">
        <v>14372</v>
      </c>
      <c r="AM26" s="13">
        <v>5108</v>
      </c>
      <c r="AN26" s="3">
        <f>AO26-AM26</f>
        <v>9128</v>
      </c>
      <c r="AO26" s="5">
        <v>14236</v>
      </c>
      <c r="AP26" s="4">
        <f t="shared" si="15"/>
        <v>0.99053715558029498</v>
      </c>
      <c r="AQ26" s="5">
        <v>27267</v>
      </c>
      <c r="AR26" s="13">
        <v>7999</v>
      </c>
      <c r="AS26" s="3">
        <f>AT26-AR26</f>
        <v>19149</v>
      </c>
      <c r="AT26" s="5">
        <v>27148</v>
      </c>
      <c r="AU26" s="4">
        <f t="shared" si="17"/>
        <v>0.99563575017420325</v>
      </c>
      <c r="AV26" s="5">
        <v>14007</v>
      </c>
      <c r="AW26" s="13">
        <v>4606</v>
      </c>
      <c r="AX26" s="3">
        <f>AY26-AW26</f>
        <v>9396</v>
      </c>
      <c r="AY26" s="5">
        <v>14002</v>
      </c>
      <c r="AZ26" s="4">
        <f t="shared" si="19"/>
        <v>0.99964303562504464</v>
      </c>
      <c r="BA26" s="5">
        <v>14398</v>
      </c>
      <c r="BB26" s="13">
        <v>4794</v>
      </c>
      <c r="BC26" s="3">
        <f>BD26-BB26</f>
        <v>9307</v>
      </c>
      <c r="BD26" s="5">
        <v>14101</v>
      </c>
      <c r="BE26" s="4">
        <f t="shared" si="21"/>
        <v>0.97937213501875264</v>
      </c>
      <c r="BF26" s="5">
        <v>27339</v>
      </c>
      <c r="BG26" s="13">
        <v>7953</v>
      </c>
      <c r="BH26" s="3">
        <f>BI26-BG26</f>
        <v>19222</v>
      </c>
      <c r="BI26" s="5">
        <v>27175</v>
      </c>
      <c r="BJ26" s="4">
        <f t="shared" si="23"/>
        <v>0.99400124364461029</v>
      </c>
    </row>
    <row r="27" spans="1:62" x14ac:dyDescent="0.3">
      <c r="A27" s="11">
        <v>18</v>
      </c>
      <c r="B27" s="2" t="s">
        <v>23</v>
      </c>
      <c r="C27" s="5">
        <v>120482</v>
      </c>
      <c r="D27" s="5">
        <v>46591</v>
      </c>
      <c r="E27" s="3">
        <f t="shared" si="0"/>
        <v>74136</v>
      </c>
      <c r="F27" s="5">
        <v>120727</v>
      </c>
      <c r="G27" s="4">
        <f t="shared" si="1"/>
        <v>1.0020334987799007</v>
      </c>
      <c r="H27" s="5">
        <v>123649</v>
      </c>
      <c r="I27" s="5">
        <v>47422</v>
      </c>
      <c r="J27" s="3">
        <f t="shared" si="2"/>
        <v>75169</v>
      </c>
      <c r="K27" s="5">
        <v>122591</v>
      </c>
      <c r="L27" s="4">
        <f t="shared" si="3"/>
        <v>0.99144352158125015</v>
      </c>
      <c r="M27" s="5">
        <v>182121</v>
      </c>
      <c r="N27" s="5">
        <v>66210</v>
      </c>
      <c r="O27" s="3">
        <f t="shared" si="4"/>
        <v>115232</v>
      </c>
      <c r="P27" s="5">
        <v>181442</v>
      </c>
      <c r="Q27" s="4">
        <f t="shared" si="5"/>
        <v>0.99627170946788124</v>
      </c>
      <c r="R27" s="5">
        <v>122848</v>
      </c>
      <c r="S27" s="5">
        <v>48325</v>
      </c>
      <c r="T27" s="3">
        <f t="shared" si="6"/>
        <v>73675</v>
      </c>
      <c r="U27" s="5">
        <v>122000</v>
      </c>
      <c r="V27" s="4">
        <f t="shared" si="7"/>
        <v>0.99309716071893728</v>
      </c>
      <c r="W27" s="5">
        <v>125846</v>
      </c>
      <c r="X27" s="5">
        <v>48383</v>
      </c>
      <c r="Y27" s="3">
        <f t="shared" si="8"/>
        <v>74977</v>
      </c>
      <c r="Z27" s="5">
        <v>123360</v>
      </c>
      <c r="AA27" s="4">
        <f t="shared" si="9"/>
        <v>0.98024569712187914</v>
      </c>
      <c r="AB27" s="5">
        <v>184102</v>
      </c>
      <c r="AC27" s="5">
        <v>69810</v>
      </c>
      <c r="AD27" s="3">
        <f t="shared" si="10"/>
        <v>113398</v>
      </c>
      <c r="AE27" s="5">
        <v>183208</v>
      </c>
      <c r="AF27" s="4">
        <f t="shared" si="11"/>
        <v>0.99514399626294114</v>
      </c>
      <c r="AG27" s="5">
        <v>124176</v>
      </c>
      <c r="AH27" s="13">
        <v>50263</v>
      </c>
      <c r="AI27" s="3">
        <f t="shared" si="12"/>
        <v>72927</v>
      </c>
      <c r="AJ27" s="5">
        <v>123190</v>
      </c>
      <c r="AK27" s="4">
        <f t="shared" si="13"/>
        <v>0.99205965726066225</v>
      </c>
      <c r="AL27" s="5">
        <v>126536</v>
      </c>
      <c r="AM27" s="13">
        <v>50064</v>
      </c>
      <c r="AN27" s="3">
        <f t="shared" ref="AN27:AN33" si="24">AO27-AM27</f>
        <v>74064</v>
      </c>
      <c r="AO27" s="5">
        <v>124128</v>
      </c>
      <c r="AP27" s="4">
        <f>AO27/AL27</f>
        <v>0.98096984257444519</v>
      </c>
      <c r="AQ27" s="5">
        <v>184835</v>
      </c>
      <c r="AR27" s="13">
        <v>69453</v>
      </c>
      <c r="AS27" s="3">
        <f t="shared" ref="AS27:AS33" si="25">AT27-AR27</f>
        <v>115288</v>
      </c>
      <c r="AT27" s="5">
        <v>184741</v>
      </c>
      <c r="AU27" s="4">
        <f>AT27/AQ27</f>
        <v>0.99949143830984388</v>
      </c>
      <c r="AV27" s="5">
        <v>124975</v>
      </c>
      <c r="AW27" s="13">
        <v>50585</v>
      </c>
      <c r="AX27" s="3">
        <f t="shared" ref="AX27:AX33" si="26">AY27-AW27</f>
        <v>73668</v>
      </c>
      <c r="AY27" s="5">
        <v>124253</v>
      </c>
      <c r="AZ27" s="4">
        <f>AY27/AV27</f>
        <v>0.99422284456891374</v>
      </c>
      <c r="BA27" s="5">
        <v>127493</v>
      </c>
      <c r="BB27" s="13">
        <v>51094</v>
      </c>
      <c r="BC27" s="3">
        <f t="shared" ref="BC27:BC33" si="27">BD27-BB27</f>
        <v>74299</v>
      </c>
      <c r="BD27" s="5">
        <v>125393</v>
      </c>
      <c r="BE27" s="4">
        <f>BD27/BA27</f>
        <v>0.98352850744746767</v>
      </c>
      <c r="BF27" s="5">
        <v>187636</v>
      </c>
      <c r="BG27" s="13">
        <v>64548</v>
      </c>
      <c r="BH27" s="3">
        <f t="shared" si="22"/>
        <v>121668</v>
      </c>
      <c r="BI27" s="5">
        <v>186216</v>
      </c>
      <c r="BJ27" s="4">
        <f>BI27/BF27</f>
        <v>0.99243215587627109</v>
      </c>
    </row>
    <row r="28" spans="1:62" x14ac:dyDescent="0.3">
      <c r="A28" s="11">
        <v>19</v>
      </c>
      <c r="B28" s="2" t="s">
        <v>24</v>
      </c>
      <c r="C28" s="5">
        <v>382208</v>
      </c>
      <c r="D28" s="5">
        <v>214873</v>
      </c>
      <c r="E28" s="3">
        <f t="shared" si="0"/>
        <v>164963</v>
      </c>
      <c r="F28" s="5">
        <v>379836</v>
      </c>
      <c r="G28" s="4">
        <f t="shared" si="1"/>
        <v>0.99379395512391155</v>
      </c>
      <c r="H28" s="5">
        <v>389922</v>
      </c>
      <c r="I28" s="5">
        <v>217609</v>
      </c>
      <c r="J28" s="3">
        <f t="shared" si="2"/>
        <v>167364</v>
      </c>
      <c r="K28" s="5">
        <v>384973</v>
      </c>
      <c r="L28" s="4">
        <f t="shared" si="3"/>
        <v>0.9873077179538472</v>
      </c>
      <c r="M28" s="5">
        <v>650891</v>
      </c>
      <c r="N28" s="5">
        <v>344704</v>
      </c>
      <c r="O28" s="3">
        <f t="shared" si="4"/>
        <v>302144</v>
      </c>
      <c r="P28" s="5">
        <v>646848</v>
      </c>
      <c r="Q28" s="4">
        <f t="shared" si="5"/>
        <v>0.99378851451318273</v>
      </c>
      <c r="R28" s="5">
        <v>389073</v>
      </c>
      <c r="S28" s="5">
        <v>217213</v>
      </c>
      <c r="T28" s="3">
        <f t="shared" si="6"/>
        <v>169127</v>
      </c>
      <c r="U28" s="5">
        <v>386340</v>
      </c>
      <c r="V28" s="4">
        <f t="shared" si="7"/>
        <v>0.99297561126061173</v>
      </c>
      <c r="W28" s="5">
        <v>397763</v>
      </c>
      <c r="X28" s="5">
        <v>220500</v>
      </c>
      <c r="Y28" s="3">
        <f t="shared" si="8"/>
        <v>171213</v>
      </c>
      <c r="Z28" s="5">
        <v>391713</v>
      </c>
      <c r="AA28" s="4">
        <f t="shared" si="9"/>
        <v>0.98478993772673673</v>
      </c>
      <c r="AB28" s="5">
        <v>660941</v>
      </c>
      <c r="AC28" s="5">
        <v>364638</v>
      </c>
      <c r="AD28" s="3">
        <f t="shared" si="10"/>
        <v>292840</v>
      </c>
      <c r="AE28" s="5">
        <v>657478</v>
      </c>
      <c r="AF28" s="4">
        <f t="shared" si="11"/>
        <v>0.99476050055905141</v>
      </c>
      <c r="AG28" s="5">
        <v>397417</v>
      </c>
      <c r="AH28" s="13">
        <v>231013</v>
      </c>
      <c r="AI28" s="3">
        <f t="shared" si="12"/>
        <v>163434</v>
      </c>
      <c r="AJ28" s="5">
        <v>394447</v>
      </c>
      <c r="AK28" s="4">
        <f t="shared" si="13"/>
        <v>0.99252674143280228</v>
      </c>
      <c r="AL28" s="5">
        <v>405895</v>
      </c>
      <c r="AM28" s="13">
        <v>230315</v>
      </c>
      <c r="AN28" s="3">
        <f t="shared" si="24"/>
        <v>168536</v>
      </c>
      <c r="AO28" s="5">
        <v>398851</v>
      </c>
      <c r="AP28" s="4">
        <f t="shared" ref="AP28:AP33" si="28">AO28/AL28</f>
        <v>0.98264575813942034</v>
      </c>
      <c r="AQ28" s="5">
        <v>670091</v>
      </c>
      <c r="AR28" s="13">
        <v>371128</v>
      </c>
      <c r="AS28" s="3">
        <f t="shared" si="25"/>
        <v>296013</v>
      </c>
      <c r="AT28" s="5">
        <v>667141</v>
      </c>
      <c r="AU28" s="4">
        <f t="shared" ref="AU28:AU33" si="29">AT28/AQ28</f>
        <v>0.9955976128615367</v>
      </c>
      <c r="AV28" s="5">
        <v>405395</v>
      </c>
      <c r="AW28" s="13">
        <v>235703</v>
      </c>
      <c r="AX28" s="3">
        <f t="shared" si="26"/>
        <v>166523</v>
      </c>
      <c r="AY28" s="5">
        <v>402226</v>
      </c>
      <c r="AZ28" s="4">
        <f t="shared" ref="AZ28:AZ33" si="30">AY28/AV28</f>
        <v>0.99218293269527247</v>
      </c>
      <c r="BA28" s="5">
        <v>412255</v>
      </c>
      <c r="BB28" s="13">
        <v>239006</v>
      </c>
      <c r="BC28" s="3">
        <f t="shared" si="27"/>
        <v>167765</v>
      </c>
      <c r="BD28" s="5">
        <v>406771</v>
      </c>
      <c r="BE28" s="4">
        <f t="shared" ref="BE28:BE33" si="31">BD28/BA28</f>
        <v>0.98669755369856038</v>
      </c>
      <c r="BF28" s="5">
        <v>680839</v>
      </c>
      <c r="BG28" s="13">
        <v>356688</v>
      </c>
      <c r="BH28" s="3">
        <f t="shared" si="22"/>
        <v>320823</v>
      </c>
      <c r="BI28" s="5">
        <v>677511</v>
      </c>
      <c r="BJ28" s="4">
        <f t="shared" si="23"/>
        <v>0.99511191338921534</v>
      </c>
    </row>
    <row r="29" spans="1:62" x14ac:dyDescent="0.3">
      <c r="A29" s="11">
        <v>20</v>
      </c>
      <c r="B29" s="2" t="s">
        <v>25</v>
      </c>
      <c r="C29" s="5">
        <v>127557</v>
      </c>
      <c r="D29" s="5">
        <v>60994</v>
      </c>
      <c r="E29" s="3">
        <f t="shared" si="0"/>
        <v>65995</v>
      </c>
      <c r="F29" s="5">
        <v>126989</v>
      </c>
      <c r="G29" s="4">
        <f t="shared" si="1"/>
        <v>0.99554708875247933</v>
      </c>
      <c r="H29" s="5">
        <v>129829</v>
      </c>
      <c r="I29" s="5">
        <v>61108</v>
      </c>
      <c r="J29" s="3">
        <f t="shared" si="2"/>
        <v>67265</v>
      </c>
      <c r="K29" s="5">
        <v>128373</v>
      </c>
      <c r="L29" s="4">
        <f t="shared" si="3"/>
        <v>0.98878524828813286</v>
      </c>
      <c r="M29" s="5">
        <v>176637</v>
      </c>
      <c r="N29" s="5">
        <v>80593</v>
      </c>
      <c r="O29" s="3">
        <f t="shared" si="4"/>
        <v>93985</v>
      </c>
      <c r="P29" s="5">
        <v>174578</v>
      </c>
      <c r="Q29" s="4">
        <f t="shared" si="5"/>
        <v>0.98834332557731397</v>
      </c>
      <c r="R29" s="5">
        <v>129740</v>
      </c>
      <c r="S29" s="5">
        <v>61440</v>
      </c>
      <c r="T29" s="3">
        <f t="shared" si="6"/>
        <v>67092</v>
      </c>
      <c r="U29" s="5">
        <v>128532</v>
      </c>
      <c r="V29" s="4">
        <f t="shared" si="7"/>
        <v>0.99068907044858945</v>
      </c>
      <c r="W29" s="5">
        <v>131766</v>
      </c>
      <c r="X29" s="5">
        <v>62506</v>
      </c>
      <c r="Y29" s="3">
        <f t="shared" si="8"/>
        <v>67115</v>
      </c>
      <c r="Z29" s="5">
        <v>129621</v>
      </c>
      <c r="AA29" s="4">
        <f t="shared" si="9"/>
        <v>0.98372114202449801</v>
      </c>
      <c r="AB29" s="5">
        <v>178083</v>
      </c>
      <c r="AC29" s="5">
        <v>82781</v>
      </c>
      <c r="AD29" s="3">
        <f t="shared" si="10"/>
        <v>93904</v>
      </c>
      <c r="AE29" s="5">
        <v>176685</v>
      </c>
      <c r="AF29" s="4">
        <f t="shared" si="11"/>
        <v>0.9921497279358501</v>
      </c>
      <c r="AG29" s="5">
        <v>131984</v>
      </c>
      <c r="AH29" s="13">
        <v>62385</v>
      </c>
      <c r="AI29" s="3">
        <f t="shared" si="12"/>
        <v>68251</v>
      </c>
      <c r="AJ29" s="5">
        <v>130636</v>
      </c>
      <c r="AK29" s="4">
        <f t="shared" si="13"/>
        <v>0.98978664080494605</v>
      </c>
      <c r="AL29" s="5">
        <v>133676</v>
      </c>
      <c r="AM29" s="13">
        <v>63270</v>
      </c>
      <c r="AN29" s="3">
        <f t="shared" si="24"/>
        <v>68596</v>
      </c>
      <c r="AO29" s="5">
        <v>131866</v>
      </c>
      <c r="AP29" s="4">
        <f t="shared" si="28"/>
        <v>0.98645979831832187</v>
      </c>
      <c r="AQ29" s="5">
        <v>179800</v>
      </c>
      <c r="AR29" s="13">
        <v>85365</v>
      </c>
      <c r="AS29" s="3">
        <f t="shared" si="25"/>
        <v>93918</v>
      </c>
      <c r="AT29" s="5">
        <v>179283</v>
      </c>
      <c r="AU29" s="4">
        <f t="shared" si="29"/>
        <v>0.99712458286985539</v>
      </c>
      <c r="AV29" s="5">
        <v>134089</v>
      </c>
      <c r="AW29" s="13">
        <v>66132</v>
      </c>
      <c r="AX29" s="3">
        <f t="shared" si="26"/>
        <v>66916</v>
      </c>
      <c r="AY29" s="5">
        <v>133048</v>
      </c>
      <c r="AZ29" s="4">
        <f t="shared" si="30"/>
        <v>0.99223649963829996</v>
      </c>
      <c r="BA29" s="5">
        <v>136058</v>
      </c>
      <c r="BB29" s="13">
        <v>65827</v>
      </c>
      <c r="BC29" s="3">
        <f t="shared" si="27"/>
        <v>68619</v>
      </c>
      <c r="BD29" s="5">
        <v>134446</v>
      </c>
      <c r="BE29" s="4">
        <f t="shared" si="31"/>
        <v>0.98815211159946492</v>
      </c>
      <c r="BF29" s="5">
        <v>182623</v>
      </c>
      <c r="BG29" s="13">
        <v>81275</v>
      </c>
      <c r="BH29" s="3">
        <f t="shared" si="22"/>
        <v>100505</v>
      </c>
      <c r="BI29" s="5">
        <v>181780</v>
      </c>
      <c r="BJ29" s="4">
        <f t="shared" si="23"/>
        <v>0.99538393302048478</v>
      </c>
    </row>
    <row r="30" spans="1:62" x14ac:dyDescent="0.3">
      <c r="A30" s="11">
        <v>21</v>
      </c>
      <c r="B30" s="2" t="s">
        <v>26</v>
      </c>
      <c r="C30" s="5">
        <v>166894</v>
      </c>
      <c r="D30" s="5">
        <v>70584</v>
      </c>
      <c r="E30" s="3">
        <f t="shared" si="0"/>
        <v>95641</v>
      </c>
      <c r="F30" s="5">
        <v>166225</v>
      </c>
      <c r="G30" s="4">
        <f t="shared" si="1"/>
        <v>0.99599146763814161</v>
      </c>
      <c r="H30" s="5">
        <v>172134</v>
      </c>
      <c r="I30" s="5">
        <v>72351</v>
      </c>
      <c r="J30" s="3">
        <f t="shared" si="2"/>
        <v>97080</v>
      </c>
      <c r="K30" s="5">
        <v>169431</v>
      </c>
      <c r="L30" s="4">
        <f t="shared" si="3"/>
        <v>0.98429711736205516</v>
      </c>
      <c r="M30" s="5">
        <v>289249</v>
      </c>
      <c r="N30" s="5">
        <v>114031</v>
      </c>
      <c r="O30" s="3">
        <f t="shared" si="4"/>
        <v>172722</v>
      </c>
      <c r="P30" s="5">
        <v>286753</v>
      </c>
      <c r="Q30" s="4">
        <f t="shared" si="5"/>
        <v>0.99137075668368779</v>
      </c>
      <c r="R30" s="5">
        <v>169142</v>
      </c>
      <c r="S30" s="5">
        <v>71958</v>
      </c>
      <c r="T30" s="3">
        <f t="shared" si="6"/>
        <v>95694</v>
      </c>
      <c r="U30" s="5">
        <v>167652</v>
      </c>
      <c r="V30" s="4">
        <f t="shared" si="7"/>
        <v>0.99119083373733308</v>
      </c>
      <c r="W30" s="5">
        <v>174259</v>
      </c>
      <c r="X30" s="5">
        <v>75576</v>
      </c>
      <c r="Y30" s="3">
        <f t="shared" si="8"/>
        <v>95217</v>
      </c>
      <c r="Z30" s="5">
        <v>170793</v>
      </c>
      <c r="AA30" s="4">
        <f t="shared" si="9"/>
        <v>0.98011006605110784</v>
      </c>
      <c r="AB30" s="5">
        <v>293307</v>
      </c>
      <c r="AC30" s="5">
        <v>117925</v>
      </c>
      <c r="AD30" s="3">
        <f t="shared" si="10"/>
        <v>173242</v>
      </c>
      <c r="AE30" s="5">
        <v>291167</v>
      </c>
      <c r="AF30" s="4">
        <f t="shared" si="11"/>
        <v>0.99270389046289387</v>
      </c>
      <c r="AG30" s="5">
        <v>172053</v>
      </c>
      <c r="AH30" s="13">
        <v>76028</v>
      </c>
      <c r="AI30" s="3">
        <f t="shared" si="12"/>
        <v>94767</v>
      </c>
      <c r="AJ30" s="5">
        <v>170795</v>
      </c>
      <c r="AK30" s="4">
        <f t="shared" si="13"/>
        <v>0.99268829953560822</v>
      </c>
      <c r="AL30" s="5">
        <v>176835</v>
      </c>
      <c r="AM30" s="13">
        <v>76948</v>
      </c>
      <c r="AN30" s="3">
        <f t="shared" si="24"/>
        <v>96576</v>
      </c>
      <c r="AO30" s="5">
        <v>173524</v>
      </c>
      <c r="AP30" s="4">
        <f t="shared" si="28"/>
        <v>0.98127633104306278</v>
      </c>
      <c r="AQ30" s="5">
        <v>297651</v>
      </c>
      <c r="AR30" s="13">
        <v>121216</v>
      </c>
      <c r="AS30" s="3">
        <f t="shared" si="25"/>
        <v>175629</v>
      </c>
      <c r="AT30" s="5">
        <v>296845</v>
      </c>
      <c r="AU30" s="4">
        <f t="shared" si="29"/>
        <v>0.99729213071684619</v>
      </c>
      <c r="AV30" s="5">
        <v>175428</v>
      </c>
      <c r="AW30" s="13">
        <v>77235</v>
      </c>
      <c r="AX30" s="3">
        <f t="shared" si="26"/>
        <v>96857</v>
      </c>
      <c r="AY30" s="5">
        <v>174092</v>
      </c>
      <c r="AZ30" s="4">
        <f t="shared" si="30"/>
        <v>0.99238434001413689</v>
      </c>
      <c r="BA30" s="5">
        <v>179593</v>
      </c>
      <c r="BB30" s="13">
        <v>77262</v>
      </c>
      <c r="BC30" s="3">
        <f t="shared" si="27"/>
        <v>98812</v>
      </c>
      <c r="BD30" s="5">
        <v>176074</v>
      </c>
      <c r="BE30" s="4">
        <f t="shared" si="31"/>
        <v>0.98040569509947495</v>
      </c>
      <c r="BF30" s="5">
        <v>302258</v>
      </c>
      <c r="BG30" s="13">
        <v>115033</v>
      </c>
      <c r="BH30" s="3">
        <f t="shared" si="22"/>
        <v>185116</v>
      </c>
      <c r="BI30" s="5">
        <v>300149</v>
      </c>
      <c r="BJ30" s="4">
        <f t="shared" si="23"/>
        <v>0.99302251718730361</v>
      </c>
    </row>
    <row r="31" spans="1:62" x14ac:dyDescent="0.3">
      <c r="A31" s="11">
        <v>22</v>
      </c>
      <c r="B31" s="2" t="s">
        <v>43</v>
      </c>
      <c r="C31" s="5">
        <v>74510</v>
      </c>
      <c r="D31" s="5">
        <v>38780</v>
      </c>
      <c r="E31" s="3">
        <f t="shared" si="0"/>
        <v>35556</v>
      </c>
      <c r="F31" s="5">
        <v>74336</v>
      </c>
      <c r="G31" s="4">
        <f t="shared" si="1"/>
        <v>0.9976647429875185</v>
      </c>
      <c r="H31" s="5">
        <v>76671</v>
      </c>
      <c r="I31" s="5">
        <v>40184</v>
      </c>
      <c r="J31" s="3">
        <f t="shared" si="2"/>
        <v>35332</v>
      </c>
      <c r="K31" s="5">
        <v>75516</v>
      </c>
      <c r="L31" s="4">
        <f t="shared" si="3"/>
        <v>0.98493563407285678</v>
      </c>
      <c r="M31" s="5">
        <v>133745</v>
      </c>
      <c r="N31" s="5">
        <v>63834</v>
      </c>
      <c r="O31" s="3">
        <f t="shared" si="4"/>
        <v>70021</v>
      </c>
      <c r="P31" s="5">
        <v>133855</v>
      </c>
      <c r="Q31" s="4">
        <f t="shared" si="5"/>
        <v>1.0008224606527347</v>
      </c>
      <c r="R31" s="5">
        <v>74974</v>
      </c>
      <c r="S31" s="5">
        <v>40619</v>
      </c>
      <c r="T31" s="3">
        <f t="shared" si="6"/>
        <v>34165</v>
      </c>
      <c r="U31" s="5">
        <v>74784</v>
      </c>
      <c r="V31" s="4">
        <f t="shared" si="7"/>
        <v>0.99746578813988851</v>
      </c>
      <c r="W31" s="5">
        <v>77586</v>
      </c>
      <c r="X31" s="5">
        <v>41258</v>
      </c>
      <c r="Y31" s="3">
        <f t="shared" si="8"/>
        <v>34641</v>
      </c>
      <c r="Z31" s="5">
        <v>75899</v>
      </c>
      <c r="AA31" s="4">
        <f t="shared" si="9"/>
        <v>0.97825638646147506</v>
      </c>
      <c r="AB31" s="5">
        <v>135116</v>
      </c>
      <c r="AC31" s="5">
        <v>65113</v>
      </c>
      <c r="AD31" s="3">
        <f t="shared" si="10"/>
        <v>70318</v>
      </c>
      <c r="AE31" s="5">
        <v>135431</v>
      </c>
      <c r="AF31" s="4">
        <f t="shared" si="11"/>
        <v>1.0023313301163446</v>
      </c>
      <c r="AG31" s="5">
        <v>76230</v>
      </c>
      <c r="AH31" s="13">
        <v>42365</v>
      </c>
      <c r="AI31" s="3">
        <f t="shared" si="12"/>
        <v>33314</v>
      </c>
      <c r="AJ31" s="5">
        <v>75679</v>
      </c>
      <c r="AK31" s="4">
        <f t="shared" si="13"/>
        <v>0.99277187459005645</v>
      </c>
      <c r="AL31" s="5">
        <v>77611</v>
      </c>
      <c r="AM31" s="13">
        <v>43322</v>
      </c>
      <c r="AN31" s="3">
        <f t="shared" si="24"/>
        <v>33397</v>
      </c>
      <c r="AO31" s="5">
        <v>76719</v>
      </c>
      <c r="AP31" s="4">
        <f t="shared" si="28"/>
        <v>0.98850678383218871</v>
      </c>
      <c r="AQ31" s="5">
        <v>136879</v>
      </c>
      <c r="AR31" s="13">
        <v>68362</v>
      </c>
      <c r="AS31" s="3">
        <f t="shared" si="25"/>
        <v>69321</v>
      </c>
      <c r="AT31" s="5">
        <v>137683</v>
      </c>
      <c r="AU31" s="4">
        <f t="shared" si="29"/>
        <v>1.0058738009482828</v>
      </c>
      <c r="AV31" s="5">
        <v>76719</v>
      </c>
      <c r="AW31" s="13">
        <v>43563</v>
      </c>
      <c r="AX31" s="3">
        <f t="shared" si="26"/>
        <v>33137</v>
      </c>
      <c r="AY31" s="5">
        <v>76700</v>
      </c>
      <c r="AZ31" s="4">
        <f t="shared" si="30"/>
        <v>0.99975234296588855</v>
      </c>
      <c r="BA31" s="5">
        <v>78720</v>
      </c>
      <c r="BB31" s="13">
        <v>44413</v>
      </c>
      <c r="BC31" s="3">
        <f t="shared" si="27"/>
        <v>33798</v>
      </c>
      <c r="BD31" s="5">
        <v>78211</v>
      </c>
      <c r="BE31" s="4">
        <f t="shared" si="31"/>
        <v>0.99353404471544715</v>
      </c>
      <c r="BF31" s="5">
        <v>140181</v>
      </c>
      <c r="BG31" s="13">
        <v>64233</v>
      </c>
      <c r="BH31" s="3">
        <f t="shared" si="22"/>
        <v>76269</v>
      </c>
      <c r="BI31" s="5">
        <v>140502</v>
      </c>
      <c r="BJ31" s="4">
        <f t="shared" si="23"/>
        <v>1.002289896633638</v>
      </c>
    </row>
    <row r="32" spans="1:62" x14ac:dyDescent="0.3">
      <c r="A32" s="11">
        <v>23</v>
      </c>
      <c r="B32" s="2" t="s">
        <v>27</v>
      </c>
      <c r="C32" s="5">
        <v>203718</v>
      </c>
      <c r="D32" s="5">
        <v>109052</v>
      </c>
      <c r="E32" s="3">
        <f t="shared" si="0"/>
        <v>93785</v>
      </c>
      <c r="F32" s="5">
        <v>202837</v>
      </c>
      <c r="G32" s="4">
        <f t="shared" si="1"/>
        <v>0.99567539441777364</v>
      </c>
      <c r="H32" s="5">
        <v>210874</v>
      </c>
      <c r="I32" s="5">
        <v>112569</v>
      </c>
      <c r="J32" s="3">
        <f t="shared" si="2"/>
        <v>94719</v>
      </c>
      <c r="K32" s="5">
        <v>207288</v>
      </c>
      <c r="L32" s="4">
        <f t="shared" si="3"/>
        <v>0.98299458444379106</v>
      </c>
      <c r="M32" s="5">
        <v>441035</v>
      </c>
      <c r="N32" s="5">
        <v>205434</v>
      </c>
      <c r="O32" s="3">
        <f t="shared" si="4"/>
        <v>234002</v>
      </c>
      <c r="P32" s="5">
        <v>439436</v>
      </c>
      <c r="Q32" s="4">
        <f t="shared" si="5"/>
        <v>0.99637443740292719</v>
      </c>
      <c r="R32" s="5">
        <v>206418</v>
      </c>
      <c r="S32" s="5">
        <v>112076</v>
      </c>
      <c r="T32" s="3">
        <f t="shared" si="6"/>
        <v>92305</v>
      </c>
      <c r="U32" s="5">
        <v>204381</v>
      </c>
      <c r="V32" s="4">
        <f t="shared" si="7"/>
        <v>0.99013167456326479</v>
      </c>
      <c r="W32" s="5">
        <v>212709</v>
      </c>
      <c r="X32" s="5">
        <v>112869</v>
      </c>
      <c r="Y32" s="3">
        <f t="shared" si="8"/>
        <v>95929</v>
      </c>
      <c r="Z32" s="5">
        <v>208798</v>
      </c>
      <c r="AA32" s="4">
        <f t="shared" si="9"/>
        <v>0.98161337790126413</v>
      </c>
      <c r="AB32" s="5">
        <v>446806</v>
      </c>
      <c r="AC32" s="5">
        <v>208028</v>
      </c>
      <c r="AD32" s="3">
        <f t="shared" si="10"/>
        <v>237856</v>
      </c>
      <c r="AE32" s="5">
        <v>445884</v>
      </c>
      <c r="AF32" s="4">
        <f t="shared" si="11"/>
        <v>0.99793646459537244</v>
      </c>
      <c r="AG32" s="5">
        <v>210129</v>
      </c>
      <c r="AH32" s="13">
        <v>116226</v>
      </c>
      <c r="AI32" s="3">
        <f t="shared" si="12"/>
        <v>92557</v>
      </c>
      <c r="AJ32" s="5">
        <v>208783</v>
      </c>
      <c r="AK32" s="4">
        <f t="shared" si="13"/>
        <v>0.99359441105225832</v>
      </c>
      <c r="AL32" s="5">
        <v>217332</v>
      </c>
      <c r="AM32" s="13">
        <v>119335</v>
      </c>
      <c r="AN32" s="3">
        <f t="shared" si="24"/>
        <v>93059</v>
      </c>
      <c r="AO32" s="5">
        <v>212394</v>
      </c>
      <c r="AP32" s="4">
        <f t="shared" si="28"/>
        <v>0.97727900171166693</v>
      </c>
      <c r="AQ32" s="5">
        <v>453805</v>
      </c>
      <c r="AR32" s="13">
        <v>224114</v>
      </c>
      <c r="AS32" s="3">
        <f t="shared" si="25"/>
        <v>229553</v>
      </c>
      <c r="AT32" s="5">
        <v>453667</v>
      </c>
      <c r="AU32" s="4">
        <f t="shared" si="29"/>
        <v>0.99969590462864011</v>
      </c>
      <c r="AV32" s="5">
        <v>213428</v>
      </c>
      <c r="AW32" s="13">
        <v>121027</v>
      </c>
      <c r="AX32" s="3">
        <f t="shared" si="26"/>
        <v>91575</v>
      </c>
      <c r="AY32" s="5">
        <v>212602</v>
      </c>
      <c r="AZ32" s="4">
        <f t="shared" si="30"/>
        <v>0.99612984238244284</v>
      </c>
      <c r="BA32" s="5">
        <v>220509</v>
      </c>
      <c r="BB32" s="13">
        <v>122730</v>
      </c>
      <c r="BC32" s="3">
        <f t="shared" si="27"/>
        <v>94382</v>
      </c>
      <c r="BD32" s="5">
        <v>217112</v>
      </c>
      <c r="BE32" s="4">
        <f t="shared" si="31"/>
        <v>0.98459473309479428</v>
      </c>
      <c r="BF32" s="5">
        <v>463937</v>
      </c>
      <c r="BG32" s="13">
        <v>207974</v>
      </c>
      <c r="BH32" s="3">
        <f t="shared" si="22"/>
        <v>253964</v>
      </c>
      <c r="BI32" s="5">
        <v>461938</v>
      </c>
      <c r="BJ32" s="4">
        <f t="shared" si="23"/>
        <v>0.99569122531723053</v>
      </c>
    </row>
    <row r="33" spans="1:62" x14ac:dyDescent="0.3">
      <c r="A33" s="11">
        <v>24</v>
      </c>
      <c r="B33" s="2" t="s">
        <v>44</v>
      </c>
      <c r="C33" s="5">
        <v>620995</v>
      </c>
      <c r="D33" s="5">
        <v>524259</v>
      </c>
      <c r="E33" s="3">
        <f t="shared" si="0"/>
        <v>96271</v>
      </c>
      <c r="F33" s="5">
        <v>620530</v>
      </c>
      <c r="G33" s="4">
        <f t="shared" si="1"/>
        <v>0.99925120170049675</v>
      </c>
      <c r="H33" s="5">
        <v>630476</v>
      </c>
      <c r="I33" s="5">
        <v>529857</v>
      </c>
      <c r="J33" s="3">
        <f t="shared" si="2"/>
        <v>98482</v>
      </c>
      <c r="K33" s="5">
        <v>628339</v>
      </c>
      <c r="L33" s="4">
        <f t="shared" si="3"/>
        <v>0.99661049746540709</v>
      </c>
      <c r="M33" s="5">
        <v>1032030</v>
      </c>
      <c r="N33" s="5">
        <v>849700</v>
      </c>
      <c r="O33" s="3">
        <f t="shared" si="4"/>
        <v>184057</v>
      </c>
      <c r="P33" s="5">
        <v>1033757</v>
      </c>
      <c r="Q33" s="4">
        <f t="shared" si="5"/>
        <v>1.0016734009670261</v>
      </c>
      <c r="R33" s="5">
        <v>629419</v>
      </c>
      <c r="S33" s="5">
        <v>530726</v>
      </c>
      <c r="T33" s="3">
        <f t="shared" si="6"/>
        <v>97177</v>
      </c>
      <c r="U33" s="5">
        <v>627903</v>
      </c>
      <c r="V33" s="4">
        <f t="shared" si="7"/>
        <v>0.99759142955646396</v>
      </c>
      <c r="W33" s="5">
        <v>637378</v>
      </c>
      <c r="X33" s="5">
        <v>532860</v>
      </c>
      <c r="Y33" s="3">
        <f t="shared" si="8"/>
        <v>101399</v>
      </c>
      <c r="Z33" s="5">
        <v>634259</v>
      </c>
      <c r="AA33" s="4">
        <f t="shared" si="9"/>
        <v>0.9951065145015987</v>
      </c>
      <c r="AB33" s="5">
        <v>1041984</v>
      </c>
      <c r="AC33" s="5">
        <v>859179</v>
      </c>
      <c r="AD33" s="3">
        <f t="shared" si="10"/>
        <v>184417</v>
      </c>
      <c r="AE33" s="5">
        <v>1043596</v>
      </c>
      <c r="AF33" s="4">
        <f t="shared" si="11"/>
        <v>1.0015470487070819</v>
      </c>
      <c r="AG33" s="5">
        <v>638215</v>
      </c>
      <c r="AH33" s="13">
        <v>559039</v>
      </c>
      <c r="AI33" s="3">
        <f t="shared" si="12"/>
        <v>78016</v>
      </c>
      <c r="AJ33" s="5">
        <v>637055</v>
      </c>
      <c r="AK33" s="4">
        <f t="shared" si="13"/>
        <v>0.99818243068558399</v>
      </c>
      <c r="AL33" s="5">
        <v>645318</v>
      </c>
      <c r="AM33" s="13">
        <v>546905</v>
      </c>
      <c r="AN33" s="3">
        <f t="shared" si="24"/>
        <v>94795</v>
      </c>
      <c r="AO33" s="5">
        <v>641700</v>
      </c>
      <c r="AP33" s="4">
        <f t="shared" si="28"/>
        <v>0.99439346182812194</v>
      </c>
      <c r="AQ33" s="5">
        <v>1053133</v>
      </c>
      <c r="AR33" s="13">
        <v>887456</v>
      </c>
      <c r="AS33" s="3">
        <f t="shared" si="25"/>
        <v>167731</v>
      </c>
      <c r="AT33" s="5">
        <v>1055187</v>
      </c>
      <c r="AU33" s="4">
        <f t="shared" si="29"/>
        <v>1.0019503709408024</v>
      </c>
      <c r="AV33" s="5">
        <v>647979</v>
      </c>
      <c r="AW33" s="13">
        <v>558703</v>
      </c>
      <c r="AX33" s="3">
        <f t="shared" si="26"/>
        <v>89184</v>
      </c>
      <c r="AY33" s="5">
        <v>647887</v>
      </c>
      <c r="AZ33" s="4">
        <f t="shared" si="30"/>
        <v>0.99985802009015723</v>
      </c>
      <c r="BA33" s="5">
        <v>657743</v>
      </c>
      <c r="BB33" s="13">
        <v>567605</v>
      </c>
      <c r="BC33" s="3">
        <f t="shared" si="27"/>
        <v>89588</v>
      </c>
      <c r="BD33" s="5">
        <v>657193</v>
      </c>
      <c r="BE33" s="4">
        <f t="shared" si="31"/>
        <v>0.99916380714047892</v>
      </c>
      <c r="BF33" s="5">
        <v>1071541</v>
      </c>
      <c r="BG33" s="13">
        <v>882796</v>
      </c>
      <c r="BH33" s="3">
        <f t="shared" si="22"/>
        <v>189783</v>
      </c>
      <c r="BI33" s="5">
        <v>1072579</v>
      </c>
      <c r="BJ33" s="4">
        <f t="shared" si="23"/>
        <v>1.0009686983512529</v>
      </c>
    </row>
    <row r="34" spans="1:62" x14ac:dyDescent="0.3">
      <c r="A34" s="11">
        <v>25</v>
      </c>
      <c r="B34" s="2" t="s">
        <v>28</v>
      </c>
      <c r="C34" s="5">
        <v>0</v>
      </c>
      <c r="D34" s="5">
        <v>0</v>
      </c>
      <c r="E34" s="5" t="s">
        <v>41</v>
      </c>
      <c r="F34" s="5">
        <v>0</v>
      </c>
      <c r="G34" s="5" t="s">
        <v>41</v>
      </c>
      <c r="H34" s="5">
        <v>0</v>
      </c>
      <c r="I34" s="5">
        <v>0</v>
      </c>
      <c r="J34" s="5" t="s">
        <v>41</v>
      </c>
      <c r="K34" s="5">
        <v>0</v>
      </c>
      <c r="L34" s="5" t="s">
        <v>41</v>
      </c>
      <c r="M34" s="5">
        <v>0</v>
      </c>
      <c r="N34" s="5">
        <v>0</v>
      </c>
      <c r="O34" s="5" t="s">
        <v>41</v>
      </c>
      <c r="P34" s="5">
        <v>0</v>
      </c>
      <c r="Q34" s="5" t="s">
        <v>41</v>
      </c>
      <c r="R34" s="5">
        <v>0</v>
      </c>
      <c r="S34" s="5">
        <v>0</v>
      </c>
      <c r="T34" s="5" t="s">
        <v>41</v>
      </c>
      <c r="U34" s="5">
        <v>0</v>
      </c>
      <c r="V34" s="5" t="s">
        <v>41</v>
      </c>
      <c r="W34" s="5">
        <v>0</v>
      </c>
      <c r="X34" s="5">
        <v>0</v>
      </c>
      <c r="Y34" s="5" t="s">
        <v>41</v>
      </c>
      <c r="Z34" s="5">
        <v>0</v>
      </c>
      <c r="AA34" s="5" t="s">
        <v>41</v>
      </c>
      <c r="AB34" s="5">
        <v>0</v>
      </c>
      <c r="AC34" s="5">
        <v>0</v>
      </c>
      <c r="AD34" s="5" t="s">
        <v>41</v>
      </c>
      <c r="AE34" s="5">
        <v>0</v>
      </c>
      <c r="AF34" s="5" t="s">
        <v>41</v>
      </c>
      <c r="AG34" s="5">
        <v>0</v>
      </c>
      <c r="AH34" s="13">
        <v>0</v>
      </c>
      <c r="AI34" s="5" t="s">
        <v>41</v>
      </c>
      <c r="AJ34" s="5">
        <v>0</v>
      </c>
      <c r="AK34" s="5" t="s">
        <v>41</v>
      </c>
      <c r="AL34" s="5">
        <v>0</v>
      </c>
      <c r="AM34" s="13">
        <v>0</v>
      </c>
      <c r="AN34" s="5" t="s">
        <v>41</v>
      </c>
      <c r="AO34" s="5">
        <v>1</v>
      </c>
      <c r="AP34" s="5" t="s">
        <v>41</v>
      </c>
      <c r="AQ34" s="5">
        <v>1</v>
      </c>
      <c r="AR34" s="13">
        <v>1</v>
      </c>
      <c r="AS34" s="5" t="s">
        <v>41</v>
      </c>
      <c r="AT34" s="5">
        <v>1</v>
      </c>
      <c r="AU34" s="5" t="s">
        <v>41</v>
      </c>
      <c r="AV34" s="5">
        <v>1</v>
      </c>
      <c r="AW34" s="13">
        <v>0</v>
      </c>
      <c r="AX34" s="5" t="s">
        <v>41</v>
      </c>
      <c r="AY34" s="5">
        <v>0</v>
      </c>
      <c r="AZ34" s="5" t="s">
        <v>41</v>
      </c>
      <c r="BA34" s="5">
        <v>1</v>
      </c>
      <c r="BB34" s="13">
        <v>0</v>
      </c>
      <c r="BC34" s="5" t="s">
        <v>41</v>
      </c>
      <c r="BD34" s="5">
        <v>0</v>
      </c>
      <c r="BE34" s="5" t="s">
        <v>41</v>
      </c>
      <c r="BF34" s="5">
        <v>1</v>
      </c>
      <c r="BG34" s="13">
        <v>0</v>
      </c>
      <c r="BH34" s="5" t="s">
        <v>41</v>
      </c>
      <c r="BI34" s="5">
        <v>0</v>
      </c>
      <c r="BJ34" s="5" t="s">
        <v>41</v>
      </c>
    </row>
    <row r="35" spans="1:62" x14ac:dyDescent="0.3">
      <c r="A35" s="11">
        <v>26</v>
      </c>
      <c r="B35" s="2" t="s">
        <v>29</v>
      </c>
      <c r="C35" s="5">
        <v>11569</v>
      </c>
      <c r="D35" s="5">
        <v>9220</v>
      </c>
      <c r="E35" s="3">
        <f t="shared" si="0"/>
        <v>2346</v>
      </c>
      <c r="F35" s="5">
        <v>11566</v>
      </c>
      <c r="G35" s="4">
        <f t="shared" si="1"/>
        <v>0.99974068631688129</v>
      </c>
      <c r="H35" s="5">
        <v>11660</v>
      </c>
      <c r="I35" s="5">
        <v>9218</v>
      </c>
      <c r="J35" s="3">
        <f t="shared" ref="J35:J47" si="32">K35-I35</f>
        <v>2388</v>
      </c>
      <c r="K35" s="5">
        <v>11606</v>
      </c>
      <c r="L35" s="4">
        <f t="shared" ref="L35:L47" si="33">K35/H35</f>
        <v>0.99536878216123503</v>
      </c>
      <c r="M35" s="5">
        <v>14448</v>
      </c>
      <c r="N35" s="5">
        <v>11289</v>
      </c>
      <c r="O35" s="3">
        <f t="shared" ref="O35:O47" si="34">P35-N35</f>
        <v>3148</v>
      </c>
      <c r="P35" s="5">
        <v>14437</v>
      </c>
      <c r="Q35" s="4">
        <f t="shared" ref="Q35:Q47" si="35">P35/M35</f>
        <v>0.99923864894795122</v>
      </c>
      <c r="R35" s="5">
        <v>11629</v>
      </c>
      <c r="S35" s="5">
        <v>9171</v>
      </c>
      <c r="T35" s="3">
        <f t="shared" ref="T35:T47" si="36">U35-S35</f>
        <v>2437</v>
      </c>
      <c r="U35" s="5">
        <v>11608</v>
      </c>
      <c r="V35" s="4">
        <f t="shared" ref="V35:V47" si="37">U35/R35</f>
        <v>0.99819416974804365</v>
      </c>
      <c r="W35" s="5">
        <v>11769</v>
      </c>
      <c r="X35" s="5">
        <v>9272</v>
      </c>
      <c r="Y35" s="3">
        <f t="shared" ref="Y35:Y47" si="38">Z35-X35</f>
        <v>2386</v>
      </c>
      <c r="Z35" s="5">
        <v>11658</v>
      </c>
      <c r="AA35" s="4">
        <f t="shared" ref="AA35:AA47" si="39">Z35/W35</f>
        <v>0.99056844251848075</v>
      </c>
      <c r="AB35" s="5">
        <v>14510</v>
      </c>
      <c r="AC35" s="5">
        <v>11392</v>
      </c>
      <c r="AD35" s="3">
        <f t="shared" ref="AD35:AD47" si="40">AE35-AC35</f>
        <v>3110</v>
      </c>
      <c r="AE35" s="5">
        <v>14502</v>
      </c>
      <c r="AF35" s="4">
        <f t="shared" ref="AF35:AF47" si="41">AE35/AB35</f>
        <v>0.99944865609924194</v>
      </c>
      <c r="AG35" s="5">
        <v>11749</v>
      </c>
      <c r="AH35" s="13">
        <v>9582</v>
      </c>
      <c r="AI35" s="3">
        <f t="shared" ref="AI35:AI47" si="42">AJ35-AH35</f>
        <v>2149</v>
      </c>
      <c r="AJ35" s="5">
        <v>11731</v>
      </c>
      <c r="AK35" s="4">
        <f t="shared" ref="AK35:AK47" si="43">AJ35/AG35</f>
        <v>0.99846795471955063</v>
      </c>
      <c r="AL35" s="5">
        <v>11839</v>
      </c>
      <c r="AM35" s="13">
        <v>9446</v>
      </c>
      <c r="AN35" s="3">
        <f t="shared" ref="AN35:AN47" si="44">AO35-AM35</f>
        <v>2324</v>
      </c>
      <c r="AO35" s="5">
        <v>11770</v>
      </c>
      <c r="AP35" s="4">
        <f t="shared" ref="AP35:AP47" si="45">AO35/AL35</f>
        <v>0.99417180505110225</v>
      </c>
      <c r="AQ35" s="5">
        <v>14639</v>
      </c>
      <c r="AR35" s="13">
        <v>11773</v>
      </c>
      <c r="AS35" s="3">
        <f t="shared" ref="AS35:AS47" si="46">AT35-AR35</f>
        <v>2841</v>
      </c>
      <c r="AT35" s="5">
        <v>14614</v>
      </c>
      <c r="AU35" s="4">
        <f t="shared" ref="AU35:AU47" si="47">AT35/AQ35</f>
        <v>0.99829223307602977</v>
      </c>
      <c r="AV35" s="5">
        <v>11843</v>
      </c>
      <c r="AW35" s="13">
        <v>9656</v>
      </c>
      <c r="AX35" s="3">
        <f t="shared" ref="AX35:AX47" si="48">AY35-AW35</f>
        <v>2167</v>
      </c>
      <c r="AY35" s="5">
        <v>11823</v>
      </c>
      <c r="AZ35" s="4">
        <f t="shared" ref="AZ35:AZ47" si="49">AY35/AV35</f>
        <v>0.99831123870640881</v>
      </c>
      <c r="BA35" s="5">
        <v>11921</v>
      </c>
      <c r="BB35" s="13">
        <v>9716</v>
      </c>
      <c r="BC35" s="3">
        <f t="shared" ref="BC35:BC47" si="50">BD35-BB35</f>
        <v>2150</v>
      </c>
      <c r="BD35" s="5">
        <v>11866</v>
      </c>
      <c r="BE35" s="4">
        <f t="shared" ref="BE35:BE47" si="51">BD35/BA35</f>
        <v>0.99538629309621673</v>
      </c>
      <c r="BF35" s="5">
        <v>14735</v>
      </c>
      <c r="BG35" s="13">
        <v>11835</v>
      </c>
      <c r="BH35" s="3">
        <f t="shared" ref="BH35:BH47" si="52">BI35-BG35</f>
        <v>2888</v>
      </c>
      <c r="BI35" s="5">
        <v>14723</v>
      </c>
      <c r="BJ35" s="4">
        <f t="shared" ref="BJ35:BJ47" si="53">BI35/BF35</f>
        <v>0.99918561248727522</v>
      </c>
    </row>
    <row r="36" spans="1:62" x14ac:dyDescent="0.3">
      <c r="A36" s="11">
        <v>27</v>
      </c>
      <c r="B36" s="2" t="s">
        <v>45</v>
      </c>
      <c r="C36" s="5">
        <v>836037</v>
      </c>
      <c r="D36" s="5">
        <v>579199</v>
      </c>
      <c r="E36" s="3">
        <f t="shared" si="0"/>
        <v>254003</v>
      </c>
      <c r="F36" s="5">
        <v>833202</v>
      </c>
      <c r="G36" s="4">
        <f t="shared" si="1"/>
        <v>0.99660900175470701</v>
      </c>
      <c r="H36" s="5">
        <v>854298</v>
      </c>
      <c r="I36" s="5">
        <v>582090</v>
      </c>
      <c r="J36" s="3">
        <f t="shared" si="32"/>
        <v>261280</v>
      </c>
      <c r="K36" s="5">
        <v>843370</v>
      </c>
      <c r="L36" s="4">
        <f t="shared" si="33"/>
        <v>0.98720821071803988</v>
      </c>
      <c r="M36" s="5">
        <v>1510524</v>
      </c>
      <c r="N36" s="5">
        <v>1014391</v>
      </c>
      <c r="O36" s="3">
        <f t="shared" si="34"/>
        <v>489869</v>
      </c>
      <c r="P36" s="5">
        <v>1504260</v>
      </c>
      <c r="Q36" s="4">
        <f t="shared" si="35"/>
        <v>0.99585309468767125</v>
      </c>
      <c r="R36" s="5">
        <v>845008</v>
      </c>
      <c r="S36" s="5">
        <v>590966</v>
      </c>
      <c r="T36" s="3">
        <f t="shared" si="36"/>
        <v>248847</v>
      </c>
      <c r="U36" s="5">
        <v>839813</v>
      </c>
      <c r="V36" s="4">
        <f t="shared" si="37"/>
        <v>0.99385212921061106</v>
      </c>
      <c r="W36" s="5">
        <v>865288</v>
      </c>
      <c r="X36" s="5">
        <v>598085</v>
      </c>
      <c r="Y36" s="3">
        <f t="shared" si="38"/>
        <v>251399</v>
      </c>
      <c r="Z36" s="5">
        <v>849484</v>
      </c>
      <c r="AA36" s="4">
        <f t="shared" si="39"/>
        <v>0.981735560876841</v>
      </c>
      <c r="AB36" s="5">
        <v>1522408</v>
      </c>
      <c r="AC36" s="5">
        <v>1031970</v>
      </c>
      <c r="AD36" s="3">
        <f t="shared" si="40"/>
        <v>486016</v>
      </c>
      <c r="AE36" s="5">
        <v>1517986</v>
      </c>
      <c r="AF36" s="4">
        <f t="shared" si="41"/>
        <v>0.9970953909858592</v>
      </c>
      <c r="AG36" s="5">
        <v>860909</v>
      </c>
      <c r="AH36" s="13">
        <v>622893</v>
      </c>
      <c r="AI36" s="3">
        <f t="shared" si="42"/>
        <v>232946</v>
      </c>
      <c r="AJ36" s="5">
        <v>855839</v>
      </c>
      <c r="AK36" s="4">
        <f t="shared" si="43"/>
        <v>0.99411087583008195</v>
      </c>
      <c r="AL36" s="5">
        <v>879793</v>
      </c>
      <c r="AM36" s="13">
        <v>627740</v>
      </c>
      <c r="AN36" s="3">
        <f t="shared" si="44"/>
        <v>238589</v>
      </c>
      <c r="AO36" s="5">
        <v>866329</v>
      </c>
      <c r="AP36" s="4">
        <f t="shared" si="45"/>
        <v>0.9846964001759505</v>
      </c>
      <c r="AQ36" s="5">
        <v>1539776</v>
      </c>
      <c r="AR36" s="13">
        <v>1080776</v>
      </c>
      <c r="AS36" s="3">
        <f t="shared" si="46"/>
        <v>458740</v>
      </c>
      <c r="AT36" s="5">
        <v>1539516</v>
      </c>
      <c r="AU36" s="4">
        <f t="shared" si="47"/>
        <v>0.99983114427033537</v>
      </c>
      <c r="AV36" s="5">
        <v>875330</v>
      </c>
      <c r="AW36" s="13">
        <v>638151</v>
      </c>
      <c r="AX36" s="3">
        <f t="shared" si="48"/>
        <v>234356</v>
      </c>
      <c r="AY36" s="5">
        <v>872507</v>
      </c>
      <c r="AZ36" s="4">
        <f t="shared" si="49"/>
        <v>0.99677493059760314</v>
      </c>
      <c r="BA36" s="5">
        <v>893595</v>
      </c>
      <c r="BB36" s="13">
        <v>647730</v>
      </c>
      <c r="BC36" s="3">
        <f t="shared" si="50"/>
        <v>236022</v>
      </c>
      <c r="BD36" s="5">
        <v>883752</v>
      </c>
      <c r="BE36" s="4">
        <f t="shared" si="51"/>
        <v>0.98898494284323435</v>
      </c>
      <c r="BF36" s="5">
        <v>1566403</v>
      </c>
      <c r="BG36" s="13">
        <v>1053071</v>
      </c>
      <c r="BH36" s="3">
        <f t="shared" si="52"/>
        <v>507383</v>
      </c>
      <c r="BI36" s="5">
        <v>1560454</v>
      </c>
      <c r="BJ36" s="4">
        <f t="shared" si="53"/>
        <v>0.99620212678346509</v>
      </c>
    </row>
    <row r="37" spans="1:62" x14ac:dyDescent="0.3">
      <c r="A37" s="11">
        <v>29</v>
      </c>
      <c r="B37" s="2" t="s">
        <v>30</v>
      </c>
      <c r="C37" s="5">
        <v>675549</v>
      </c>
      <c r="D37" s="5">
        <v>384009</v>
      </c>
      <c r="E37" s="3">
        <f t="shared" si="0"/>
        <v>283690</v>
      </c>
      <c r="F37" s="5">
        <v>667699</v>
      </c>
      <c r="G37" s="4">
        <f t="shared" si="1"/>
        <v>0.98837982144892522</v>
      </c>
      <c r="H37" s="5">
        <v>681828</v>
      </c>
      <c r="I37" s="5">
        <v>396401</v>
      </c>
      <c r="J37" s="3">
        <f t="shared" si="32"/>
        <v>274167</v>
      </c>
      <c r="K37" s="5">
        <v>670568</v>
      </c>
      <c r="L37" s="4">
        <f t="shared" si="33"/>
        <v>0.98348557114110891</v>
      </c>
      <c r="M37" s="5">
        <v>856106</v>
      </c>
      <c r="N37" s="5">
        <v>498636</v>
      </c>
      <c r="O37" s="3">
        <f t="shared" si="34"/>
        <v>347706</v>
      </c>
      <c r="P37" s="5">
        <v>846342</v>
      </c>
      <c r="Q37" s="4">
        <f t="shared" si="35"/>
        <v>0.98859487026139281</v>
      </c>
      <c r="R37" s="5">
        <v>679636</v>
      </c>
      <c r="S37" s="5">
        <v>402549</v>
      </c>
      <c r="T37" s="3">
        <f t="shared" si="36"/>
        <v>268959</v>
      </c>
      <c r="U37" s="5">
        <v>671508</v>
      </c>
      <c r="V37" s="4">
        <f t="shared" si="37"/>
        <v>0.98804065705760147</v>
      </c>
      <c r="W37" s="5">
        <v>687189</v>
      </c>
      <c r="X37" s="5">
        <v>403315</v>
      </c>
      <c r="Y37" s="3">
        <f t="shared" si="38"/>
        <v>273301</v>
      </c>
      <c r="Z37" s="5">
        <v>676616</v>
      </c>
      <c r="AA37" s="4">
        <f t="shared" si="39"/>
        <v>0.98461413090139682</v>
      </c>
      <c r="AB37" s="5">
        <v>863912</v>
      </c>
      <c r="AC37" s="5">
        <v>506171</v>
      </c>
      <c r="AD37" s="3">
        <f t="shared" si="40"/>
        <v>349295</v>
      </c>
      <c r="AE37" s="5">
        <v>855466</v>
      </c>
      <c r="AF37" s="4">
        <f t="shared" si="41"/>
        <v>0.9902235412866125</v>
      </c>
      <c r="AG37" s="5">
        <v>690763</v>
      </c>
      <c r="AH37" s="13">
        <v>421980</v>
      </c>
      <c r="AI37" s="3">
        <f t="shared" si="42"/>
        <v>260665</v>
      </c>
      <c r="AJ37" s="5">
        <v>682645</v>
      </c>
      <c r="AK37" s="4">
        <f t="shared" si="43"/>
        <v>0.9882477781815181</v>
      </c>
      <c r="AL37" s="5">
        <v>697437</v>
      </c>
      <c r="AM37" s="13">
        <v>423616</v>
      </c>
      <c r="AN37" s="3">
        <f t="shared" si="44"/>
        <v>265022</v>
      </c>
      <c r="AO37" s="5">
        <v>688638</v>
      </c>
      <c r="AP37" s="4">
        <f t="shared" si="45"/>
        <v>0.98738380670942316</v>
      </c>
      <c r="AQ37" s="5">
        <v>873380</v>
      </c>
      <c r="AR37" s="13">
        <v>530410</v>
      </c>
      <c r="AS37" s="3">
        <f t="shared" si="46"/>
        <v>338585</v>
      </c>
      <c r="AT37" s="5">
        <v>868995</v>
      </c>
      <c r="AU37" s="4">
        <f t="shared" si="47"/>
        <v>0.99497927591655411</v>
      </c>
      <c r="AV37" s="5">
        <v>700086</v>
      </c>
      <c r="AW37" s="13">
        <v>427513</v>
      </c>
      <c r="AX37" s="3">
        <f t="shared" si="48"/>
        <v>266992</v>
      </c>
      <c r="AY37" s="5">
        <v>694505</v>
      </c>
      <c r="AZ37" s="4">
        <f t="shared" si="49"/>
        <v>0.99202812225926529</v>
      </c>
      <c r="BA37" s="5">
        <v>708485</v>
      </c>
      <c r="BB37" s="13">
        <v>430600</v>
      </c>
      <c r="BC37" s="3">
        <f t="shared" si="50"/>
        <v>268885</v>
      </c>
      <c r="BD37" s="5">
        <v>699485</v>
      </c>
      <c r="BE37" s="4">
        <f t="shared" si="51"/>
        <v>0.98729683761829823</v>
      </c>
      <c r="BF37" s="5">
        <v>887779</v>
      </c>
      <c r="BG37" s="13">
        <v>494061</v>
      </c>
      <c r="BH37" s="3">
        <f t="shared" si="52"/>
        <v>384214</v>
      </c>
      <c r="BI37" s="5">
        <v>878275</v>
      </c>
      <c r="BJ37" s="4">
        <f t="shared" si="53"/>
        <v>0.98929463301114351</v>
      </c>
    </row>
    <row r="38" spans="1:62" x14ac:dyDescent="0.3">
      <c r="A38" s="11">
        <v>30</v>
      </c>
      <c r="B38" s="2" t="s">
        <v>31</v>
      </c>
      <c r="C38" s="5">
        <v>22737</v>
      </c>
      <c r="D38" s="5">
        <v>13484</v>
      </c>
      <c r="E38" s="3">
        <f t="shared" si="0"/>
        <v>9416</v>
      </c>
      <c r="F38" s="5">
        <v>22900</v>
      </c>
      <c r="G38" s="4">
        <f t="shared" si="1"/>
        <v>1.0071689316972336</v>
      </c>
      <c r="H38" s="5">
        <v>23122</v>
      </c>
      <c r="I38" s="5">
        <v>13570</v>
      </c>
      <c r="J38" s="3">
        <f t="shared" si="32"/>
        <v>9603</v>
      </c>
      <c r="K38" s="5">
        <v>23173</v>
      </c>
      <c r="L38" s="4">
        <f t="shared" si="33"/>
        <v>1.0022056915491739</v>
      </c>
      <c r="M38" s="5">
        <v>35582</v>
      </c>
      <c r="N38" s="5">
        <v>21441</v>
      </c>
      <c r="O38" s="3">
        <f t="shared" si="34"/>
        <v>14390</v>
      </c>
      <c r="P38" s="5">
        <v>35831</v>
      </c>
      <c r="Q38" s="4">
        <f t="shared" si="35"/>
        <v>1.0069979202967794</v>
      </c>
      <c r="R38" s="5">
        <v>22911</v>
      </c>
      <c r="S38" s="5">
        <v>13789</v>
      </c>
      <c r="T38" s="3">
        <f t="shared" si="36"/>
        <v>9355</v>
      </c>
      <c r="U38" s="5">
        <v>23144</v>
      </c>
      <c r="V38" s="4">
        <f t="shared" si="37"/>
        <v>1.0101697874383484</v>
      </c>
      <c r="W38" s="5">
        <v>23450</v>
      </c>
      <c r="X38" s="5">
        <v>14168</v>
      </c>
      <c r="Y38" s="3">
        <f t="shared" si="38"/>
        <v>9184</v>
      </c>
      <c r="Z38" s="5">
        <v>23352</v>
      </c>
      <c r="AA38" s="4">
        <f t="shared" si="39"/>
        <v>0.99582089552238806</v>
      </c>
      <c r="AB38" s="5">
        <v>35915</v>
      </c>
      <c r="AC38" s="5">
        <v>22067</v>
      </c>
      <c r="AD38" s="3">
        <f t="shared" si="40"/>
        <v>14262</v>
      </c>
      <c r="AE38" s="5">
        <v>36329</v>
      </c>
      <c r="AF38" s="4">
        <f t="shared" si="41"/>
        <v>1.0115272170402339</v>
      </c>
      <c r="AG38" s="5">
        <v>23414</v>
      </c>
      <c r="AH38" s="13">
        <v>14738</v>
      </c>
      <c r="AI38" s="3">
        <f t="shared" si="42"/>
        <v>8897</v>
      </c>
      <c r="AJ38" s="5">
        <v>23635</v>
      </c>
      <c r="AK38" s="4">
        <f t="shared" si="43"/>
        <v>1.0094387973007601</v>
      </c>
      <c r="AL38" s="5">
        <v>23927</v>
      </c>
      <c r="AM38" s="13">
        <v>14951</v>
      </c>
      <c r="AN38" s="3">
        <f t="shared" si="44"/>
        <v>8959</v>
      </c>
      <c r="AO38" s="5">
        <v>23910</v>
      </c>
      <c r="AP38" s="4">
        <f t="shared" si="45"/>
        <v>0.99928950557947094</v>
      </c>
      <c r="AQ38" s="5">
        <v>36551</v>
      </c>
      <c r="AR38" s="13">
        <v>23698</v>
      </c>
      <c r="AS38" s="3">
        <f t="shared" si="46"/>
        <v>13394</v>
      </c>
      <c r="AT38" s="5">
        <v>37092</v>
      </c>
      <c r="AU38" s="4">
        <f t="shared" si="47"/>
        <v>1.0148012366282728</v>
      </c>
      <c r="AV38" s="5">
        <v>23833</v>
      </c>
      <c r="AW38" s="13">
        <v>15204</v>
      </c>
      <c r="AX38" s="3">
        <f t="shared" si="48"/>
        <v>8943</v>
      </c>
      <c r="AY38" s="5">
        <v>24147</v>
      </c>
      <c r="AZ38" s="4">
        <f t="shared" si="49"/>
        <v>1.0131750094406915</v>
      </c>
      <c r="BA38" s="5">
        <v>24292</v>
      </c>
      <c r="BB38" s="13">
        <v>15504</v>
      </c>
      <c r="BC38" s="3">
        <f t="shared" si="50"/>
        <v>8905</v>
      </c>
      <c r="BD38" s="5">
        <v>24409</v>
      </c>
      <c r="BE38" s="4">
        <f t="shared" si="51"/>
        <v>1.0048164004610571</v>
      </c>
      <c r="BF38" s="5">
        <v>37393</v>
      </c>
      <c r="BG38" s="13">
        <v>22355</v>
      </c>
      <c r="BH38" s="3">
        <f t="shared" si="52"/>
        <v>15248</v>
      </c>
      <c r="BI38" s="5">
        <v>37603</v>
      </c>
      <c r="BJ38" s="4">
        <f t="shared" si="53"/>
        <v>1.0056160243895917</v>
      </c>
    </row>
    <row r="39" spans="1:62" x14ac:dyDescent="0.3">
      <c r="A39" s="11">
        <v>31</v>
      </c>
      <c r="B39" s="2" t="s">
        <v>32</v>
      </c>
      <c r="C39" s="5">
        <v>184</v>
      </c>
      <c r="D39" s="5">
        <v>93</v>
      </c>
      <c r="E39" s="3">
        <f t="shared" si="0"/>
        <v>94</v>
      </c>
      <c r="F39" s="5">
        <v>187</v>
      </c>
      <c r="G39" s="4">
        <f t="shared" si="1"/>
        <v>1.0163043478260869</v>
      </c>
      <c r="H39" s="5">
        <v>185</v>
      </c>
      <c r="I39" s="5">
        <v>83</v>
      </c>
      <c r="J39" s="3">
        <f t="shared" si="32"/>
        <v>104</v>
      </c>
      <c r="K39" s="5">
        <v>187</v>
      </c>
      <c r="L39" s="4">
        <f t="shared" si="33"/>
        <v>1.0108108108108107</v>
      </c>
      <c r="M39" s="5">
        <v>225</v>
      </c>
      <c r="N39" s="5">
        <v>122</v>
      </c>
      <c r="O39" s="3">
        <f t="shared" si="34"/>
        <v>107</v>
      </c>
      <c r="P39" s="5">
        <v>229</v>
      </c>
      <c r="Q39" s="4">
        <f t="shared" si="35"/>
        <v>1.0177777777777777</v>
      </c>
      <c r="R39" s="5">
        <v>185</v>
      </c>
      <c r="S39" s="5">
        <v>99</v>
      </c>
      <c r="T39" s="3">
        <f t="shared" si="36"/>
        <v>90</v>
      </c>
      <c r="U39" s="5">
        <v>189</v>
      </c>
      <c r="V39" s="4">
        <f t="shared" si="37"/>
        <v>1.0216216216216216</v>
      </c>
      <c r="W39" s="5">
        <v>190</v>
      </c>
      <c r="X39" s="5">
        <v>99</v>
      </c>
      <c r="Y39" s="3">
        <f t="shared" si="38"/>
        <v>92</v>
      </c>
      <c r="Z39" s="5">
        <v>191</v>
      </c>
      <c r="AA39" s="4">
        <f t="shared" si="39"/>
        <v>1.0052631578947369</v>
      </c>
      <c r="AB39" s="5">
        <v>229</v>
      </c>
      <c r="AC39" s="5">
        <v>123</v>
      </c>
      <c r="AD39" s="3">
        <f t="shared" si="40"/>
        <v>109</v>
      </c>
      <c r="AE39" s="5">
        <v>232</v>
      </c>
      <c r="AF39" s="4">
        <f t="shared" si="41"/>
        <v>1.0131004366812226</v>
      </c>
      <c r="AG39" s="5">
        <v>192</v>
      </c>
      <c r="AH39" s="13">
        <v>101</v>
      </c>
      <c r="AI39" s="3">
        <f t="shared" si="42"/>
        <v>88</v>
      </c>
      <c r="AJ39" s="5">
        <v>189</v>
      </c>
      <c r="AK39" s="4">
        <f t="shared" si="43"/>
        <v>0.984375</v>
      </c>
      <c r="AL39" s="5">
        <v>193</v>
      </c>
      <c r="AM39" s="13">
        <v>103</v>
      </c>
      <c r="AN39" s="3">
        <f t="shared" si="44"/>
        <v>92</v>
      </c>
      <c r="AO39" s="5">
        <v>195</v>
      </c>
      <c r="AP39" s="4">
        <f t="shared" si="45"/>
        <v>1.0103626943005182</v>
      </c>
      <c r="AQ39" s="5">
        <v>241</v>
      </c>
      <c r="AR39" s="13">
        <v>124</v>
      </c>
      <c r="AS39" s="3">
        <f t="shared" si="46"/>
        <v>117</v>
      </c>
      <c r="AT39" s="5">
        <v>241</v>
      </c>
      <c r="AU39" s="4">
        <f t="shared" si="47"/>
        <v>1</v>
      </c>
      <c r="AV39" s="5">
        <v>200</v>
      </c>
      <c r="AW39" s="13">
        <v>110</v>
      </c>
      <c r="AX39" s="3">
        <f t="shared" si="48"/>
        <v>89</v>
      </c>
      <c r="AY39" s="5">
        <v>199</v>
      </c>
      <c r="AZ39" s="4">
        <f t="shared" si="49"/>
        <v>0.995</v>
      </c>
      <c r="BA39" s="5">
        <v>207</v>
      </c>
      <c r="BB39" s="13">
        <v>97</v>
      </c>
      <c r="BC39" s="3">
        <f t="shared" si="50"/>
        <v>106</v>
      </c>
      <c r="BD39" s="5">
        <v>203</v>
      </c>
      <c r="BE39" s="4">
        <f t="shared" si="51"/>
        <v>0.98067632850241548</v>
      </c>
      <c r="BF39" s="5">
        <v>257</v>
      </c>
      <c r="BG39" s="13">
        <v>117</v>
      </c>
      <c r="BH39" s="3">
        <f t="shared" si="52"/>
        <v>136</v>
      </c>
      <c r="BI39" s="5">
        <v>253</v>
      </c>
      <c r="BJ39" s="4">
        <f t="shared" si="53"/>
        <v>0.98443579766536971</v>
      </c>
    </row>
    <row r="40" spans="1:62" x14ac:dyDescent="0.3">
      <c r="A40" s="11">
        <v>32</v>
      </c>
      <c r="B40" s="2" t="s">
        <v>33</v>
      </c>
      <c r="C40" s="5">
        <v>277722</v>
      </c>
      <c r="D40" s="5">
        <v>170984</v>
      </c>
      <c r="E40" s="3">
        <f t="shared" si="0"/>
        <v>104875</v>
      </c>
      <c r="F40" s="5">
        <v>275859</v>
      </c>
      <c r="G40" s="4">
        <f t="shared" si="1"/>
        <v>0.99329185300408318</v>
      </c>
      <c r="H40" s="5">
        <v>279588</v>
      </c>
      <c r="I40" s="5">
        <v>169489</v>
      </c>
      <c r="J40" s="3">
        <f t="shared" si="32"/>
        <v>108074</v>
      </c>
      <c r="K40" s="5">
        <v>277563</v>
      </c>
      <c r="L40" s="4">
        <f t="shared" si="33"/>
        <v>0.99275719987982314</v>
      </c>
      <c r="M40" s="5">
        <v>339205</v>
      </c>
      <c r="N40" s="5">
        <v>202402</v>
      </c>
      <c r="O40" s="3">
        <f t="shared" si="34"/>
        <v>135142</v>
      </c>
      <c r="P40" s="5">
        <v>337544</v>
      </c>
      <c r="Q40" s="4">
        <f t="shared" si="35"/>
        <v>0.99510325614304029</v>
      </c>
      <c r="R40" s="5">
        <v>280405</v>
      </c>
      <c r="S40" s="5">
        <v>174156</v>
      </c>
      <c r="T40" s="3">
        <f t="shared" si="36"/>
        <v>104719</v>
      </c>
      <c r="U40" s="5">
        <v>278875</v>
      </c>
      <c r="V40" s="4">
        <f t="shared" si="37"/>
        <v>0.9945436065690697</v>
      </c>
      <c r="W40" s="5">
        <v>283529</v>
      </c>
      <c r="X40" s="5">
        <v>170564</v>
      </c>
      <c r="Y40" s="3">
        <f t="shared" si="38"/>
        <v>110257</v>
      </c>
      <c r="Z40" s="5">
        <v>280821</v>
      </c>
      <c r="AA40" s="4">
        <f t="shared" si="39"/>
        <v>0.9904489487847804</v>
      </c>
      <c r="AB40" s="5">
        <v>342699</v>
      </c>
      <c r="AC40" s="5">
        <v>205427</v>
      </c>
      <c r="AD40" s="3">
        <f t="shared" si="40"/>
        <v>136262</v>
      </c>
      <c r="AE40" s="5">
        <v>341689</v>
      </c>
      <c r="AF40" s="4">
        <f t="shared" si="41"/>
        <v>0.99705280727402179</v>
      </c>
      <c r="AG40" s="5">
        <v>284836</v>
      </c>
      <c r="AH40" s="13">
        <v>179131</v>
      </c>
      <c r="AI40" s="3">
        <f t="shared" si="42"/>
        <v>104299</v>
      </c>
      <c r="AJ40" s="5">
        <v>283430</v>
      </c>
      <c r="AK40" s="4">
        <f t="shared" si="43"/>
        <v>0.99506382620174416</v>
      </c>
      <c r="AL40" s="5">
        <v>287465</v>
      </c>
      <c r="AM40" s="13">
        <v>175843</v>
      </c>
      <c r="AN40" s="3">
        <f t="shared" si="44"/>
        <v>109820</v>
      </c>
      <c r="AO40" s="5">
        <v>285663</v>
      </c>
      <c r="AP40" s="4">
        <f t="shared" si="45"/>
        <v>0.9937314107804428</v>
      </c>
      <c r="AQ40" s="5">
        <v>346543</v>
      </c>
      <c r="AR40" s="13">
        <v>212660</v>
      </c>
      <c r="AS40" s="3">
        <f t="shared" si="46"/>
        <v>133843</v>
      </c>
      <c r="AT40" s="5">
        <v>346503</v>
      </c>
      <c r="AU40" s="4">
        <f t="shared" si="47"/>
        <v>0.99988457420868404</v>
      </c>
      <c r="AV40" s="5">
        <v>288959</v>
      </c>
      <c r="AW40" s="13">
        <v>177096</v>
      </c>
      <c r="AX40" s="3">
        <f t="shared" si="48"/>
        <v>110690</v>
      </c>
      <c r="AY40" s="5">
        <v>287786</v>
      </c>
      <c r="AZ40" s="4">
        <f t="shared" si="49"/>
        <v>0.99594060056963096</v>
      </c>
      <c r="BA40" s="5">
        <v>291465</v>
      </c>
      <c r="BB40" s="13">
        <v>179400</v>
      </c>
      <c r="BC40" s="3">
        <f t="shared" si="50"/>
        <v>109568</v>
      </c>
      <c r="BD40" s="5">
        <v>288968</v>
      </c>
      <c r="BE40" s="4">
        <f t="shared" si="51"/>
        <v>0.99143293362839446</v>
      </c>
      <c r="BF40" s="5">
        <v>351557</v>
      </c>
      <c r="BG40" s="13">
        <v>200149</v>
      </c>
      <c r="BH40" s="3">
        <f t="shared" si="52"/>
        <v>149331</v>
      </c>
      <c r="BI40" s="5">
        <v>349480</v>
      </c>
      <c r="BJ40" s="4">
        <f t="shared" si="53"/>
        <v>0.99409199646145574</v>
      </c>
    </row>
    <row r="41" spans="1:62" x14ac:dyDescent="0.3">
      <c r="A41" s="11">
        <v>33</v>
      </c>
      <c r="B41" s="2" t="s">
        <v>34</v>
      </c>
      <c r="C41" s="5">
        <v>912114</v>
      </c>
      <c r="D41" s="5">
        <v>560126</v>
      </c>
      <c r="E41" s="3">
        <f t="shared" si="0"/>
        <v>345458</v>
      </c>
      <c r="F41" s="5">
        <v>905584</v>
      </c>
      <c r="G41" s="4">
        <f t="shared" si="1"/>
        <v>0.99284080717980427</v>
      </c>
      <c r="H41" s="5">
        <v>920596</v>
      </c>
      <c r="I41" s="5">
        <v>552307</v>
      </c>
      <c r="J41" s="3">
        <f t="shared" si="32"/>
        <v>358291</v>
      </c>
      <c r="K41" s="5">
        <v>910598</v>
      </c>
      <c r="L41" s="4">
        <f t="shared" si="33"/>
        <v>0.989139644317377</v>
      </c>
      <c r="M41" s="5">
        <v>1028922</v>
      </c>
      <c r="N41" s="5">
        <v>622107</v>
      </c>
      <c r="O41" s="3">
        <f t="shared" si="34"/>
        <v>396239</v>
      </c>
      <c r="P41" s="5">
        <v>1018346</v>
      </c>
      <c r="Q41" s="4">
        <f t="shared" si="35"/>
        <v>0.98972128110780022</v>
      </c>
      <c r="R41" s="5">
        <v>924082</v>
      </c>
      <c r="S41" s="5">
        <v>554520</v>
      </c>
      <c r="T41" s="3">
        <f t="shared" si="36"/>
        <v>360554</v>
      </c>
      <c r="U41" s="5">
        <v>915074</v>
      </c>
      <c r="V41" s="4">
        <f t="shared" si="37"/>
        <v>0.99025194733800681</v>
      </c>
      <c r="W41" s="5">
        <v>929406</v>
      </c>
      <c r="X41" s="5">
        <v>562804</v>
      </c>
      <c r="Y41" s="3">
        <f t="shared" si="38"/>
        <v>356227</v>
      </c>
      <c r="Z41" s="5">
        <v>919031</v>
      </c>
      <c r="AA41" s="4">
        <f t="shared" si="39"/>
        <v>0.98883695607732247</v>
      </c>
      <c r="AB41" s="5">
        <v>1036539</v>
      </c>
      <c r="AC41" s="5">
        <v>630816</v>
      </c>
      <c r="AD41" s="3">
        <f t="shared" si="40"/>
        <v>396662</v>
      </c>
      <c r="AE41" s="5">
        <v>1027478</v>
      </c>
      <c r="AF41" s="4">
        <f t="shared" si="41"/>
        <v>0.99125840899377637</v>
      </c>
      <c r="AG41" s="5">
        <v>935526</v>
      </c>
      <c r="AH41" s="13">
        <v>576632</v>
      </c>
      <c r="AI41" s="3">
        <f t="shared" si="42"/>
        <v>348985</v>
      </c>
      <c r="AJ41" s="5">
        <v>925617</v>
      </c>
      <c r="AK41" s="4">
        <f t="shared" si="43"/>
        <v>0.98940809769049709</v>
      </c>
      <c r="AL41" s="5">
        <v>940174</v>
      </c>
      <c r="AM41" s="13">
        <v>566402</v>
      </c>
      <c r="AN41" s="3">
        <f t="shared" si="44"/>
        <v>363781</v>
      </c>
      <c r="AO41" s="5">
        <v>930183</v>
      </c>
      <c r="AP41" s="4">
        <f t="shared" si="45"/>
        <v>0.98937324367617063</v>
      </c>
      <c r="AQ41" s="5">
        <v>1046219</v>
      </c>
      <c r="AR41" s="13">
        <v>652887</v>
      </c>
      <c r="AS41" s="3">
        <f t="shared" si="46"/>
        <v>386102</v>
      </c>
      <c r="AT41" s="5">
        <v>1038989</v>
      </c>
      <c r="AU41" s="4">
        <f t="shared" si="47"/>
        <v>0.9930894009762774</v>
      </c>
      <c r="AV41" s="5">
        <v>945246</v>
      </c>
      <c r="AW41" s="13">
        <v>579439</v>
      </c>
      <c r="AX41" s="3">
        <f t="shared" si="48"/>
        <v>357540</v>
      </c>
      <c r="AY41" s="5">
        <v>936979</v>
      </c>
      <c r="AZ41" s="4">
        <f t="shared" si="49"/>
        <v>0.9912541285548947</v>
      </c>
      <c r="BA41" s="5">
        <v>950318</v>
      </c>
      <c r="BB41" s="13">
        <v>585875</v>
      </c>
      <c r="BC41" s="3">
        <f t="shared" si="50"/>
        <v>355049</v>
      </c>
      <c r="BD41" s="5">
        <v>940924</v>
      </c>
      <c r="BE41" s="4">
        <f t="shared" si="51"/>
        <v>0.99011488785859048</v>
      </c>
      <c r="BF41" s="5">
        <v>1056723</v>
      </c>
      <c r="BG41" s="13">
        <v>627240</v>
      </c>
      <c r="BH41" s="3">
        <f t="shared" si="52"/>
        <v>422055</v>
      </c>
      <c r="BI41" s="5">
        <v>1049295</v>
      </c>
      <c r="BJ41" s="4">
        <f t="shared" si="53"/>
        <v>0.99297072175016532</v>
      </c>
    </row>
    <row r="42" spans="1:62" x14ac:dyDescent="0.3">
      <c r="A42" s="11">
        <v>34</v>
      </c>
      <c r="B42" s="2" t="s">
        <v>35</v>
      </c>
      <c r="C42" s="5">
        <v>18445</v>
      </c>
      <c r="D42" s="5">
        <v>10051</v>
      </c>
      <c r="E42" s="3">
        <f t="shared" si="0"/>
        <v>8187</v>
      </c>
      <c r="F42" s="5">
        <v>18238</v>
      </c>
      <c r="G42" s="4">
        <f t="shared" si="1"/>
        <v>0.98877744646245591</v>
      </c>
      <c r="H42" s="5">
        <v>18615</v>
      </c>
      <c r="I42" s="5">
        <v>9731</v>
      </c>
      <c r="J42" s="3">
        <f t="shared" si="32"/>
        <v>8629</v>
      </c>
      <c r="K42" s="5">
        <v>18360</v>
      </c>
      <c r="L42" s="4">
        <f t="shared" si="33"/>
        <v>0.98630136986301364</v>
      </c>
      <c r="M42" s="5">
        <v>20702</v>
      </c>
      <c r="N42" s="5">
        <v>11077</v>
      </c>
      <c r="O42" s="3">
        <f t="shared" si="34"/>
        <v>9322</v>
      </c>
      <c r="P42" s="5">
        <v>20399</v>
      </c>
      <c r="Q42" s="4">
        <f t="shared" si="35"/>
        <v>0.98536373297265967</v>
      </c>
      <c r="R42" s="5">
        <v>18543</v>
      </c>
      <c r="S42" s="5">
        <v>9859</v>
      </c>
      <c r="T42" s="3">
        <f t="shared" si="36"/>
        <v>8479</v>
      </c>
      <c r="U42" s="5">
        <v>18338</v>
      </c>
      <c r="V42" s="4">
        <f t="shared" si="37"/>
        <v>0.98894461521868093</v>
      </c>
      <c r="W42" s="5">
        <v>18720</v>
      </c>
      <c r="X42" s="5">
        <v>9972</v>
      </c>
      <c r="Y42" s="3">
        <f t="shared" si="38"/>
        <v>8429</v>
      </c>
      <c r="Z42" s="5">
        <v>18401</v>
      </c>
      <c r="AA42" s="4">
        <f t="shared" si="39"/>
        <v>0.98295940170940166</v>
      </c>
      <c r="AB42" s="5">
        <v>20718</v>
      </c>
      <c r="AC42" s="5">
        <v>11198</v>
      </c>
      <c r="AD42" s="3">
        <f t="shared" si="40"/>
        <v>9148</v>
      </c>
      <c r="AE42" s="5">
        <v>20346</v>
      </c>
      <c r="AF42" s="4">
        <f t="shared" si="41"/>
        <v>0.98204459889950768</v>
      </c>
      <c r="AG42" s="5">
        <v>18665</v>
      </c>
      <c r="AH42" s="13">
        <v>10328</v>
      </c>
      <c r="AI42" s="3">
        <f t="shared" si="42"/>
        <v>8089</v>
      </c>
      <c r="AJ42" s="5">
        <v>18417</v>
      </c>
      <c r="AK42" s="4">
        <f t="shared" si="43"/>
        <v>0.98671309938387353</v>
      </c>
      <c r="AL42" s="5">
        <v>18792</v>
      </c>
      <c r="AM42" s="13">
        <v>10366</v>
      </c>
      <c r="AN42" s="3">
        <f t="shared" si="44"/>
        <v>8162</v>
      </c>
      <c r="AO42" s="5">
        <v>18528</v>
      </c>
      <c r="AP42" s="4">
        <f t="shared" si="45"/>
        <v>0.98595146871008943</v>
      </c>
      <c r="AQ42" s="5">
        <v>20796</v>
      </c>
      <c r="AR42" s="13">
        <v>11751</v>
      </c>
      <c r="AS42" s="3">
        <f t="shared" si="46"/>
        <v>8830</v>
      </c>
      <c r="AT42" s="5">
        <v>20581</v>
      </c>
      <c r="AU42" s="4">
        <f t="shared" si="47"/>
        <v>0.98966147336026156</v>
      </c>
      <c r="AV42" s="5">
        <v>18829</v>
      </c>
      <c r="AW42" s="13">
        <v>10333</v>
      </c>
      <c r="AX42" s="3">
        <f t="shared" si="48"/>
        <v>8274</v>
      </c>
      <c r="AY42" s="5">
        <v>18607</v>
      </c>
      <c r="AZ42" s="4">
        <f t="shared" si="49"/>
        <v>0.98820967656274894</v>
      </c>
      <c r="BA42" s="5">
        <v>18938</v>
      </c>
      <c r="BB42" s="13">
        <v>10404</v>
      </c>
      <c r="BC42" s="3">
        <f t="shared" si="50"/>
        <v>8318</v>
      </c>
      <c r="BD42" s="5">
        <v>18722</v>
      </c>
      <c r="BE42" s="4">
        <f t="shared" si="51"/>
        <v>0.9885943605449361</v>
      </c>
      <c r="BF42" s="5">
        <v>21042</v>
      </c>
      <c r="BG42" s="13">
        <v>11166</v>
      </c>
      <c r="BH42" s="3">
        <f t="shared" si="52"/>
        <v>9647</v>
      </c>
      <c r="BI42" s="5">
        <v>20813</v>
      </c>
      <c r="BJ42" s="4">
        <f t="shared" si="53"/>
        <v>0.98911700408706393</v>
      </c>
    </row>
    <row r="43" spans="1:62" x14ac:dyDescent="0.3">
      <c r="A43" s="11">
        <v>35</v>
      </c>
      <c r="B43" s="2" t="s">
        <v>46</v>
      </c>
      <c r="C43" s="5">
        <v>3455</v>
      </c>
      <c r="D43" s="5">
        <v>1579</v>
      </c>
      <c r="E43" s="3">
        <f t="shared" si="0"/>
        <v>1879</v>
      </c>
      <c r="F43" s="5">
        <v>3458</v>
      </c>
      <c r="G43" s="4">
        <f t="shared" si="1"/>
        <v>1.0008683068017366</v>
      </c>
      <c r="H43" s="5">
        <v>3541</v>
      </c>
      <c r="I43" s="5">
        <v>1531</v>
      </c>
      <c r="J43" s="3">
        <f t="shared" si="32"/>
        <v>1947</v>
      </c>
      <c r="K43" s="5">
        <v>3478</v>
      </c>
      <c r="L43" s="4">
        <f t="shared" si="33"/>
        <v>0.98220841570177919</v>
      </c>
      <c r="M43" s="5">
        <v>4395</v>
      </c>
      <c r="N43" s="5">
        <v>1896</v>
      </c>
      <c r="O43" s="3">
        <f t="shared" si="34"/>
        <v>2459</v>
      </c>
      <c r="P43" s="5">
        <v>4355</v>
      </c>
      <c r="Q43" s="4">
        <f t="shared" si="35"/>
        <v>0.99089874857792948</v>
      </c>
      <c r="R43" s="5">
        <v>3498</v>
      </c>
      <c r="S43" s="5">
        <v>1533</v>
      </c>
      <c r="T43" s="3">
        <f t="shared" si="36"/>
        <v>1961</v>
      </c>
      <c r="U43" s="5">
        <v>3494</v>
      </c>
      <c r="V43" s="4">
        <f t="shared" si="37"/>
        <v>0.99885648942252714</v>
      </c>
      <c r="W43" s="5">
        <v>3551</v>
      </c>
      <c r="X43" s="5">
        <v>1496</v>
      </c>
      <c r="Y43" s="3">
        <f t="shared" si="38"/>
        <v>2025</v>
      </c>
      <c r="Z43" s="5">
        <v>3521</v>
      </c>
      <c r="AA43" s="4">
        <f t="shared" si="39"/>
        <v>0.99155167558434243</v>
      </c>
      <c r="AB43" s="5">
        <v>4429</v>
      </c>
      <c r="AC43" s="5">
        <v>1985</v>
      </c>
      <c r="AD43" s="3">
        <f t="shared" si="40"/>
        <v>2407</v>
      </c>
      <c r="AE43" s="5">
        <v>4392</v>
      </c>
      <c r="AF43" s="4">
        <f t="shared" si="41"/>
        <v>0.99164596974486341</v>
      </c>
      <c r="AG43" s="5">
        <v>3560</v>
      </c>
      <c r="AH43" s="13">
        <v>1615</v>
      </c>
      <c r="AI43" s="3">
        <f t="shared" si="42"/>
        <v>1932</v>
      </c>
      <c r="AJ43" s="5">
        <v>3547</v>
      </c>
      <c r="AK43" s="4">
        <f t="shared" si="43"/>
        <v>0.99634831460674156</v>
      </c>
      <c r="AL43" s="5">
        <v>3588</v>
      </c>
      <c r="AM43" s="13">
        <v>1616</v>
      </c>
      <c r="AN43" s="3">
        <f t="shared" si="44"/>
        <v>1966</v>
      </c>
      <c r="AO43" s="5">
        <v>3582</v>
      </c>
      <c r="AP43" s="4">
        <f t="shared" si="45"/>
        <v>0.99832775919732442</v>
      </c>
      <c r="AQ43" s="5">
        <v>4449</v>
      </c>
      <c r="AR43" s="13">
        <v>2052</v>
      </c>
      <c r="AS43" s="3">
        <f t="shared" si="46"/>
        <v>2419</v>
      </c>
      <c r="AT43" s="5">
        <v>4471</v>
      </c>
      <c r="AU43" s="4">
        <f t="shared" si="47"/>
        <v>1.0049449314452685</v>
      </c>
      <c r="AV43" s="5">
        <v>3616</v>
      </c>
      <c r="AW43" s="13">
        <v>1590</v>
      </c>
      <c r="AX43" s="3">
        <f t="shared" si="48"/>
        <v>2043</v>
      </c>
      <c r="AY43" s="5">
        <v>3633</v>
      </c>
      <c r="AZ43" s="4">
        <f t="shared" si="49"/>
        <v>1.0047013274336283</v>
      </c>
      <c r="BA43" s="5">
        <v>3655</v>
      </c>
      <c r="BB43" s="13">
        <v>1641</v>
      </c>
      <c r="BC43" s="3">
        <f t="shared" si="50"/>
        <v>2015</v>
      </c>
      <c r="BD43" s="5">
        <v>3656</v>
      </c>
      <c r="BE43" s="4">
        <f t="shared" si="51"/>
        <v>1.0002735978112176</v>
      </c>
      <c r="BF43" s="5">
        <v>4544</v>
      </c>
      <c r="BG43" s="13">
        <v>1774</v>
      </c>
      <c r="BH43" s="3">
        <f t="shared" si="52"/>
        <v>2778</v>
      </c>
      <c r="BI43" s="5">
        <v>4552</v>
      </c>
      <c r="BJ43" s="4">
        <f t="shared" si="53"/>
        <v>1.0017605633802817</v>
      </c>
    </row>
    <row r="44" spans="1:62" x14ac:dyDescent="0.3">
      <c r="A44" s="11">
        <v>36</v>
      </c>
      <c r="B44" s="2" t="s">
        <v>36</v>
      </c>
      <c r="C44" s="5">
        <v>336228</v>
      </c>
      <c r="D44" s="5">
        <v>169568</v>
      </c>
      <c r="E44" s="3">
        <f t="shared" si="0"/>
        <v>164132</v>
      </c>
      <c r="F44" s="5">
        <v>333700</v>
      </c>
      <c r="G44" s="4">
        <f t="shared" si="1"/>
        <v>0.99248129245630945</v>
      </c>
      <c r="H44" s="5">
        <v>340996</v>
      </c>
      <c r="I44" s="5">
        <v>168281</v>
      </c>
      <c r="J44" s="3">
        <f t="shared" si="32"/>
        <v>169341</v>
      </c>
      <c r="K44" s="5">
        <v>337622</v>
      </c>
      <c r="L44" s="4">
        <f t="shared" si="33"/>
        <v>0.99010545578247255</v>
      </c>
      <c r="M44" s="5">
        <v>408512</v>
      </c>
      <c r="N44" s="5">
        <v>204496</v>
      </c>
      <c r="O44" s="3">
        <f t="shared" si="34"/>
        <v>200403</v>
      </c>
      <c r="P44" s="5">
        <v>404899</v>
      </c>
      <c r="Q44" s="4">
        <f t="shared" si="35"/>
        <v>0.9911557065643114</v>
      </c>
      <c r="R44" s="5">
        <v>342556</v>
      </c>
      <c r="S44" s="5">
        <v>172031</v>
      </c>
      <c r="T44" s="3">
        <f t="shared" si="36"/>
        <v>167630</v>
      </c>
      <c r="U44" s="5">
        <v>339661</v>
      </c>
      <c r="V44" s="4">
        <f t="shared" si="37"/>
        <v>0.99154882705309499</v>
      </c>
      <c r="W44" s="5">
        <v>347597</v>
      </c>
      <c r="X44" s="5">
        <v>174724</v>
      </c>
      <c r="Y44" s="3">
        <f t="shared" si="38"/>
        <v>168818</v>
      </c>
      <c r="Z44" s="5">
        <v>343542</v>
      </c>
      <c r="AA44" s="4">
        <f t="shared" si="39"/>
        <v>0.98833419160694713</v>
      </c>
      <c r="AB44" s="5">
        <v>416340</v>
      </c>
      <c r="AC44" s="5">
        <v>210025</v>
      </c>
      <c r="AD44" s="3">
        <f t="shared" si="40"/>
        <v>203200</v>
      </c>
      <c r="AE44" s="5">
        <v>413225</v>
      </c>
      <c r="AF44" s="4">
        <f t="shared" si="41"/>
        <v>0.99251813421722634</v>
      </c>
      <c r="AG44" s="5">
        <v>350469</v>
      </c>
      <c r="AH44" s="13">
        <v>181425</v>
      </c>
      <c r="AI44" s="3">
        <f t="shared" si="42"/>
        <v>166216</v>
      </c>
      <c r="AJ44" s="5">
        <v>347641</v>
      </c>
      <c r="AK44" s="4">
        <f t="shared" si="43"/>
        <v>0.99193081271096728</v>
      </c>
      <c r="AL44" s="5">
        <v>355186</v>
      </c>
      <c r="AM44" s="13">
        <v>181733</v>
      </c>
      <c r="AN44" s="3">
        <f t="shared" si="44"/>
        <v>169387</v>
      </c>
      <c r="AO44" s="5">
        <v>351120</v>
      </c>
      <c r="AP44" s="4">
        <f t="shared" si="45"/>
        <v>0.98855247673050173</v>
      </c>
      <c r="AQ44" s="5">
        <v>424208</v>
      </c>
      <c r="AR44" s="13">
        <v>223587</v>
      </c>
      <c r="AS44" s="3">
        <f t="shared" si="46"/>
        <v>198304</v>
      </c>
      <c r="AT44" s="5">
        <v>421891</v>
      </c>
      <c r="AU44" s="4">
        <f t="shared" si="47"/>
        <v>0.99453805680232343</v>
      </c>
      <c r="AV44" s="5">
        <v>358114</v>
      </c>
      <c r="AW44" s="13">
        <v>187561</v>
      </c>
      <c r="AX44" s="3">
        <f t="shared" si="48"/>
        <v>167164</v>
      </c>
      <c r="AY44" s="5">
        <v>354725</v>
      </c>
      <c r="AZ44" s="4">
        <f t="shared" si="49"/>
        <v>0.99053653305930511</v>
      </c>
      <c r="BA44" s="5">
        <v>361984</v>
      </c>
      <c r="BB44" s="13">
        <v>186951</v>
      </c>
      <c r="BC44" s="3">
        <f t="shared" si="50"/>
        <v>170876</v>
      </c>
      <c r="BD44" s="5">
        <v>357827</v>
      </c>
      <c r="BE44" s="4">
        <f t="shared" si="51"/>
        <v>0.9885160670084866</v>
      </c>
      <c r="BF44" s="5">
        <v>432310</v>
      </c>
      <c r="BG44" s="13">
        <v>202596</v>
      </c>
      <c r="BH44" s="3">
        <f t="shared" si="52"/>
        <v>225489</v>
      </c>
      <c r="BI44" s="5">
        <v>428085</v>
      </c>
      <c r="BJ44" s="4">
        <f t="shared" si="53"/>
        <v>0.99022692049686567</v>
      </c>
    </row>
    <row r="45" spans="1:62" x14ac:dyDescent="0.3">
      <c r="A45" s="11">
        <v>37</v>
      </c>
      <c r="B45" s="2" t="s">
        <v>37</v>
      </c>
      <c r="C45" s="5">
        <v>255558</v>
      </c>
      <c r="D45" s="5">
        <v>135113</v>
      </c>
      <c r="E45" s="3">
        <f t="shared" si="0"/>
        <v>116371</v>
      </c>
      <c r="F45" s="5">
        <v>251484</v>
      </c>
      <c r="G45" s="4">
        <f t="shared" si="1"/>
        <v>0.98405841335430699</v>
      </c>
      <c r="H45" s="5">
        <v>257610</v>
      </c>
      <c r="I45" s="5">
        <v>134183</v>
      </c>
      <c r="J45" s="3">
        <f t="shared" si="32"/>
        <v>119226</v>
      </c>
      <c r="K45" s="5">
        <v>253409</v>
      </c>
      <c r="L45" s="4">
        <f t="shared" si="33"/>
        <v>0.98369240324521567</v>
      </c>
      <c r="M45" s="5">
        <v>310366</v>
      </c>
      <c r="N45" s="5">
        <v>161234</v>
      </c>
      <c r="O45" s="3">
        <f t="shared" si="34"/>
        <v>144185</v>
      </c>
      <c r="P45" s="5">
        <v>305419</v>
      </c>
      <c r="Q45" s="4">
        <f t="shared" si="35"/>
        <v>0.98406075407744409</v>
      </c>
      <c r="R45" s="5">
        <v>257356</v>
      </c>
      <c r="S45" s="5">
        <v>135142</v>
      </c>
      <c r="T45" s="3">
        <f t="shared" si="36"/>
        <v>118794</v>
      </c>
      <c r="U45" s="5">
        <v>253936</v>
      </c>
      <c r="V45" s="4">
        <f t="shared" si="37"/>
        <v>0.98671101509193493</v>
      </c>
      <c r="W45" s="5">
        <v>260553</v>
      </c>
      <c r="X45" s="5">
        <v>134901</v>
      </c>
      <c r="Y45" s="3">
        <f t="shared" si="38"/>
        <v>120999</v>
      </c>
      <c r="Z45" s="5">
        <v>255900</v>
      </c>
      <c r="AA45" s="4">
        <f t="shared" si="39"/>
        <v>0.98214182910962455</v>
      </c>
      <c r="AB45" s="5">
        <v>313911</v>
      </c>
      <c r="AC45" s="5">
        <v>160994</v>
      </c>
      <c r="AD45" s="3">
        <f t="shared" si="40"/>
        <v>148050</v>
      </c>
      <c r="AE45" s="5">
        <v>309044</v>
      </c>
      <c r="AF45" s="4">
        <f t="shared" si="41"/>
        <v>0.98449560544230685</v>
      </c>
      <c r="AG45" s="5">
        <v>261210</v>
      </c>
      <c r="AH45" s="13">
        <v>140924</v>
      </c>
      <c r="AI45" s="3">
        <f t="shared" si="42"/>
        <v>116305</v>
      </c>
      <c r="AJ45" s="5">
        <v>257229</v>
      </c>
      <c r="AK45" s="4">
        <f t="shared" si="43"/>
        <v>0.98475938899735849</v>
      </c>
      <c r="AL45" s="5">
        <v>264020</v>
      </c>
      <c r="AM45" s="13">
        <v>138694</v>
      </c>
      <c r="AN45" s="3">
        <f t="shared" si="44"/>
        <v>120931</v>
      </c>
      <c r="AO45" s="5">
        <v>259625</v>
      </c>
      <c r="AP45" s="4">
        <f t="shared" si="45"/>
        <v>0.98335353382319524</v>
      </c>
      <c r="AQ45" s="5">
        <v>317407</v>
      </c>
      <c r="AR45" s="13">
        <v>168538</v>
      </c>
      <c r="AS45" s="3">
        <f t="shared" si="46"/>
        <v>143520</v>
      </c>
      <c r="AT45" s="5">
        <v>312058</v>
      </c>
      <c r="AU45" s="4">
        <f t="shared" si="47"/>
        <v>0.98314781967631459</v>
      </c>
      <c r="AV45" s="5">
        <v>263886</v>
      </c>
      <c r="AW45" s="13">
        <v>141302</v>
      </c>
      <c r="AX45" s="3">
        <f t="shared" si="48"/>
        <v>118328</v>
      </c>
      <c r="AY45" s="5">
        <v>259630</v>
      </c>
      <c r="AZ45" s="4">
        <f t="shared" si="49"/>
        <v>0.98387182343890922</v>
      </c>
      <c r="BA45" s="5">
        <v>265781</v>
      </c>
      <c r="BB45" s="13">
        <v>140546</v>
      </c>
      <c r="BC45" s="3">
        <f t="shared" si="50"/>
        <v>120912</v>
      </c>
      <c r="BD45" s="5">
        <v>261458</v>
      </c>
      <c r="BE45" s="4">
        <f t="shared" si="51"/>
        <v>0.98373472896858694</v>
      </c>
      <c r="BF45" s="5">
        <v>319799</v>
      </c>
      <c r="BG45" s="13">
        <v>150065</v>
      </c>
      <c r="BH45" s="3">
        <f t="shared" si="52"/>
        <v>165124</v>
      </c>
      <c r="BI45" s="5">
        <v>315189</v>
      </c>
      <c r="BJ45" s="4">
        <f t="shared" si="53"/>
        <v>0.98558469538678983</v>
      </c>
    </row>
    <row r="46" spans="1:62" x14ac:dyDescent="0.3">
      <c r="A46" s="11">
        <v>38</v>
      </c>
      <c r="B46" s="2" t="s">
        <v>38</v>
      </c>
      <c r="C46" s="5">
        <v>2214</v>
      </c>
      <c r="D46" s="5">
        <v>725</v>
      </c>
      <c r="E46" s="3">
        <f t="shared" si="0"/>
        <v>1645</v>
      </c>
      <c r="F46" s="5">
        <v>2370</v>
      </c>
      <c r="G46" s="4">
        <f t="shared" si="1"/>
        <v>1.070460704607046</v>
      </c>
      <c r="H46" s="5">
        <v>2377</v>
      </c>
      <c r="I46" s="5">
        <v>888</v>
      </c>
      <c r="J46" s="3">
        <f t="shared" si="32"/>
        <v>1622</v>
      </c>
      <c r="K46" s="5">
        <v>2510</v>
      </c>
      <c r="L46" s="4">
        <f t="shared" si="33"/>
        <v>1.0559528817837611</v>
      </c>
      <c r="M46" s="5">
        <v>6689</v>
      </c>
      <c r="N46" s="5">
        <v>2471</v>
      </c>
      <c r="O46" s="3">
        <f t="shared" si="34"/>
        <v>4408</v>
      </c>
      <c r="P46" s="5">
        <v>6879</v>
      </c>
      <c r="Q46" s="4">
        <f t="shared" si="35"/>
        <v>1.0284048437733593</v>
      </c>
      <c r="R46" s="5">
        <v>2186</v>
      </c>
      <c r="S46" s="5">
        <v>814</v>
      </c>
      <c r="T46" s="3">
        <f t="shared" si="36"/>
        <v>1524</v>
      </c>
      <c r="U46" s="5">
        <v>2338</v>
      </c>
      <c r="V46" s="4">
        <f t="shared" si="37"/>
        <v>1.0695333943275389</v>
      </c>
      <c r="W46" s="5">
        <v>2396</v>
      </c>
      <c r="X46" s="5">
        <v>864</v>
      </c>
      <c r="Y46" s="3">
        <f t="shared" si="38"/>
        <v>1582</v>
      </c>
      <c r="Z46" s="5">
        <v>2446</v>
      </c>
      <c r="AA46" s="4">
        <f t="shared" si="39"/>
        <v>1.0208681135225375</v>
      </c>
      <c r="AB46" s="5">
        <v>6920</v>
      </c>
      <c r="AC46" s="5">
        <v>2554</v>
      </c>
      <c r="AD46" s="3">
        <f t="shared" si="40"/>
        <v>4611</v>
      </c>
      <c r="AE46" s="5">
        <v>7165</v>
      </c>
      <c r="AF46" s="4">
        <f t="shared" si="41"/>
        <v>1.0354046242774566</v>
      </c>
      <c r="AG46" s="5">
        <v>2260</v>
      </c>
      <c r="AH46" s="13">
        <v>869</v>
      </c>
      <c r="AI46" s="3">
        <f t="shared" si="42"/>
        <v>1491</v>
      </c>
      <c r="AJ46" s="5">
        <v>2360</v>
      </c>
      <c r="AK46" s="4">
        <f t="shared" si="43"/>
        <v>1.0442477876106195</v>
      </c>
      <c r="AL46" s="5">
        <v>2436</v>
      </c>
      <c r="AM46" s="13">
        <v>969</v>
      </c>
      <c r="AN46" s="3">
        <f t="shared" si="44"/>
        <v>1482</v>
      </c>
      <c r="AO46" s="5">
        <v>2451</v>
      </c>
      <c r="AP46" s="4">
        <f t="shared" si="45"/>
        <v>1.0061576354679802</v>
      </c>
      <c r="AQ46" s="5">
        <v>7143</v>
      </c>
      <c r="AR46" s="13">
        <v>3070</v>
      </c>
      <c r="AS46" s="3">
        <f t="shared" si="46"/>
        <v>4297</v>
      </c>
      <c r="AT46" s="5">
        <v>7367</v>
      </c>
      <c r="AU46" s="4">
        <f t="shared" si="47"/>
        <v>1.0313593728125436</v>
      </c>
      <c r="AV46" s="5">
        <v>2225</v>
      </c>
      <c r="AW46" s="13">
        <v>903</v>
      </c>
      <c r="AX46" s="3">
        <f t="shared" si="48"/>
        <v>1455</v>
      </c>
      <c r="AY46" s="5">
        <v>2358</v>
      </c>
      <c r="AZ46" s="4">
        <f t="shared" si="49"/>
        <v>1.0597752808988765</v>
      </c>
      <c r="BA46" s="5">
        <v>2388</v>
      </c>
      <c r="BB46" s="13">
        <v>1000</v>
      </c>
      <c r="BC46" s="3">
        <f t="shared" si="50"/>
        <v>1421</v>
      </c>
      <c r="BD46" s="5">
        <v>2421</v>
      </c>
      <c r="BE46" s="4">
        <f t="shared" si="51"/>
        <v>1.0138190954773869</v>
      </c>
      <c r="BF46" s="5">
        <v>7407</v>
      </c>
      <c r="BG46" s="13">
        <v>2920</v>
      </c>
      <c r="BH46" s="3">
        <f t="shared" si="52"/>
        <v>4647</v>
      </c>
      <c r="BI46" s="5">
        <v>7567</v>
      </c>
      <c r="BJ46" s="4">
        <f t="shared" si="53"/>
        <v>1.0216011880653435</v>
      </c>
    </row>
    <row r="47" spans="1:62" x14ac:dyDescent="0.3">
      <c r="A47" s="11">
        <v>97</v>
      </c>
      <c r="B47" s="2" t="s">
        <v>39</v>
      </c>
      <c r="C47" s="5">
        <v>84</v>
      </c>
      <c r="D47" s="5">
        <v>62</v>
      </c>
      <c r="E47" s="3">
        <f t="shared" si="0"/>
        <v>6</v>
      </c>
      <c r="F47" s="5">
        <v>68</v>
      </c>
      <c r="G47" s="4">
        <f t="shared" si="1"/>
        <v>0.80952380952380953</v>
      </c>
      <c r="H47" s="5">
        <v>81</v>
      </c>
      <c r="I47" s="5">
        <v>63</v>
      </c>
      <c r="J47" s="3">
        <f t="shared" si="32"/>
        <v>5</v>
      </c>
      <c r="K47" s="5">
        <v>68</v>
      </c>
      <c r="L47" s="4">
        <f t="shared" si="33"/>
        <v>0.83950617283950613</v>
      </c>
      <c r="M47" s="5">
        <v>86</v>
      </c>
      <c r="N47" s="5">
        <v>67</v>
      </c>
      <c r="O47" s="3">
        <f t="shared" si="34"/>
        <v>7</v>
      </c>
      <c r="P47" s="5">
        <v>74</v>
      </c>
      <c r="Q47" s="4">
        <f t="shared" si="35"/>
        <v>0.86046511627906974</v>
      </c>
      <c r="R47" s="5">
        <v>80</v>
      </c>
      <c r="S47" s="5">
        <v>62</v>
      </c>
      <c r="T47" s="3">
        <f t="shared" si="36"/>
        <v>5</v>
      </c>
      <c r="U47" s="5">
        <v>67</v>
      </c>
      <c r="V47" s="4">
        <f t="shared" si="37"/>
        <v>0.83750000000000002</v>
      </c>
      <c r="W47" s="5">
        <v>81</v>
      </c>
      <c r="X47" s="5">
        <v>62</v>
      </c>
      <c r="Y47" s="3">
        <f t="shared" si="38"/>
        <v>5</v>
      </c>
      <c r="Z47" s="5">
        <v>67</v>
      </c>
      <c r="AA47" s="4">
        <f t="shared" si="39"/>
        <v>0.8271604938271605</v>
      </c>
      <c r="AB47" s="5">
        <v>87</v>
      </c>
      <c r="AC47" s="5">
        <v>66</v>
      </c>
      <c r="AD47" s="3">
        <f t="shared" si="40"/>
        <v>7</v>
      </c>
      <c r="AE47" s="5">
        <v>73</v>
      </c>
      <c r="AF47" s="4">
        <f t="shared" si="41"/>
        <v>0.83908045977011492</v>
      </c>
      <c r="AG47" s="5">
        <v>81</v>
      </c>
      <c r="AH47" s="13">
        <v>63</v>
      </c>
      <c r="AI47" s="3">
        <f t="shared" si="42"/>
        <v>3</v>
      </c>
      <c r="AJ47" s="5">
        <v>66</v>
      </c>
      <c r="AK47" s="4">
        <f t="shared" si="43"/>
        <v>0.81481481481481477</v>
      </c>
      <c r="AL47" s="5">
        <v>81</v>
      </c>
      <c r="AM47" s="13">
        <v>62</v>
      </c>
      <c r="AN47" s="3">
        <f t="shared" si="44"/>
        <v>4</v>
      </c>
      <c r="AO47" s="5">
        <v>66</v>
      </c>
      <c r="AP47" s="4">
        <f t="shared" si="45"/>
        <v>0.81481481481481477</v>
      </c>
      <c r="AQ47" s="5">
        <v>87</v>
      </c>
      <c r="AR47" s="13">
        <v>66</v>
      </c>
      <c r="AS47" s="3">
        <f t="shared" si="46"/>
        <v>5</v>
      </c>
      <c r="AT47" s="5">
        <v>71</v>
      </c>
      <c r="AU47" s="4">
        <f t="shared" si="47"/>
        <v>0.81609195402298851</v>
      </c>
      <c r="AV47" s="5">
        <v>81</v>
      </c>
      <c r="AW47" s="13">
        <v>63</v>
      </c>
      <c r="AX47" s="3">
        <f t="shared" si="48"/>
        <v>3</v>
      </c>
      <c r="AY47" s="5">
        <v>66</v>
      </c>
      <c r="AZ47" s="4">
        <f t="shared" si="49"/>
        <v>0.81481481481481477</v>
      </c>
      <c r="BA47" s="5">
        <v>80</v>
      </c>
      <c r="BB47" s="13">
        <v>61</v>
      </c>
      <c r="BC47" s="3">
        <f t="shared" si="50"/>
        <v>4</v>
      </c>
      <c r="BD47" s="5">
        <v>65</v>
      </c>
      <c r="BE47" s="4">
        <f t="shared" si="51"/>
        <v>0.8125</v>
      </c>
      <c r="BF47" s="5">
        <v>85</v>
      </c>
      <c r="BG47" s="13">
        <v>63</v>
      </c>
      <c r="BH47" s="3">
        <f t="shared" si="52"/>
        <v>6</v>
      </c>
      <c r="BI47" s="5">
        <v>69</v>
      </c>
      <c r="BJ47" s="4">
        <f t="shared" si="53"/>
        <v>0.81176470588235294</v>
      </c>
    </row>
    <row r="48" spans="1:62" ht="15.6" x14ac:dyDescent="0.3">
      <c r="A48" s="14" t="s">
        <v>40</v>
      </c>
      <c r="B48" s="14"/>
      <c r="C48" s="7">
        <f>SUM(C10:C47)</f>
        <v>7712416</v>
      </c>
      <c r="D48" s="7">
        <f>SUM(D10:D47)</f>
        <v>4658929</v>
      </c>
      <c r="E48" s="8">
        <f>F48-D48</f>
        <v>3007877</v>
      </c>
      <c r="F48" s="7">
        <f>SUM(F10:F47)</f>
        <v>7666806</v>
      </c>
      <c r="G48" s="6">
        <f>F48/C48</f>
        <v>0.9940861592528204</v>
      </c>
      <c r="H48" s="7">
        <f>SUM(H10:H47)</f>
        <v>7867344</v>
      </c>
      <c r="I48" s="7">
        <f>SUM(I10:I47)</f>
        <v>4706855</v>
      </c>
      <c r="J48" s="8">
        <f>K48-I48</f>
        <v>3058532</v>
      </c>
      <c r="K48" s="7">
        <f>SUM(K10:K47)</f>
        <v>7765387</v>
      </c>
      <c r="L48" s="6">
        <f>K48/H48</f>
        <v>0.98704048024339597</v>
      </c>
      <c r="M48" s="7">
        <f>SUM(M10:M47)</f>
        <v>12152252</v>
      </c>
      <c r="N48" s="7">
        <f>SUM(N10:N47)</f>
        <v>7122664</v>
      </c>
      <c r="O48" s="8">
        <f>P48-N48</f>
        <v>4954825</v>
      </c>
      <c r="P48" s="7">
        <f>SUM(P10:P47)</f>
        <v>12077489</v>
      </c>
      <c r="Q48" s="6">
        <f>P48/M48</f>
        <v>0.99384780697437813</v>
      </c>
      <c r="R48" s="7">
        <f>SUM(R10:R47)</f>
        <v>7805893</v>
      </c>
      <c r="S48" s="7">
        <f>SUM(S10:S47)</f>
        <v>4711364</v>
      </c>
      <c r="T48" s="8">
        <f>U48-S48</f>
        <v>3023485</v>
      </c>
      <c r="U48" s="7">
        <f>SUM(U10:U47)</f>
        <v>7734849</v>
      </c>
      <c r="V48" s="6">
        <f>U48/R48</f>
        <v>0.99089867104250595</v>
      </c>
      <c r="W48" s="7">
        <f>SUM(W10:W47)</f>
        <v>7947831</v>
      </c>
      <c r="X48" s="7">
        <f>SUM(X10:X47)</f>
        <v>4763705</v>
      </c>
      <c r="Y48" s="8">
        <f>Z48-X48</f>
        <v>3062902</v>
      </c>
      <c r="Z48" s="7">
        <f>SUM(Z10:Z47)</f>
        <v>7826607</v>
      </c>
      <c r="AA48" s="6">
        <f>Z48/W48</f>
        <v>0.98474753678078963</v>
      </c>
      <c r="AB48" s="7">
        <f>SUM(AB10:AB47)</f>
        <v>12284179</v>
      </c>
      <c r="AC48" s="7">
        <f>SUM(AC10:AC47)</f>
        <v>7258454</v>
      </c>
      <c r="AD48" s="8">
        <f>AE48-AC48</f>
        <v>4963035</v>
      </c>
      <c r="AE48" s="7">
        <f>SUM(AE10:AE47)</f>
        <v>12221489</v>
      </c>
      <c r="AF48" s="6">
        <f>AE48/AB48</f>
        <v>0.99489668784539853</v>
      </c>
      <c r="AG48" s="7">
        <f>SUM(AG10:AG47)</f>
        <v>7934386</v>
      </c>
      <c r="AH48" s="7">
        <f>SUM(AH10:AH47)</f>
        <v>4892180</v>
      </c>
      <c r="AI48" s="8">
        <f>AJ48-AH48</f>
        <v>2974680</v>
      </c>
      <c r="AJ48" s="7">
        <f>SUM(AJ10:AJ47)</f>
        <v>7866860</v>
      </c>
      <c r="AK48" s="6">
        <f>AJ48/AG48</f>
        <v>0.99148944858493149</v>
      </c>
      <c r="AL48" s="7">
        <f>SUM(AL10:AL47)</f>
        <v>8078477</v>
      </c>
      <c r="AM48" s="7">
        <f>SUM(AM10:AM47)</f>
        <v>4911130</v>
      </c>
      <c r="AN48" s="8">
        <f>AO48-AM48</f>
        <v>3044779</v>
      </c>
      <c r="AO48" s="7">
        <f>SUM(AO10:AO47)</f>
        <v>7955909</v>
      </c>
      <c r="AP48" s="6">
        <f>AO48/AL48</f>
        <v>0.98482783326609702</v>
      </c>
      <c r="AQ48" s="7">
        <f>SUM(AQ10:AQ47)</f>
        <v>12445246</v>
      </c>
      <c r="AR48" s="7">
        <f>SUM(AR10:AR47)</f>
        <v>7537318</v>
      </c>
      <c r="AS48" s="8">
        <f>AT48-AR48</f>
        <v>4874598</v>
      </c>
      <c r="AT48" s="7">
        <f>SUM(AT10:AT47)</f>
        <v>12411916</v>
      </c>
      <c r="AU48" s="6">
        <f>AT48/AQ48</f>
        <v>0.99732186892890662</v>
      </c>
      <c r="AV48" s="7">
        <f>SUM(AV10:AV47)</f>
        <v>8061336</v>
      </c>
      <c r="AW48" s="7">
        <f>SUM(AW10:AW47)</f>
        <v>5006913</v>
      </c>
      <c r="AX48" s="8">
        <f>AY48-AW48</f>
        <v>2995768</v>
      </c>
      <c r="AY48" s="7">
        <f>SUM(AY10:AY47)</f>
        <v>8002681</v>
      </c>
      <c r="AZ48" s="6">
        <f>AY48/AV48</f>
        <v>0.9927239107760798</v>
      </c>
      <c r="BA48" s="7">
        <f>SUM(BA10:BA47)</f>
        <v>8202455</v>
      </c>
      <c r="BB48" s="7">
        <f>SUM(BB10:BB47)</f>
        <v>5066399</v>
      </c>
      <c r="BC48" s="8">
        <f>BD48-BB48</f>
        <v>3029567</v>
      </c>
      <c r="BD48" s="7">
        <f>SUM(BD10:BD47)</f>
        <v>8095966</v>
      </c>
      <c r="BE48" s="6">
        <f>BD48/BA48</f>
        <v>0.98701742344212795</v>
      </c>
      <c r="BF48" s="7">
        <f>SUM(BF10:BF47)</f>
        <v>12656060</v>
      </c>
      <c r="BG48" s="7">
        <f>SUM(BG10:BG47)</f>
        <v>7256595</v>
      </c>
      <c r="BH48" s="8">
        <f>BI48-BG48</f>
        <v>5327135</v>
      </c>
      <c r="BI48" s="7">
        <f>SUM(BI10:BI47)</f>
        <v>12583730</v>
      </c>
      <c r="BJ48" s="6">
        <f>BI48/BF48</f>
        <v>0.99428495124074945</v>
      </c>
    </row>
  </sheetData>
  <mergeCells count="18">
    <mergeCell ref="A1:E1"/>
    <mergeCell ref="AQ8:AU8"/>
    <mergeCell ref="AV8:AZ8"/>
    <mergeCell ref="BF8:BJ8"/>
    <mergeCell ref="R8:V8"/>
    <mergeCell ref="H8:L8"/>
    <mergeCell ref="M8:Q8"/>
    <mergeCell ref="W8:AA8"/>
    <mergeCell ref="AB8:AF8"/>
    <mergeCell ref="AG8:AK8"/>
    <mergeCell ref="AL8:AP8"/>
    <mergeCell ref="BA8:BE8"/>
    <mergeCell ref="A48:B48"/>
    <mergeCell ref="A3:B3"/>
    <mergeCell ref="A5:C5"/>
    <mergeCell ref="A8:A9"/>
    <mergeCell ref="B8:B9"/>
    <mergeCell ref="C8:G8"/>
  </mergeCells>
  <pageMargins left="0.7" right="0.7" top="0.75" bottom="0.75" header="0.3" footer="0.3"/>
  <pageSetup orientation="portrait" r:id="rId1"/>
  <ignoredErrors>
    <ignoredError sqref="A19:A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GSTR-1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Budhiraja</dc:creator>
  <cp:lastModifiedBy>Krishan Pal Singh</cp:lastModifiedBy>
  <dcterms:created xsi:type="dcterms:W3CDTF">2021-04-12T06:01:25Z</dcterms:created>
  <dcterms:modified xsi:type="dcterms:W3CDTF">2026-09-09T11:41:00Z</dcterms:modified>
</cp:coreProperties>
</file>