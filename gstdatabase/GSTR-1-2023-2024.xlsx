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D:\GSTN\Krishnan Sir\Monthly Report\Jun-26\GST Statistics Downloads 31st May 26\Downloads\GSTR 1\"/>
    </mc:Choice>
  </mc:AlternateContent>
  <xr:revisionPtr revIDLastSave="0" documentId="13_ncr:1_{0C89DBC7-3685-43A0-9ABD-C0B2688723EC}" xr6:coauthVersionLast="47" xr6:coauthVersionMax="47" xr10:uidLastSave="{00000000-0000-0000-0000-000000000000}"/>
  <bookViews>
    <workbookView xWindow="-108" yWindow="-108" windowWidth="23256" windowHeight="13896" xr2:uid="{00000000-000D-0000-FFFF-FFFF00000000}"/>
  </bookViews>
  <sheets>
    <sheet name="GSTR-1" sheetId="2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10" i="2" l="1"/>
  <c r="G11" i="2"/>
  <c r="G12" i="2"/>
  <c r="G13" i="2"/>
  <c r="G14" i="2"/>
  <c r="G15" i="2"/>
  <c r="G16" i="2"/>
  <c r="G17" i="2"/>
  <c r="G18" i="2"/>
  <c r="G19" i="2"/>
  <c r="G20" i="2"/>
  <c r="G21" i="2"/>
  <c r="G22" i="2"/>
  <c r="G23" i="2"/>
  <c r="G24" i="2"/>
  <c r="G25" i="2"/>
  <c r="G26" i="2"/>
  <c r="G27" i="2"/>
  <c r="G28" i="2"/>
  <c r="G29" i="2"/>
  <c r="G30" i="2"/>
  <c r="G31" i="2"/>
  <c r="G32" i="2"/>
  <c r="G33" i="2"/>
  <c r="G35" i="2"/>
  <c r="G36" i="2"/>
  <c r="G37" i="2"/>
  <c r="G38" i="2"/>
  <c r="G39" i="2"/>
  <c r="G40" i="2"/>
  <c r="G41" i="2"/>
  <c r="G42" i="2"/>
  <c r="G43" i="2"/>
  <c r="G44" i="2"/>
  <c r="G45" i="2"/>
  <c r="G46" i="2"/>
  <c r="G47" i="2"/>
  <c r="C48" i="2"/>
  <c r="P48" i="2"/>
  <c r="BD48" i="2"/>
  <c r="BB48" i="2"/>
  <c r="BA48" i="2"/>
  <c r="BE47" i="2"/>
  <c r="BC47" i="2"/>
  <c r="BE46" i="2"/>
  <c r="BC46" i="2"/>
  <c r="BE45" i="2"/>
  <c r="BC45" i="2"/>
  <c r="BE44" i="2"/>
  <c r="BC44" i="2"/>
  <c r="BE43" i="2"/>
  <c r="BC43" i="2"/>
  <c r="BE42" i="2"/>
  <c r="BC42" i="2"/>
  <c r="BE41" i="2"/>
  <c r="BC41" i="2"/>
  <c r="BE40" i="2"/>
  <c r="BC40" i="2"/>
  <c r="BE39" i="2"/>
  <c r="BC39" i="2"/>
  <c r="BE38" i="2"/>
  <c r="BC38" i="2"/>
  <c r="BE37" i="2"/>
  <c r="BC37" i="2"/>
  <c r="BE36" i="2"/>
  <c r="BC36" i="2"/>
  <c r="BE35" i="2"/>
  <c r="BC35" i="2"/>
  <c r="BE33" i="2"/>
  <c r="BC33" i="2"/>
  <c r="BE32" i="2"/>
  <c r="BC32" i="2"/>
  <c r="BE31" i="2"/>
  <c r="BC31" i="2"/>
  <c r="BE30" i="2"/>
  <c r="BC30" i="2"/>
  <c r="BE29" i="2"/>
  <c r="BC29" i="2"/>
  <c r="BE28" i="2"/>
  <c r="BC28" i="2"/>
  <c r="BE27" i="2"/>
  <c r="BC27" i="2"/>
  <c r="BE26" i="2"/>
  <c r="BC26" i="2"/>
  <c r="BE25" i="2"/>
  <c r="BC25" i="2"/>
  <c r="BE24" i="2"/>
  <c r="BC24" i="2"/>
  <c r="BE23" i="2"/>
  <c r="BC23" i="2"/>
  <c r="BE22" i="2"/>
  <c r="BC22" i="2"/>
  <c r="BE21" i="2"/>
  <c r="BC21" i="2"/>
  <c r="BE20" i="2"/>
  <c r="BC20" i="2"/>
  <c r="BE19" i="2"/>
  <c r="BC19" i="2"/>
  <c r="BE18" i="2"/>
  <c r="BC18" i="2"/>
  <c r="BE17" i="2"/>
  <c r="BC17" i="2"/>
  <c r="BE16" i="2"/>
  <c r="BC16" i="2"/>
  <c r="BE15" i="2"/>
  <c r="BC15" i="2"/>
  <c r="BE14" i="2"/>
  <c r="BC14" i="2"/>
  <c r="BE13" i="2"/>
  <c r="BC13" i="2"/>
  <c r="BE12" i="2"/>
  <c r="BC12" i="2"/>
  <c r="BE11" i="2"/>
  <c r="BC11" i="2"/>
  <c r="BE10" i="2"/>
  <c r="BC10" i="2"/>
  <c r="AY48" i="2"/>
  <c r="AW48" i="2"/>
  <c r="AV48" i="2"/>
  <c r="AZ47" i="2"/>
  <c r="AX47" i="2"/>
  <c r="AZ46" i="2"/>
  <c r="AX46" i="2"/>
  <c r="AZ45" i="2"/>
  <c r="AX45" i="2"/>
  <c r="AZ44" i="2"/>
  <c r="AX44" i="2"/>
  <c r="AZ43" i="2"/>
  <c r="AX43" i="2"/>
  <c r="AZ42" i="2"/>
  <c r="AX42" i="2"/>
  <c r="AZ41" i="2"/>
  <c r="AX41" i="2"/>
  <c r="AZ40" i="2"/>
  <c r="AX40" i="2"/>
  <c r="AZ39" i="2"/>
  <c r="AX39" i="2"/>
  <c r="AZ38" i="2"/>
  <c r="AX38" i="2"/>
  <c r="AZ37" i="2"/>
  <c r="AX37" i="2"/>
  <c r="AZ36" i="2"/>
  <c r="AX36" i="2"/>
  <c r="AZ35" i="2"/>
  <c r="AX35" i="2"/>
  <c r="AZ33" i="2"/>
  <c r="AX33" i="2"/>
  <c r="AZ32" i="2"/>
  <c r="AX32" i="2"/>
  <c r="AZ31" i="2"/>
  <c r="AX31" i="2"/>
  <c r="AZ30" i="2"/>
  <c r="AX30" i="2"/>
  <c r="AZ29" i="2"/>
  <c r="AX29" i="2"/>
  <c r="AZ28" i="2"/>
  <c r="AX28" i="2"/>
  <c r="AZ27" i="2"/>
  <c r="AX27" i="2"/>
  <c r="AZ26" i="2"/>
  <c r="AX26" i="2"/>
  <c r="AZ25" i="2"/>
  <c r="AX25" i="2"/>
  <c r="AZ24" i="2"/>
  <c r="AX24" i="2"/>
  <c r="AZ23" i="2"/>
  <c r="AX23" i="2"/>
  <c r="AZ22" i="2"/>
  <c r="AX22" i="2"/>
  <c r="AZ21" i="2"/>
  <c r="AX21" i="2"/>
  <c r="AZ20" i="2"/>
  <c r="AX20" i="2"/>
  <c r="AZ19" i="2"/>
  <c r="AX19" i="2"/>
  <c r="AZ18" i="2"/>
  <c r="AX18" i="2"/>
  <c r="AZ17" i="2"/>
  <c r="AX17" i="2"/>
  <c r="AZ16" i="2"/>
  <c r="AX16" i="2"/>
  <c r="AZ15" i="2"/>
  <c r="AX15" i="2"/>
  <c r="AZ14" i="2"/>
  <c r="AX14" i="2"/>
  <c r="AZ13" i="2"/>
  <c r="AX13" i="2"/>
  <c r="AZ12" i="2"/>
  <c r="AX12" i="2"/>
  <c r="AZ11" i="2"/>
  <c r="AX11" i="2"/>
  <c r="AZ10" i="2"/>
  <c r="AX10" i="2"/>
  <c r="BF48" i="2"/>
  <c r="BC48" i="2" l="1"/>
  <c r="BE48" i="2"/>
  <c r="AX48" i="2"/>
  <c r="AZ48" i="2"/>
  <c r="AT48" i="2"/>
  <c r="AR48" i="2"/>
  <c r="AQ48" i="2"/>
  <c r="AU47" i="2"/>
  <c r="AS47" i="2"/>
  <c r="AU46" i="2"/>
  <c r="AS46" i="2"/>
  <c r="AU45" i="2"/>
  <c r="AS45" i="2"/>
  <c r="AU44" i="2"/>
  <c r="AS44" i="2"/>
  <c r="AU43" i="2"/>
  <c r="AS43" i="2"/>
  <c r="AU42" i="2"/>
  <c r="AS42" i="2"/>
  <c r="AU41" i="2"/>
  <c r="AS41" i="2"/>
  <c r="AU40" i="2"/>
  <c r="AS40" i="2"/>
  <c r="AU39" i="2"/>
  <c r="AS39" i="2"/>
  <c r="AU38" i="2"/>
  <c r="AS38" i="2"/>
  <c r="AU37" i="2"/>
  <c r="AS37" i="2"/>
  <c r="AU36" i="2"/>
  <c r="AS36" i="2"/>
  <c r="AU35" i="2"/>
  <c r="AS35" i="2"/>
  <c r="AU33" i="2"/>
  <c r="AS33" i="2"/>
  <c r="AU32" i="2"/>
  <c r="AS32" i="2"/>
  <c r="AU31" i="2"/>
  <c r="AS31" i="2"/>
  <c r="AU30" i="2"/>
  <c r="AS30" i="2"/>
  <c r="AU29" i="2"/>
  <c r="AS29" i="2"/>
  <c r="AU28" i="2"/>
  <c r="AS28" i="2"/>
  <c r="AU27" i="2"/>
  <c r="AS27" i="2"/>
  <c r="AU26" i="2"/>
  <c r="AS26" i="2"/>
  <c r="AU25" i="2"/>
  <c r="AS25" i="2"/>
  <c r="AU24" i="2"/>
  <c r="AS24" i="2"/>
  <c r="AU23" i="2"/>
  <c r="AS23" i="2"/>
  <c r="AU22" i="2"/>
  <c r="AS22" i="2"/>
  <c r="AU21" i="2"/>
  <c r="AS21" i="2"/>
  <c r="AU20" i="2"/>
  <c r="AS20" i="2"/>
  <c r="AU19" i="2"/>
  <c r="AS19" i="2"/>
  <c r="AU18" i="2"/>
  <c r="AS18" i="2"/>
  <c r="AU17" i="2"/>
  <c r="AS17" i="2"/>
  <c r="AU16" i="2"/>
  <c r="AS16" i="2"/>
  <c r="AU15" i="2"/>
  <c r="AS15" i="2"/>
  <c r="AU14" i="2"/>
  <c r="AS14" i="2"/>
  <c r="AU13" i="2"/>
  <c r="AS13" i="2"/>
  <c r="AU12" i="2"/>
  <c r="AS12" i="2"/>
  <c r="AU11" i="2"/>
  <c r="AS11" i="2"/>
  <c r="AU10" i="2"/>
  <c r="AS10" i="2"/>
  <c r="AO48" i="2"/>
  <c r="AM48" i="2"/>
  <c r="AL48" i="2"/>
  <c r="AP47" i="2"/>
  <c r="AN47" i="2"/>
  <c r="AP46" i="2"/>
  <c r="AN46" i="2"/>
  <c r="AP45" i="2"/>
  <c r="AN45" i="2"/>
  <c r="AP44" i="2"/>
  <c r="AN44" i="2"/>
  <c r="AP43" i="2"/>
  <c r="AN43" i="2"/>
  <c r="AP42" i="2"/>
  <c r="AN42" i="2"/>
  <c r="AP41" i="2"/>
  <c r="AN41" i="2"/>
  <c r="AP40" i="2"/>
  <c r="AN40" i="2"/>
  <c r="AP39" i="2"/>
  <c r="AN39" i="2"/>
  <c r="AP38" i="2"/>
  <c r="AN38" i="2"/>
  <c r="AP37" i="2"/>
  <c r="AN37" i="2"/>
  <c r="AP36" i="2"/>
  <c r="AN36" i="2"/>
  <c r="AP35" i="2"/>
  <c r="AN35" i="2"/>
  <c r="AP33" i="2"/>
  <c r="AN33" i="2"/>
  <c r="AP32" i="2"/>
  <c r="AN32" i="2"/>
  <c r="AP31" i="2"/>
  <c r="AN31" i="2"/>
  <c r="AP30" i="2"/>
  <c r="AN30" i="2"/>
  <c r="AP29" i="2"/>
  <c r="AN29" i="2"/>
  <c r="AP28" i="2"/>
  <c r="AN28" i="2"/>
  <c r="AP27" i="2"/>
  <c r="AN27" i="2"/>
  <c r="AP26" i="2"/>
  <c r="AN26" i="2"/>
  <c r="AP25" i="2"/>
  <c r="AN25" i="2"/>
  <c r="AP24" i="2"/>
  <c r="AN24" i="2"/>
  <c r="AP23" i="2"/>
  <c r="AN23" i="2"/>
  <c r="AP22" i="2"/>
  <c r="AN22" i="2"/>
  <c r="AP21" i="2"/>
  <c r="AN21" i="2"/>
  <c r="AP20" i="2"/>
  <c r="AN20" i="2"/>
  <c r="AP19" i="2"/>
  <c r="AN19" i="2"/>
  <c r="AP18" i="2"/>
  <c r="AN18" i="2"/>
  <c r="AP17" i="2"/>
  <c r="AN17" i="2"/>
  <c r="AP16" i="2"/>
  <c r="AN16" i="2"/>
  <c r="AP15" i="2"/>
  <c r="AN15" i="2"/>
  <c r="AP14" i="2"/>
  <c r="AN14" i="2"/>
  <c r="AP13" i="2"/>
  <c r="AN13" i="2"/>
  <c r="AP12" i="2"/>
  <c r="AN12" i="2"/>
  <c r="AP11" i="2"/>
  <c r="AN11" i="2"/>
  <c r="AP10" i="2"/>
  <c r="AN10" i="2"/>
  <c r="AU48" i="2" l="1"/>
  <c r="AP48" i="2"/>
  <c r="AS48" i="2"/>
  <c r="AN48" i="2"/>
  <c r="AJ48" i="2"/>
  <c r="AH48" i="2"/>
  <c r="AG48" i="2"/>
  <c r="AK47" i="2"/>
  <c r="AI47" i="2"/>
  <c r="AK46" i="2"/>
  <c r="AI46" i="2"/>
  <c r="AK45" i="2"/>
  <c r="AI45" i="2"/>
  <c r="AK44" i="2"/>
  <c r="AI44" i="2"/>
  <c r="AK43" i="2"/>
  <c r="AI43" i="2"/>
  <c r="AK42" i="2"/>
  <c r="AI42" i="2"/>
  <c r="AK41" i="2"/>
  <c r="AI41" i="2"/>
  <c r="AK40" i="2"/>
  <c r="AI40" i="2"/>
  <c r="AK39" i="2"/>
  <c r="AI39" i="2"/>
  <c r="AK38" i="2"/>
  <c r="AI38" i="2"/>
  <c r="AK37" i="2"/>
  <c r="AI37" i="2"/>
  <c r="AK36" i="2"/>
  <c r="AI36" i="2"/>
  <c r="AK35" i="2"/>
  <c r="AI35" i="2"/>
  <c r="AK33" i="2"/>
  <c r="AI33" i="2"/>
  <c r="AK32" i="2"/>
  <c r="AI32" i="2"/>
  <c r="AK31" i="2"/>
  <c r="AI31" i="2"/>
  <c r="AK30" i="2"/>
  <c r="AI30" i="2"/>
  <c r="AK29" i="2"/>
  <c r="AI29" i="2"/>
  <c r="AK28" i="2"/>
  <c r="AI28" i="2"/>
  <c r="AK27" i="2"/>
  <c r="AI27" i="2"/>
  <c r="AK26" i="2"/>
  <c r="AI26" i="2"/>
  <c r="AK25" i="2"/>
  <c r="AI25" i="2"/>
  <c r="AK24" i="2"/>
  <c r="AI24" i="2"/>
  <c r="AK23" i="2"/>
  <c r="AI23" i="2"/>
  <c r="AK22" i="2"/>
  <c r="AI22" i="2"/>
  <c r="AK21" i="2"/>
  <c r="AI21" i="2"/>
  <c r="AK20" i="2"/>
  <c r="AI20" i="2"/>
  <c r="AK19" i="2"/>
  <c r="AI19" i="2"/>
  <c r="AK18" i="2"/>
  <c r="AI18" i="2"/>
  <c r="AK17" i="2"/>
  <c r="AI17" i="2"/>
  <c r="AK16" i="2"/>
  <c r="AI16" i="2"/>
  <c r="AK15" i="2"/>
  <c r="AI15" i="2"/>
  <c r="AK14" i="2"/>
  <c r="AI14" i="2"/>
  <c r="AK13" i="2"/>
  <c r="AI13" i="2"/>
  <c r="AK12" i="2"/>
  <c r="AI12" i="2"/>
  <c r="AK11" i="2"/>
  <c r="AI11" i="2"/>
  <c r="AK10" i="2"/>
  <c r="AI10" i="2"/>
  <c r="AI48" i="2" l="1"/>
  <c r="AK48" i="2"/>
  <c r="AE48" i="2"/>
  <c r="AC48" i="2"/>
  <c r="AB48" i="2"/>
  <c r="AF47" i="2"/>
  <c r="AD47" i="2"/>
  <c r="AF46" i="2"/>
  <c r="AD46" i="2"/>
  <c r="AF45" i="2"/>
  <c r="AD45" i="2"/>
  <c r="AF44" i="2"/>
  <c r="AD44" i="2"/>
  <c r="AF43" i="2"/>
  <c r="AD43" i="2"/>
  <c r="AF42" i="2"/>
  <c r="AD42" i="2"/>
  <c r="AF41" i="2"/>
  <c r="AD41" i="2"/>
  <c r="AF40" i="2"/>
  <c r="AD40" i="2"/>
  <c r="AF39" i="2"/>
  <c r="AD39" i="2"/>
  <c r="AF38" i="2"/>
  <c r="AD38" i="2"/>
  <c r="AF37" i="2"/>
  <c r="AD37" i="2"/>
  <c r="AF36" i="2"/>
  <c r="AD36" i="2"/>
  <c r="AF35" i="2"/>
  <c r="AD35" i="2"/>
  <c r="AF33" i="2"/>
  <c r="AD33" i="2"/>
  <c r="AF32" i="2"/>
  <c r="AD32" i="2"/>
  <c r="AF31" i="2"/>
  <c r="AD31" i="2"/>
  <c r="AF30" i="2"/>
  <c r="AD30" i="2"/>
  <c r="AF29" i="2"/>
  <c r="AD29" i="2"/>
  <c r="AF28" i="2"/>
  <c r="AD28" i="2"/>
  <c r="AF27" i="2"/>
  <c r="AD27" i="2"/>
  <c r="AF26" i="2"/>
  <c r="AD26" i="2"/>
  <c r="AF25" i="2"/>
  <c r="AD25" i="2"/>
  <c r="AF24" i="2"/>
  <c r="AD24" i="2"/>
  <c r="AF23" i="2"/>
  <c r="AD23" i="2"/>
  <c r="AF22" i="2"/>
  <c r="AD22" i="2"/>
  <c r="AF21" i="2"/>
  <c r="AD21" i="2"/>
  <c r="AF20" i="2"/>
  <c r="AD20" i="2"/>
  <c r="AF19" i="2"/>
  <c r="AD19" i="2"/>
  <c r="AF18" i="2"/>
  <c r="AD18" i="2"/>
  <c r="AF17" i="2"/>
  <c r="AD17" i="2"/>
  <c r="AF16" i="2"/>
  <c r="AD16" i="2"/>
  <c r="AF15" i="2"/>
  <c r="AD15" i="2"/>
  <c r="AF14" i="2"/>
  <c r="AD14" i="2"/>
  <c r="AF13" i="2"/>
  <c r="AD13" i="2"/>
  <c r="AF12" i="2"/>
  <c r="AD12" i="2"/>
  <c r="AF11" i="2"/>
  <c r="AD11" i="2"/>
  <c r="AF10" i="2"/>
  <c r="AD10" i="2"/>
  <c r="AD48" i="2" l="1"/>
  <c r="AF48" i="2"/>
  <c r="Z48" i="2" l="1"/>
  <c r="X48" i="2"/>
  <c r="W48" i="2"/>
  <c r="AA47" i="2"/>
  <c r="Y47" i="2"/>
  <c r="AA46" i="2"/>
  <c r="Y46" i="2"/>
  <c r="AA45" i="2"/>
  <c r="Y45" i="2"/>
  <c r="AA44" i="2"/>
  <c r="Y44" i="2"/>
  <c r="AA43" i="2"/>
  <c r="Y43" i="2"/>
  <c r="AA42" i="2"/>
  <c r="Y42" i="2"/>
  <c r="AA41" i="2"/>
  <c r="Y41" i="2"/>
  <c r="AA40" i="2"/>
  <c r="Y40" i="2"/>
  <c r="AA39" i="2"/>
  <c r="Y39" i="2"/>
  <c r="AA38" i="2"/>
  <c r="Y38" i="2"/>
  <c r="AA37" i="2"/>
  <c r="Y37" i="2"/>
  <c r="AA36" i="2"/>
  <c r="Y36" i="2"/>
  <c r="AA35" i="2"/>
  <c r="Y35" i="2"/>
  <c r="AA33" i="2"/>
  <c r="Y33" i="2"/>
  <c r="AA32" i="2"/>
  <c r="Y32" i="2"/>
  <c r="AA31" i="2"/>
  <c r="Y31" i="2"/>
  <c r="AA30" i="2"/>
  <c r="Y30" i="2"/>
  <c r="AA29" i="2"/>
  <c r="Y29" i="2"/>
  <c r="AA28" i="2"/>
  <c r="Y28" i="2"/>
  <c r="AA27" i="2"/>
  <c r="Y27" i="2"/>
  <c r="AA26" i="2"/>
  <c r="Y26" i="2"/>
  <c r="AA25" i="2"/>
  <c r="Y25" i="2"/>
  <c r="AA24" i="2"/>
  <c r="Y24" i="2"/>
  <c r="AA23" i="2"/>
  <c r="Y23" i="2"/>
  <c r="AA22" i="2"/>
  <c r="Y22" i="2"/>
  <c r="AA21" i="2"/>
  <c r="Y21" i="2"/>
  <c r="AA20" i="2"/>
  <c r="Y20" i="2"/>
  <c r="AA19" i="2"/>
  <c r="Y19" i="2"/>
  <c r="AA18" i="2"/>
  <c r="Y18" i="2"/>
  <c r="AA17" i="2"/>
  <c r="Y17" i="2"/>
  <c r="AA16" i="2"/>
  <c r="Y16" i="2"/>
  <c r="AA15" i="2"/>
  <c r="Y15" i="2"/>
  <c r="AA14" i="2"/>
  <c r="Y14" i="2"/>
  <c r="AA13" i="2"/>
  <c r="Y13" i="2"/>
  <c r="AA12" i="2"/>
  <c r="Y12" i="2"/>
  <c r="AA11" i="2"/>
  <c r="Y11" i="2"/>
  <c r="AA10" i="2"/>
  <c r="Y10" i="2"/>
  <c r="AA48" i="2" l="1"/>
  <c r="Y48" i="2"/>
  <c r="BI48" i="2" l="1"/>
  <c r="BG48" i="2"/>
  <c r="BJ47" i="2"/>
  <c r="BH47" i="2"/>
  <c r="BJ46" i="2"/>
  <c r="BH46" i="2"/>
  <c r="BJ45" i="2"/>
  <c r="BH45" i="2"/>
  <c r="BJ44" i="2"/>
  <c r="BH44" i="2"/>
  <c r="BJ43" i="2"/>
  <c r="BH43" i="2"/>
  <c r="BJ42" i="2"/>
  <c r="BH42" i="2"/>
  <c r="BJ41" i="2"/>
  <c r="BH41" i="2"/>
  <c r="BJ40" i="2"/>
  <c r="BH40" i="2"/>
  <c r="BJ39" i="2"/>
  <c r="BH39" i="2"/>
  <c r="BJ38" i="2"/>
  <c r="BH38" i="2"/>
  <c r="BJ37" i="2"/>
  <c r="BH37" i="2"/>
  <c r="BJ36" i="2"/>
  <c r="BH36" i="2"/>
  <c r="BJ35" i="2"/>
  <c r="BH35" i="2"/>
  <c r="BJ33" i="2"/>
  <c r="BH33" i="2"/>
  <c r="BJ32" i="2"/>
  <c r="BH32" i="2"/>
  <c r="BJ31" i="2"/>
  <c r="BH31" i="2"/>
  <c r="BJ30" i="2"/>
  <c r="BH30" i="2"/>
  <c r="BJ29" i="2"/>
  <c r="BH29" i="2"/>
  <c r="BJ28" i="2"/>
  <c r="BH28" i="2"/>
  <c r="BJ27" i="2"/>
  <c r="BH27" i="2"/>
  <c r="BJ26" i="2"/>
  <c r="BH26" i="2"/>
  <c r="BJ25" i="2"/>
  <c r="BH25" i="2"/>
  <c r="BJ24" i="2"/>
  <c r="BH24" i="2"/>
  <c r="BJ23" i="2"/>
  <c r="BH23" i="2"/>
  <c r="BJ22" i="2"/>
  <c r="BH22" i="2"/>
  <c r="BJ21" i="2"/>
  <c r="BH21" i="2"/>
  <c r="BJ20" i="2"/>
  <c r="BH20" i="2"/>
  <c r="BJ19" i="2"/>
  <c r="BH19" i="2"/>
  <c r="BJ18" i="2"/>
  <c r="BH18" i="2"/>
  <c r="BJ17" i="2"/>
  <c r="BH17" i="2"/>
  <c r="BJ16" i="2"/>
  <c r="BH16" i="2"/>
  <c r="BJ15" i="2"/>
  <c r="BH15" i="2"/>
  <c r="BJ14" i="2"/>
  <c r="BH14" i="2"/>
  <c r="BJ13" i="2"/>
  <c r="BH13" i="2"/>
  <c r="BJ12" i="2"/>
  <c r="BH12" i="2"/>
  <c r="BJ11" i="2"/>
  <c r="BH11" i="2"/>
  <c r="BJ10" i="2"/>
  <c r="BH10" i="2"/>
  <c r="BJ48" i="2" l="1"/>
  <c r="BH48" i="2"/>
  <c r="T47" i="2"/>
  <c r="T46" i="2"/>
  <c r="T45" i="2"/>
  <c r="T44" i="2"/>
  <c r="T43" i="2"/>
  <c r="T42" i="2"/>
  <c r="T41" i="2"/>
  <c r="T40" i="2"/>
  <c r="T39" i="2"/>
  <c r="T38" i="2"/>
  <c r="T37" i="2"/>
  <c r="T36" i="2"/>
  <c r="T35" i="2"/>
  <c r="T33" i="2"/>
  <c r="T32" i="2"/>
  <c r="T31" i="2"/>
  <c r="T30" i="2"/>
  <c r="T29" i="2"/>
  <c r="T28" i="2"/>
  <c r="T27" i="2"/>
  <c r="T26" i="2"/>
  <c r="T25" i="2"/>
  <c r="T24" i="2"/>
  <c r="T23" i="2"/>
  <c r="T22" i="2"/>
  <c r="T21" i="2"/>
  <c r="T20" i="2"/>
  <c r="T19" i="2"/>
  <c r="T18" i="2"/>
  <c r="T17" i="2"/>
  <c r="T16" i="2"/>
  <c r="T15" i="2"/>
  <c r="T14" i="2"/>
  <c r="T13" i="2"/>
  <c r="T12" i="2"/>
  <c r="T11" i="2"/>
  <c r="T10" i="2"/>
  <c r="N48" i="2"/>
  <c r="M48" i="2"/>
  <c r="Q47" i="2"/>
  <c r="O47" i="2"/>
  <c r="Q46" i="2"/>
  <c r="O46" i="2"/>
  <c r="Q45" i="2"/>
  <c r="O45" i="2"/>
  <c r="Q44" i="2"/>
  <c r="O44" i="2"/>
  <c r="Q43" i="2"/>
  <c r="O43" i="2"/>
  <c r="Q42" i="2"/>
  <c r="O42" i="2"/>
  <c r="Q41" i="2"/>
  <c r="O41" i="2"/>
  <c r="Q40" i="2"/>
  <c r="O40" i="2"/>
  <c r="Q39" i="2"/>
  <c r="O39" i="2"/>
  <c r="Q38" i="2"/>
  <c r="O38" i="2"/>
  <c r="Q37" i="2"/>
  <c r="O37" i="2"/>
  <c r="Q36" i="2"/>
  <c r="O36" i="2"/>
  <c r="Q35" i="2"/>
  <c r="O35" i="2"/>
  <c r="Q33" i="2"/>
  <c r="O33" i="2"/>
  <c r="Q32" i="2"/>
  <c r="O32" i="2"/>
  <c r="Q31" i="2"/>
  <c r="O31" i="2"/>
  <c r="Q30" i="2"/>
  <c r="O30" i="2"/>
  <c r="Q29" i="2"/>
  <c r="O29" i="2"/>
  <c r="Q28" i="2"/>
  <c r="O28" i="2"/>
  <c r="Q27" i="2"/>
  <c r="O27" i="2"/>
  <c r="Q26" i="2"/>
  <c r="O26" i="2"/>
  <c r="Q25" i="2"/>
  <c r="O25" i="2"/>
  <c r="Q24" i="2"/>
  <c r="O24" i="2"/>
  <c r="Q23" i="2"/>
  <c r="O23" i="2"/>
  <c r="Q22" i="2"/>
  <c r="O22" i="2"/>
  <c r="Q21" i="2"/>
  <c r="O21" i="2"/>
  <c r="Q20" i="2"/>
  <c r="O20" i="2"/>
  <c r="Q19" i="2"/>
  <c r="O19" i="2"/>
  <c r="Q18" i="2"/>
  <c r="O18" i="2"/>
  <c r="Q17" i="2"/>
  <c r="O17" i="2"/>
  <c r="Q16" i="2"/>
  <c r="O16" i="2"/>
  <c r="Q15" i="2"/>
  <c r="O15" i="2"/>
  <c r="Q14" i="2"/>
  <c r="O14" i="2"/>
  <c r="Q13" i="2"/>
  <c r="O13" i="2"/>
  <c r="Q12" i="2"/>
  <c r="O12" i="2"/>
  <c r="Q11" i="2"/>
  <c r="O11" i="2"/>
  <c r="Q10" i="2"/>
  <c r="O10" i="2"/>
  <c r="O48" i="2" l="1"/>
  <c r="Q48" i="2"/>
  <c r="K48" i="2"/>
  <c r="I48" i="2"/>
  <c r="H48" i="2"/>
  <c r="L47" i="2"/>
  <c r="J47" i="2"/>
  <c r="L46" i="2"/>
  <c r="J46" i="2"/>
  <c r="L45" i="2"/>
  <c r="J45" i="2"/>
  <c r="L44" i="2"/>
  <c r="J44" i="2"/>
  <c r="L43" i="2"/>
  <c r="J43" i="2"/>
  <c r="L42" i="2"/>
  <c r="J42" i="2"/>
  <c r="L41" i="2"/>
  <c r="J41" i="2"/>
  <c r="L40" i="2"/>
  <c r="J40" i="2"/>
  <c r="L39" i="2"/>
  <c r="J39" i="2"/>
  <c r="L38" i="2"/>
  <c r="J38" i="2"/>
  <c r="L37" i="2"/>
  <c r="J37" i="2"/>
  <c r="L36" i="2"/>
  <c r="J36" i="2"/>
  <c r="L35" i="2"/>
  <c r="J35" i="2"/>
  <c r="L33" i="2"/>
  <c r="J33" i="2"/>
  <c r="L32" i="2"/>
  <c r="J32" i="2"/>
  <c r="L31" i="2"/>
  <c r="J31" i="2"/>
  <c r="L30" i="2"/>
  <c r="J30" i="2"/>
  <c r="L29" i="2"/>
  <c r="J29" i="2"/>
  <c r="L28" i="2"/>
  <c r="J28" i="2"/>
  <c r="L27" i="2"/>
  <c r="J27" i="2"/>
  <c r="L26" i="2"/>
  <c r="J26" i="2"/>
  <c r="L25" i="2"/>
  <c r="J25" i="2"/>
  <c r="L24" i="2"/>
  <c r="J24" i="2"/>
  <c r="L23" i="2"/>
  <c r="J23" i="2"/>
  <c r="L22" i="2"/>
  <c r="J22" i="2"/>
  <c r="L21" i="2"/>
  <c r="J21" i="2"/>
  <c r="L20" i="2"/>
  <c r="J20" i="2"/>
  <c r="L19" i="2"/>
  <c r="J19" i="2"/>
  <c r="L18" i="2"/>
  <c r="J18" i="2"/>
  <c r="L17" i="2"/>
  <c r="J17" i="2"/>
  <c r="L16" i="2"/>
  <c r="J16" i="2"/>
  <c r="L15" i="2"/>
  <c r="J15" i="2"/>
  <c r="L14" i="2"/>
  <c r="J14" i="2"/>
  <c r="L13" i="2"/>
  <c r="J13" i="2"/>
  <c r="L12" i="2"/>
  <c r="J12" i="2"/>
  <c r="L11" i="2"/>
  <c r="J11" i="2"/>
  <c r="L10" i="2"/>
  <c r="J10" i="2"/>
  <c r="J48" i="2" l="1"/>
  <c r="L48" i="2"/>
  <c r="U48" i="2"/>
  <c r="S48" i="2"/>
  <c r="R48" i="2"/>
  <c r="V47" i="2"/>
  <c r="V46" i="2"/>
  <c r="V45" i="2"/>
  <c r="V44" i="2"/>
  <c r="V43" i="2"/>
  <c r="V42" i="2"/>
  <c r="V41" i="2"/>
  <c r="V40" i="2"/>
  <c r="V39" i="2"/>
  <c r="V38" i="2"/>
  <c r="V37" i="2"/>
  <c r="V36" i="2"/>
  <c r="V35" i="2"/>
  <c r="V33" i="2"/>
  <c r="V32" i="2"/>
  <c r="V31" i="2"/>
  <c r="V30" i="2"/>
  <c r="V29" i="2"/>
  <c r="V28" i="2"/>
  <c r="V27" i="2"/>
  <c r="V26" i="2"/>
  <c r="V25" i="2"/>
  <c r="V24" i="2"/>
  <c r="V23" i="2"/>
  <c r="V22" i="2"/>
  <c r="V21" i="2"/>
  <c r="V20" i="2"/>
  <c r="V19" i="2"/>
  <c r="V18" i="2"/>
  <c r="V17" i="2"/>
  <c r="V16" i="2"/>
  <c r="V15" i="2"/>
  <c r="V14" i="2"/>
  <c r="V13" i="2"/>
  <c r="V12" i="2"/>
  <c r="V11" i="2"/>
  <c r="V10" i="2"/>
  <c r="T48" i="2" l="1"/>
  <c r="V48" i="2"/>
  <c r="D48" i="2"/>
  <c r="E11" i="2" l="1"/>
  <c r="E12" i="2"/>
  <c r="E13" i="2"/>
  <c r="E14" i="2"/>
  <c r="E15" i="2"/>
  <c r="E16" i="2"/>
  <c r="E17" i="2"/>
  <c r="E18" i="2"/>
  <c r="E19" i="2"/>
  <c r="E20" i="2"/>
  <c r="E21" i="2"/>
  <c r="E22" i="2"/>
  <c r="E23" i="2"/>
  <c r="E24" i="2"/>
  <c r="E25" i="2"/>
  <c r="E26" i="2"/>
  <c r="E27" i="2"/>
  <c r="E28" i="2"/>
  <c r="E29" i="2"/>
  <c r="E30" i="2"/>
  <c r="E31" i="2"/>
  <c r="E32" i="2"/>
  <c r="E33" i="2"/>
  <c r="E35" i="2"/>
  <c r="E36" i="2"/>
  <c r="E37" i="2"/>
  <c r="E38" i="2"/>
  <c r="E39" i="2"/>
  <c r="E40" i="2"/>
  <c r="E41" i="2"/>
  <c r="E42" i="2"/>
  <c r="E43" i="2"/>
  <c r="E44" i="2"/>
  <c r="E45" i="2"/>
  <c r="E46" i="2"/>
  <c r="E47" i="2"/>
  <c r="F48" i="2" l="1"/>
  <c r="E10" i="2"/>
  <c r="G48" i="2" l="1"/>
  <c r="E48" i="2"/>
</calcChain>
</file>

<file path=xl/sharedStrings.xml><?xml version="1.0" encoding="utf-8"?>
<sst xmlns="http://schemas.openxmlformats.org/spreadsheetml/2006/main" count="128" uniqueCount="50">
  <si>
    <t>STATE WISE RETURN PERIOD WISE GSTR-1 FILING SUMMARY</t>
  </si>
  <si>
    <t>STATE</t>
  </si>
  <si>
    <t>No. of Tax Payers eligible to File</t>
  </si>
  <si>
    <t>No. Tax Payers filed by Due Date</t>
  </si>
  <si>
    <t>No. of Tax Payers filed after due date</t>
  </si>
  <si>
    <t>Total Returns Filed</t>
  </si>
  <si>
    <t>Jammu and Kashmir</t>
  </si>
  <si>
    <t>Himachal Pradesh</t>
  </si>
  <si>
    <t>Punjab</t>
  </si>
  <si>
    <t>Chandigarh</t>
  </si>
  <si>
    <t>Uttarakhand</t>
  </si>
  <si>
    <t>Haryana</t>
  </si>
  <si>
    <t>Delhi</t>
  </si>
  <si>
    <t>Rajasthan</t>
  </si>
  <si>
    <t>Uttar Pradesh</t>
  </si>
  <si>
    <t>Bihar</t>
  </si>
  <si>
    <t>Sikkim</t>
  </si>
  <si>
    <t>Arunachal Pradesh</t>
  </si>
  <si>
    <t>Nagaland</t>
  </si>
  <si>
    <t>Manipur</t>
  </si>
  <si>
    <t>Mizoram</t>
  </si>
  <si>
    <t>Tripura</t>
  </si>
  <si>
    <t>Meghalaya</t>
  </si>
  <si>
    <t>Assam</t>
  </si>
  <si>
    <t>West Bengal</t>
  </si>
  <si>
    <t>Jharkhand</t>
  </si>
  <si>
    <t>Odisha</t>
  </si>
  <si>
    <t>Madhya Pradesh</t>
  </si>
  <si>
    <t>Daman and Diu</t>
  </si>
  <si>
    <t>Dadra and Nagar Haveli</t>
  </si>
  <si>
    <t>Karnataka</t>
  </si>
  <si>
    <t>Goa</t>
  </si>
  <si>
    <t>Lakshadweep</t>
  </si>
  <si>
    <t>Kerala</t>
  </si>
  <si>
    <t>Tamil Nadu</t>
  </si>
  <si>
    <t>Puducherry</t>
  </si>
  <si>
    <t>Telangana</t>
  </si>
  <si>
    <t>Andhra Pradesh</t>
  </si>
  <si>
    <t>Ladakh</t>
  </si>
  <si>
    <t>Other Territory</t>
  </si>
  <si>
    <t>Grand Total</t>
  </si>
  <si>
    <t>-</t>
  </si>
  <si>
    <t>FINANCIAL YEAR 2023-2024</t>
  </si>
  <si>
    <t>Chhattisgarh</t>
  </si>
  <si>
    <t>Gujarat</t>
  </si>
  <si>
    <t>Maharashtra</t>
  </si>
  <si>
    <t>Andaman and Nicobar Islands</t>
  </si>
  <si>
    <t>STATE 
CD</t>
  </si>
  <si>
    <t>Data Considered upto 30th Jun 2026</t>
  </si>
  <si>
    <t>Filing %age as on 30th Jun 2026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</si>
</sst>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4">
    <numFmt numFmtId="43" formatCode="_ * #,##0.00_ ;_ * \-#,##0.00_ ;_ * &quot;-&quot;??_ ;_ @_ "/>
    <numFmt numFmtId="164" formatCode="_(* #,##0.00_);_(* \(#,##0.00\);_(* &quot;-&quot;??_);_(@_)"/>
    <numFmt numFmtId="165" formatCode="[&gt;=10000000]##\,##\,##\,##0;[&gt;=100000]\ ##\,##\,##0;##,##0"/>
    <numFmt numFmtId="166" formatCode="_(* #,##0_);_(* \(#,##0\);_(* &quot;-&quot;??_);_(@_)"/>
  </numFmts>
  <fonts count="6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b/>
      <sz val="12"/>
      <color theme="1"/>
      <name val="Calibri"/>
      <family val="2"/>
      <scheme val="minor"/>
    </font>
    <font>
      <sz val="11"/>
      <color theme="1"/>
      <name val="Calibri"/>
      <family val="2"/>
    </font>
    <font>
      <b/>
      <sz val="11"/>
      <color theme="1"/>
      <name val="Calibri"/>
      <family val="2"/>
      <scheme val="minor"/>
    </font>
    <font>
      <sz val="12"/>
      <color theme="1"/>
      <name val="Calibri"/>
      <family val="2"/>
      <scheme val="minor"/>
    </font>
  </fonts>
  <fills count="3">
    <fill>
      <patternFill patternType="none"/>
    </fill>
    <fill>
      <patternFill patternType="gray125"/>
    </fill>
    <fill>
      <patternFill patternType="solid">
        <fgColor theme="7" tint="0.79998168889431442"/>
        <bgColor indexed="64"/>
      </patternFill>
    </fill>
  </fills>
  <borders count="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8">
    <xf numFmtId="0" fontId="0" fillId="0" borderId="0"/>
    <xf numFmtId="9" fontId="1" fillId="0" borderId="0" applyFont="0" applyFill="0" applyBorder="0" applyAlignment="0" applyProtection="0"/>
    <xf numFmtId="164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43" fontId="1" fillId="0" borderId="0" applyFont="0" applyFill="0" applyBorder="0" applyAlignment="0" applyProtection="0"/>
    <xf numFmtId="0" fontId="1" fillId="0" borderId="0"/>
    <xf numFmtId="0" fontId="5" fillId="0" borderId="0"/>
    <xf numFmtId="43" fontId="1" fillId="0" borderId="0" applyFont="0" applyFill="0" applyBorder="0" applyAlignment="0" applyProtection="0"/>
  </cellStyleXfs>
  <cellXfs count="22">
    <xf numFmtId="0" fontId="0" fillId="0" borderId="0" xfId="0"/>
    <xf numFmtId="0" fontId="2" fillId="0" borderId="0" xfId="0" applyFont="1" applyAlignment="1">
      <alignment horizontal="center"/>
    </xf>
    <xf numFmtId="0" fontId="0" fillId="0" borderId="1" xfId="0" applyBorder="1"/>
    <xf numFmtId="165" fontId="0" fillId="0" borderId="1" xfId="0" applyNumberFormat="1" applyBorder="1"/>
    <xf numFmtId="10" fontId="0" fillId="0" borderId="1" xfId="1" applyNumberFormat="1" applyFont="1" applyFill="1" applyBorder="1" applyAlignment="1">
      <alignment horizontal="right" vertical="center" wrapText="1"/>
    </xf>
    <xf numFmtId="165" fontId="0" fillId="0" borderId="1" xfId="0" applyNumberFormat="1" applyBorder="1" applyAlignment="1">
      <alignment horizontal="right" vertical="center" wrapText="1"/>
    </xf>
    <xf numFmtId="10" fontId="4" fillId="2" borderId="1" xfId="1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 applyAlignment="1">
      <alignment horizontal="right" vertical="center" wrapText="1"/>
    </xf>
    <xf numFmtId="165" fontId="4" fillId="2" borderId="1" xfId="0" applyNumberFormat="1" applyFont="1" applyFill="1" applyBorder="1"/>
    <xf numFmtId="0" fontId="0" fillId="0" borderId="0" xfId="0" applyAlignment="1">
      <alignment vertical="center"/>
    </xf>
    <xf numFmtId="0" fontId="3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166" fontId="0" fillId="0" borderId="1" xfId="7" applyNumberFormat="1" applyFont="1" applyBorder="1"/>
    <xf numFmtId="0" fontId="2" fillId="2" borderId="0" xfId="0" applyFont="1" applyFill="1" applyAlignment="1">
      <alignment horizontal="center"/>
    </xf>
    <xf numFmtId="17" fontId="2" fillId="2" borderId="2" xfId="0" applyNumberFormat="1" applyFont="1" applyFill="1" applyBorder="1" applyAlignment="1">
      <alignment horizontal="center" vertical="center"/>
    </xf>
    <xf numFmtId="17" fontId="2" fillId="2" borderId="3" xfId="0" applyNumberFormat="1" applyFont="1" applyFill="1" applyBorder="1" applyAlignment="1">
      <alignment horizontal="center" vertical="center"/>
    </xf>
    <xf numFmtId="17" fontId="2" fillId="2" borderId="4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/>
    </xf>
    <xf numFmtId="0" fontId="2" fillId="2" borderId="0" xfId="0" applyFont="1" applyFill="1" applyAlignment="1">
      <alignment horizontal="left"/>
    </xf>
    <xf numFmtId="0" fontId="2" fillId="2" borderId="1" xfId="0" applyFont="1" applyFill="1" applyBorder="1" applyAlignment="1">
      <alignment horizontal="center" vertical="center" wrapText="1"/>
    </xf>
    <xf numFmtId="0" fontId="2" fillId="2" borderId="1" xfId="0" applyFont="1" applyFill="1" applyBorder="1" applyAlignment="1">
      <alignment horizontal="center" vertical="center"/>
    </xf>
  </cellXfs>
  <cellStyles count="8">
    <cellStyle name="Comma" xfId="7" builtinId="3"/>
    <cellStyle name="Comma 2" xfId="2" xr:uid="{00000000-0005-0000-0000-000001000000}"/>
    <cellStyle name="Comma 2 2" xfId="3" xr:uid="{00000000-0005-0000-0000-000002000000}"/>
    <cellStyle name="Comma 3" xfId="4" xr:uid="{00000000-0005-0000-0000-000003000000}"/>
    <cellStyle name="Normal" xfId="0" builtinId="0"/>
    <cellStyle name="Normal 2" xfId="5" xr:uid="{00000000-0005-0000-0000-000005000000}"/>
    <cellStyle name="Normal 3" xfId="6" xr:uid="{00000000-0005-0000-0000-000006000000}"/>
    <cellStyle name="Percent" xfId="1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J48"/>
  <sheetViews>
    <sheetView tabSelected="1" zoomScale="55" zoomScaleNormal="55" workbookViewId="0">
      <selection sqref="A1:E1"/>
    </sheetView>
  </sheetViews>
  <sheetFormatPr defaultColWidth="8.77734375" defaultRowHeight="14.4" x14ac:dyDescent="0.3"/>
  <cols>
    <col min="1" max="1" width="10.44140625" customWidth="1"/>
    <col min="2" max="2" width="26.77734375" bestFit="1" customWidth="1"/>
    <col min="3" max="3" width="24.21875" customWidth="1"/>
    <col min="4" max="7" width="18.77734375" customWidth="1"/>
    <col min="8" max="62" width="19.5546875" customWidth="1"/>
  </cols>
  <sheetData>
    <row r="1" spans="1:62" ht="15.6" x14ac:dyDescent="0.3">
      <c r="A1" s="14" t="s">
        <v>0</v>
      </c>
      <c r="B1" s="14"/>
      <c r="C1" s="14"/>
      <c r="D1" s="14"/>
      <c r="E1" s="14"/>
    </row>
    <row r="2" spans="1:62" ht="15.6" x14ac:dyDescent="0.3">
      <c r="A2" s="1"/>
      <c r="B2" s="1"/>
      <c r="C2" s="1"/>
      <c r="D2" s="1"/>
      <c r="E2" s="1"/>
      <c r="F2" s="1"/>
      <c r="G2" s="1"/>
    </row>
    <row r="3" spans="1:62" ht="15.6" x14ac:dyDescent="0.3">
      <c r="A3" s="19" t="s">
        <v>42</v>
      </c>
      <c r="B3" s="19"/>
      <c r="C3" s="1"/>
      <c r="D3" s="1"/>
      <c r="E3" s="1"/>
      <c r="F3" s="1"/>
      <c r="G3" s="1"/>
    </row>
    <row r="4" spans="1:62" ht="15.6" x14ac:dyDescent="0.3">
      <c r="A4" s="1"/>
      <c r="B4" s="1"/>
      <c r="C4" s="1"/>
      <c r="D4" s="1"/>
      <c r="E4" s="1"/>
      <c r="F4" s="1"/>
      <c r="G4" s="1"/>
    </row>
    <row r="5" spans="1:62" ht="15.6" x14ac:dyDescent="0.3">
      <c r="A5" s="19" t="s">
        <v>48</v>
      </c>
      <c r="B5" s="19"/>
      <c r="C5" s="19"/>
    </row>
    <row r="8" spans="1:62" s="9" customFormat="1" ht="15.6" x14ac:dyDescent="0.3">
      <c r="A8" s="20" t="s">
        <v>47</v>
      </c>
      <c r="B8" s="21" t="s">
        <v>1</v>
      </c>
      <c r="C8" s="15">
        <v>45017</v>
      </c>
      <c r="D8" s="16"/>
      <c r="E8" s="16"/>
      <c r="F8" s="16"/>
      <c r="G8" s="17"/>
      <c r="H8" s="15">
        <v>45047</v>
      </c>
      <c r="I8" s="16"/>
      <c r="J8" s="16"/>
      <c r="K8" s="16"/>
      <c r="L8" s="17"/>
      <c r="M8" s="15">
        <v>45078</v>
      </c>
      <c r="N8" s="16"/>
      <c r="O8" s="16"/>
      <c r="P8" s="16"/>
      <c r="Q8" s="17"/>
      <c r="R8" s="15">
        <v>45108</v>
      </c>
      <c r="S8" s="16"/>
      <c r="T8" s="16"/>
      <c r="U8" s="16"/>
      <c r="V8" s="17"/>
      <c r="W8" s="15">
        <v>45139</v>
      </c>
      <c r="X8" s="16"/>
      <c r="Y8" s="16"/>
      <c r="Z8" s="16"/>
      <c r="AA8" s="17"/>
      <c r="AB8" s="15">
        <v>45170</v>
      </c>
      <c r="AC8" s="16"/>
      <c r="AD8" s="16"/>
      <c r="AE8" s="16"/>
      <c r="AF8" s="17"/>
      <c r="AG8" s="15">
        <v>45200</v>
      </c>
      <c r="AH8" s="16"/>
      <c r="AI8" s="16"/>
      <c r="AJ8" s="16"/>
      <c r="AK8" s="17"/>
      <c r="AL8" s="15">
        <v>45231</v>
      </c>
      <c r="AM8" s="16"/>
      <c r="AN8" s="16"/>
      <c r="AO8" s="16"/>
      <c r="AP8" s="17"/>
      <c r="AQ8" s="15">
        <v>45261</v>
      </c>
      <c r="AR8" s="16"/>
      <c r="AS8" s="16"/>
      <c r="AT8" s="16"/>
      <c r="AU8" s="17"/>
      <c r="AV8" s="15">
        <v>45292</v>
      </c>
      <c r="AW8" s="16"/>
      <c r="AX8" s="16"/>
      <c r="AY8" s="16"/>
      <c r="AZ8" s="17"/>
      <c r="BA8" s="15">
        <v>45323</v>
      </c>
      <c r="BB8" s="16"/>
      <c r="BC8" s="16"/>
      <c r="BD8" s="16"/>
      <c r="BE8" s="17"/>
      <c r="BF8" s="15">
        <v>45352</v>
      </c>
      <c r="BG8" s="16"/>
      <c r="BH8" s="16"/>
      <c r="BI8" s="16"/>
      <c r="BJ8" s="17"/>
    </row>
    <row r="9" spans="1:62" s="9" customFormat="1" ht="46.8" x14ac:dyDescent="0.3">
      <c r="A9" s="21"/>
      <c r="B9" s="21"/>
      <c r="C9" s="12" t="s">
        <v>2</v>
      </c>
      <c r="D9" s="12" t="s">
        <v>3</v>
      </c>
      <c r="E9" s="12" t="s">
        <v>4</v>
      </c>
      <c r="F9" s="12" t="s">
        <v>5</v>
      </c>
      <c r="G9" s="12" t="s">
        <v>49</v>
      </c>
      <c r="H9" s="12" t="s">
        <v>2</v>
      </c>
      <c r="I9" s="12" t="s">
        <v>3</v>
      </c>
      <c r="J9" s="12" t="s">
        <v>4</v>
      </c>
      <c r="K9" s="12" t="s">
        <v>5</v>
      </c>
      <c r="L9" s="12" t="s">
        <v>49</v>
      </c>
      <c r="M9" s="12" t="s">
        <v>2</v>
      </c>
      <c r="N9" s="12" t="s">
        <v>3</v>
      </c>
      <c r="O9" s="12" t="s">
        <v>4</v>
      </c>
      <c r="P9" s="12" t="s">
        <v>5</v>
      </c>
      <c r="Q9" s="12" t="s">
        <v>49</v>
      </c>
      <c r="R9" s="12" t="s">
        <v>2</v>
      </c>
      <c r="S9" s="12" t="s">
        <v>3</v>
      </c>
      <c r="T9" s="12" t="s">
        <v>4</v>
      </c>
      <c r="U9" s="12" t="s">
        <v>5</v>
      </c>
      <c r="V9" s="12" t="s">
        <v>49</v>
      </c>
      <c r="W9" s="12" t="s">
        <v>2</v>
      </c>
      <c r="X9" s="12" t="s">
        <v>3</v>
      </c>
      <c r="Y9" s="12" t="s">
        <v>4</v>
      </c>
      <c r="Z9" s="12" t="s">
        <v>5</v>
      </c>
      <c r="AA9" s="12" t="s">
        <v>49</v>
      </c>
      <c r="AB9" s="12" t="s">
        <v>2</v>
      </c>
      <c r="AC9" s="12" t="s">
        <v>3</v>
      </c>
      <c r="AD9" s="12" t="s">
        <v>4</v>
      </c>
      <c r="AE9" s="12" t="s">
        <v>5</v>
      </c>
      <c r="AF9" s="12" t="s">
        <v>49</v>
      </c>
      <c r="AG9" s="12" t="s">
        <v>2</v>
      </c>
      <c r="AH9" s="12" t="s">
        <v>3</v>
      </c>
      <c r="AI9" s="12" t="s">
        <v>4</v>
      </c>
      <c r="AJ9" s="12" t="s">
        <v>5</v>
      </c>
      <c r="AK9" s="12" t="s">
        <v>49</v>
      </c>
      <c r="AL9" s="12" t="s">
        <v>2</v>
      </c>
      <c r="AM9" s="12" t="s">
        <v>3</v>
      </c>
      <c r="AN9" s="12" t="s">
        <v>4</v>
      </c>
      <c r="AO9" s="12" t="s">
        <v>5</v>
      </c>
      <c r="AP9" s="12" t="s">
        <v>49</v>
      </c>
      <c r="AQ9" s="12" t="s">
        <v>2</v>
      </c>
      <c r="AR9" s="12" t="s">
        <v>3</v>
      </c>
      <c r="AS9" s="12" t="s">
        <v>4</v>
      </c>
      <c r="AT9" s="12" t="s">
        <v>5</v>
      </c>
      <c r="AU9" s="12" t="s">
        <v>49</v>
      </c>
      <c r="AV9" s="12" t="s">
        <v>2</v>
      </c>
      <c r="AW9" s="12" t="s">
        <v>3</v>
      </c>
      <c r="AX9" s="12" t="s">
        <v>4</v>
      </c>
      <c r="AY9" s="12" t="s">
        <v>5</v>
      </c>
      <c r="AZ9" s="12" t="s">
        <v>49</v>
      </c>
      <c r="BA9" s="12" t="s">
        <v>2</v>
      </c>
      <c r="BB9" s="12" t="s">
        <v>3</v>
      </c>
      <c r="BC9" s="12" t="s">
        <v>4</v>
      </c>
      <c r="BD9" s="12" t="s">
        <v>5</v>
      </c>
      <c r="BE9" s="12" t="s">
        <v>49</v>
      </c>
      <c r="BF9" s="12" t="s">
        <v>2</v>
      </c>
      <c r="BG9" s="12" t="s">
        <v>3</v>
      </c>
      <c r="BH9" s="12" t="s">
        <v>4</v>
      </c>
      <c r="BI9" s="12" t="s">
        <v>5</v>
      </c>
      <c r="BJ9" s="12" t="s">
        <v>49</v>
      </c>
    </row>
    <row r="10" spans="1:62" x14ac:dyDescent="0.3">
      <c r="A10" s="10">
        <v>1</v>
      </c>
      <c r="B10" s="2" t="s">
        <v>6</v>
      </c>
      <c r="C10" s="5">
        <v>70249</v>
      </c>
      <c r="D10" s="5">
        <v>28689</v>
      </c>
      <c r="E10" s="3">
        <f>F10-D10</f>
        <v>41879</v>
      </c>
      <c r="F10" s="5">
        <v>70568</v>
      </c>
      <c r="G10" s="4">
        <f>F10/C10</f>
        <v>1.0045409899073297</v>
      </c>
      <c r="H10" s="5">
        <v>72254</v>
      </c>
      <c r="I10" s="5">
        <v>29165</v>
      </c>
      <c r="J10" s="3">
        <f>K10-I10</f>
        <v>43023</v>
      </c>
      <c r="K10" s="5">
        <v>72188</v>
      </c>
      <c r="L10" s="4">
        <f>K10/H10</f>
        <v>0.99908655576161876</v>
      </c>
      <c r="M10" s="5">
        <v>120466</v>
      </c>
      <c r="N10" s="5">
        <v>45623</v>
      </c>
      <c r="O10" s="3">
        <f>P10-N10</f>
        <v>74871</v>
      </c>
      <c r="P10" s="5">
        <v>120494</v>
      </c>
      <c r="Q10" s="4">
        <f>P10/M10</f>
        <v>1.0002324307273422</v>
      </c>
      <c r="R10" s="5">
        <v>70979</v>
      </c>
      <c r="S10" s="5">
        <v>29494</v>
      </c>
      <c r="T10" s="3">
        <f>U10-S10</f>
        <v>41695</v>
      </c>
      <c r="U10" s="5">
        <v>71189</v>
      </c>
      <c r="V10" s="4">
        <f>U10/R10</f>
        <v>1.0029586215641246</v>
      </c>
      <c r="W10" s="5">
        <v>73348</v>
      </c>
      <c r="X10" s="5">
        <v>30390</v>
      </c>
      <c r="Y10" s="3">
        <f>Z10-X10</f>
        <v>42547</v>
      </c>
      <c r="Z10" s="5">
        <v>72937</v>
      </c>
      <c r="AA10" s="4">
        <f>Z10/W10</f>
        <v>0.99439657523040847</v>
      </c>
      <c r="AB10" s="5">
        <v>123554</v>
      </c>
      <c r="AC10" s="5">
        <v>46600</v>
      </c>
      <c r="AD10" s="3">
        <f>AE10-AC10</f>
        <v>77025</v>
      </c>
      <c r="AE10" s="5">
        <v>123625</v>
      </c>
      <c r="AF10" s="4">
        <f>AE10/AB10</f>
        <v>1.0005746475225408</v>
      </c>
      <c r="AG10" s="5">
        <v>71950</v>
      </c>
      <c r="AH10" s="13">
        <v>30051</v>
      </c>
      <c r="AI10" s="3">
        <f>AJ10-AH10</f>
        <v>41864</v>
      </c>
      <c r="AJ10" s="5">
        <v>71915</v>
      </c>
      <c r="AK10" s="4">
        <f>AJ10/AG10</f>
        <v>0.99951355107713691</v>
      </c>
      <c r="AL10" s="5">
        <v>73532</v>
      </c>
      <c r="AM10" s="13">
        <v>29930</v>
      </c>
      <c r="AN10" s="3">
        <f>AO10-AM10</f>
        <v>43047</v>
      </c>
      <c r="AO10" s="5">
        <v>72977</v>
      </c>
      <c r="AP10" s="4">
        <f>AO10/AL10</f>
        <v>0.99245226568024802</v>
      </c>
      <c r="AQ10" s="5">
        <v>125499</v>
      </c>
      <c r="AR10" s="13">
        <v>46715</v>
      </c>
      <c r="AS10" s="3">
        <f>AT10-AR10</f>
        <v>79253</v>
      </c>
      <c r="AT10" s="5">
        <v>125968</v>
      </c>
      <c r="AU10" s="4">
        <f>AT10/AQ10</f>
        <v>1.003737081570371</v>
      </c>
      <c r="AV10" s="5">
        <v>72481</v>
      </c>
      <c r="AW10" s="13">
        <v>29864</v>
      </c>
      <c r="AX10" s="3">
        <f>AY10-AW10</f>
        <v>42363</v>
      </c>
      <c r="AY10" s="5">
        <v>72227</v>
      </c>
      <c r="AZ10" s="4">
        <f>AY10/AV10</f>
        <v>0.99649563333839208</v>
      </c>
      <c r="BA10" s="5">
        <v>73790</v>
      </c>
      <c r="BB10" s="13">
        <v>30195</v>
      </c>
      <c r="BC10" s="3">
        <f>BD10-BB10</f>
        <v>43034</v>
      </c>
      <c r="BD10" s="5">
        <v>73229</v>
      </c>
      <c r="BE10" s="4">
        <f>BD10/BA10</f>
        <v>0.99239734381352485</v>
      </c>
      <c r="BF10" s="5">
        <v>128129</v>
      </c>
      <c r="BG10" s="13">
        <v>42523</v>
      </c>
      <c r="BH10" s="3">
        <f>BI10-BG10</f>
        <v>85644</v>
      </c>
      <c r="BI10" s="5">
        <v>128167</v>
      </c>
      <c r="BJ10" s="4">
        <f>BI10/BF10</f>
        <v>1.0002965761068923</v>
      </c>
    </row>
    <row r="11" spans="1:62" x14ac:dyDescent="0.3">
      <c r="A11" s="10">
        <v>2</v>
      </c>
      <c r="B11" s="2" t="s">
        <v>7</v>
      </c>
      <c r="C11" s="5">
        <v>44514</v>
      </c>
      <c r="D11" s="5">
        <v>27155</v>
      </c>
      <c r="E11" s="3">
        <f t="shared" ref="E11:E47" si="0">F11-D11</f>
        <v>17633</v>
      </c>
      <c r="F11" s="5">
        <v>44788</v>
      </c>
      <c r="G11" s="4">
        <f t="shared" ref="G11:G47" si="1">F11/C11</f>
        <v>1.0061553668508785</v>
      </c>
      <c r="H11" s="5">
        <v>46110</v>
      </c>
      <c r="I11" s="5">
        <v>27222</v>
      </c>
      <c r="J11" s="3">
        <f t="shared" ref="J11:J33" si="2">K11-I11</f>
        <v>18775</v>
      </c>
      <c r="K11" s="5">
        <v>45997</v>
      </c>
      <c r="L11" s="4">
        <f t="shared" ref="L11:L33" si="3">K11/H11</f>
        <v>0.99754933853827799</v>
      </c>
      <c r="M11" s="5">
        <v>102242</v>
      </c>
      <c r="N11" s="5">
        <v>50063</v>
      </c>
      <c r="O11" s="3">
        <f t="shared" ref="O11:O33" si="4">P11-N11</f>
        <v>52507</v>
      </c>
      <c r="P11" s="5">
        <v>102570</v>
      </c>
      <c r="Q11" s="4">
        <f t="shared" ref="Q11:Q33" si="5">P11/M11</f>
        <v>1.0032080749594101</v>
      </c>
      <c r="R11" s="5">
        <v>44890</v>
      </c>
      <c r="S11" s="5">
        <v>28025</v>
      </c>
      <c r="T11" s="3">
        <f t="shared" ref="T11:T33" si="6">U11-S11</f>
        <v>16799</v>
      </c>
      <c r="U11" s="5">
        <v>44824</v>
      </c>
      <c r="V11" s="4">
        <f t="shared" ref="V11:V33" si="7">U11/R11</f>
        <v>0.99852973936288703</v>
      </c>
      <c r="W11" s="5">
        <v>46425</v>
      </c>
      <c r="X11" s="5">
        <v>28597</v>
      </c>
      <c r="Y11" s="3">
        <f t="shared" ref="Y11:Y33" si="8">Z11-X11</f>
        <v>17309</v>
      </c>
      <c r="Z11" s="5">
        <v>45906</v>
      </c>
      <c r="AA11" s="4">
        <f t="shared" ref="AA11:AA33" si="9">Z11/W11</f>
        <v>0.98882067851373179</v>
      </c>
      <c r="AB11" s="5">
        <v>103964</v>
      </c>
      <c r="AC11" s="5">
        <v>59922</v>
      </c>
      <c r="AD11" s="3">
        <f t="shared" ref="AD11:AD33" si="10">AE11-AC11</f>
        <v>44418</v>
      </c>
      <c r="AE11" s="5">
        <v>104340</v>
      </c>
      <c r="AF11" s="4">
        <f t="shared" ref="AF11:AF33" si="11">AE11/AB11</f>
        <v>1.003616636528029</v>
      </c>
      <c r="AG11" s="5">
        <v>45569</v>
      </c>
      <c r="AH11" s="13">
        <v>29709</v>
      </c>
      <c r="AI11" s="3">
        <f t="shared" ref="AI11:AI33" si="12">AJ11-AH11</f>
        <v>15641</v>
      </c>
      <c r="AJ11" s="5">
        <v>45350</v>
      </c>
      <c r="AK11" s="4">
        <f t="shared" ref="AK11:AK33" si="13">AJ11/AG11</f>
        <v>0.99519410125304486</v>
      </c>
      <c r="AL11" s="5">
        <v>46951</v>
      </c>
      <c r="AM11" s="13">
        <v>30251</v>
      </c>
      <c r="AN11" s="3">
        <f t="shared" ref="AN11:AN25" si="14">AO11-AM11</f>
        <v>16011</v>
      </c>
      <c r="AO11" s="5">
        <v>46262</v>
      </c>
      <c r="AP11" s="4">
        <f t="shared" ref="AP11:AP26" si="15">AO11/AL11</f>
        <v>0.98532512619539525</v>
      </c>
      <c r="AQ11" s="5">
        <v>105644</v>
      </c>
      <c r="AR11" s="13">
        <v>63606</v>
      </c>
      <c r="AS11" s="3">
        <f t="shared" ref="AS11:AS25" si="16">AT11-AR11</f>
        <v>42442</v>
      </c>
      <c r="AT11" s="5">
        <v>106048</v>
      </c>
      <c r="AU11" s="4">
        <f t="shared" ref="AU11:AU26" si="17">AT11/AQ11</f>
        <v>1.0038241641740184</v>
      </c>
      <c r="AV11" s="5">
        <v>46072</v>
      </c>
      <c r="AW11" s="13">
        <v>30845</v>
      </c>
      <c r="AX11" s="3">
        <f t="shared" ref="AX11:AX25" si="18">AY11-AW11</f>
        <v>15105</v>
      </c>
      <c r="AY11" s="5">
        <v>45950</v>
      </c>
      <c r="AZ11" s="4">
        <f t="shared" ref="AZ11:AZ26" si="19">AY11/AV11</f>
        <v>0.99735197082826876</v>
      </c>
      <c r="BA11" s="5">
        <v>47252</v>
      </c>
      <c r="BB11" s="13">
        <v>31346</v>
      </c>
      <c r="BC11" s="3">
        <f t="shared" ref="BC11:BC25" si="20">BD11-BB11</f>
        <v>15569</v>
      </c>
      <c r="BD11" s="5">
        <v>46915</v>
      </c>
      <c r="BE11" s="4">
        <f t="shared" ref="BE11:BE26" si="21">BD11/BA11</f>
        <v>0.99286802675019048</v>
      </c>
      <c r="BF11" s="5">
        <v>107665</v>
      </c>
      <c r="BG11" s="13">
        <v>61196</v>
      </c>
      <c r="BH11" s="3">
        <f t="shared" ref="BH11:BH33" si="22">BI11-BG11</f>
        <v>46577</v>
      </c>
      <c r="BI11" s="5">
        <v>107773</v>
      </c>
      <c r="BJ11" s="4">
        <f t="shared" ref="BJ11:BJ33" si="23">BI11/BF11</f>
        <v>1.001003111503274</v>
      </c>
    </row>
    <row r="12" spans="1:62" x14ac:dyDescent="0.3">
      <c r="A12" s="10">
        <v>3</v>
      </c>
      <c r="B12" s="2" t="s">
        <v>8</v>
      </c>
      <c r="C12" s="5">
        <v>165970</v>
      </c>
      <c r="D12" s="5">
        <v>129901</v>
      </c>
      <c r="E12" s="3">
        <f t="shared" si="0"/>
        <v>35173</v>
      </c>
      <c r="F12" s="5">
        <v>165074</v>
      </c>
      <c r="G12" s="4">
        <f t="shared" si="1"/>
        <v>0.99460143399409529</v>
      </c>
      <c r="H12" s="5">
        <v>170538</v>
      </c>
      <c r="I12" s="5">
        <v>130540</v>
      </c>
      <c r="J12" s="3">
        <f t="shared" si="2"/>
        <v>37617</v>
      </c>
      <c r="K12" s="5">
        <v>168157</v>
      </c>
      <c r="L12" s="4">
        <f t="shared" si="3"/>
        <v>0.98603830231385381</v>
      </c>
      <c r="M12" s="5">
        <v>344875</v>
      </c>
      <c r="N12" s="5">
        <v>247761</v>
      </c>
      <c r="O12" s="3">
        <f t="shared" si="4"/>
        <v>96119</v>
      </c>
      <c r="P12" s="5">
        <v>343880</v>
      </c>
      <c r="Q12" s="4">
        <f t="shared" si="5"/>
        <v>0.9971148967017035</v>
      </c>
      <c r="R12" s="5">
        <v>167705</v>
      </c>
      <c r="S12" s="5">
        <v>129138</v>
      </c>
      <c r="T12" s="3">
        <f t="shared" si="6"/>
        <v>37672</v>
      </c>
      <c r="U12" s="5">
        <v>166810</v>
      </c>
      <c r="V12" s="4">
        <f t="shared" si="7"/>
        <v>0.99466324796517691</v>
      </c>
      <c r="W12" s="5">
        <v>171864</v>
      </c>
      <c r="X12" s="5">
        <v>131240</v>
      </c>
      <c r="Y12" s="3">
        <f t="shared" si="8"/>
        <v>38700</v>
      </c>
      <c r="Z12" s="5">
        <v>169940</v>
      </c>
      <c r="AA12" s="4">
        <f t="shared" si="9"/>
        <v>0.98880510170832747</v>
      </c>
      <c r="AB12" s="5">
        <v>349048</v>
      </c>
      <c r="AC12" s="5">
        <v>255454</v>
      </c>
      <c r="AD12" s="3">
        <f t="shared" si="10"/>
        <v>93193</v>
      </c>
      <c r="AE12" s="5">
        <v>348647</v>
      </c>
      <c r="AF12" s="4">
        <f t="shared" si="11"/>
        <v>0.99885116087185721</v>
      </c>
      <c r="AG12" s="5">
        <v>170526</v>
      </c>
      <c r="AH12" s="13">
        <v>131776</v>
      </c>
      <c r="AI12" s="3">
        <f t="shared" si="12"/>
        <v>38081</v>
      </c>
      <c r="AJ12" s="5">
        <v>169857</v>
      </c>
      <c r="AK12" s="4">
        <f t="shared" si="13"/>
        <v>0.99607684458674928</v>
      </c>
      <c r="AL12" s="5">
        <v>174892</v>
      </c>
      <c r="AM12" s="13">
        <v>133948</v>
      </c>
      <c r="AN12" s="3">
        <f t="shared" si="14"/>
        <v>38324</v>
      </c>
      <c r="AO12" s="5">
        <v>172272</v>
      </c>
      <c r="AP12" s="4">
        <f t="shared" si="15"/>
        <v>0.98501932621274846</v>
      </c>
      <c r="AQ12" s="5">
        <v>353589</v>
      </c>
      <c r="AR12" s="13">
        <v>259019</v>
      </c>
      <c r="AS12" s="3">
        <f t="shared" si="16"/>
        <v>94342</v>
      </c>
      <c r="AT12" s="5">
        <v>353361</v>
      </c>
      <c r="AU12" s="4">
        <f t="shared" si="17"/>
        <v>0.99935518356057451</v>
      </c>
      <c r="AV12" s="5">
        <v>172980</v>
      </c>
      <c r="AW12" s="13">
        <v>135676</v>
      </c>
      <c r="AX12" s="3">
        <f t="shared" si="18"/>
        <v>36203</v>
      </c>
      <c r="AY12" s="5">
        <v>171879</v>
      </c>
      <c r="AZ12" s="4">
        <f t="shared" si="19"/>
        <v>0.99363510232396812</v>
      </c>
      <c r="BA12" s="5">
        <v>177212</v>
      </c>
      <c r="BB12" s="13">
        <v>137894</v>
      </c>
      <c r="BC12" s="3">
        <f t="shared" si="20"/>
        <v>36712</v>
      </c>
      <c r="BD12" s="5">
        <v>174606</v>
      </c>
      <c r="BE12" s="4">
        <f t="shared" si="21"/>
        <v>0.98529444958580681</v>
      </c>
      <c r="BF12" s="5">
        <v>359260</v>
      </c>
      <c r="BG12" s="13">
        <v>257240</v>
      </c>
      <c r="BH12" s="3">
        <f t="shared" si="22"/>
        <v>100762</v>
      </c>
      <c r="BI12" s="5">
        <v>358002</v>
      </c>
      <c r="BJ12" s="4">
        <f t="shared" si="23"/>
        <v>0.9964983577353449</v>
      </c>
    </row>
    <row r="13" spans="1:62" x14ac:dyDescent="0.3">
      <c r="A13" s="10">
        <v>4</v>
      </c>
      <c r="B13" s="2" t="s">
        <v>9</v>
      </c>
      <c r="C13" s="5">
        <v>16508</v>
      </c>
      <c r="D13" s="5">
        <v>13215</v>
      </c>
      <c r="E13" s="3">
        <f t="shared" si="0"/>
        <v>3342</v>
      </c>
      <c r="F13" s="5">
        <v>16557</v>
      </c>
      <c r="G13" s="4">
        <f t="shared" si="1"/>
        <v>1.002968257814393</v>
      </c>
      <c r="H13" s="5">
        <v>16836</v>
      </c>
      <c r="I13" s="5">
        <v>13210</v>
      </c>
      <c r="J13" s="3">
        <f t="shared" si="2"/>
        <v>3543</v>
      </c>
      <c r="K13" s="5">
        <v>16753</v>
      </c>
      <c r="L13" s="4">
        <f t="shared" si="3"/>
        <v>0.99507008790686624</v>
      </c>
      <c r="M13" s="5">
        <v>27790</v>
      </c>
      <c r="N13" s="5">
        <v>20316</v>
      </c>
      <c r="O13" s="3">
        <f t="shared" si="4"/>
        <v>7552</v>
      </c>
      <c r="P13" s="5">
        <v>27868</v>
      </c>
      <c r="Q13" s="4">
        <f t="shared" si="5"/>
        <v>1.0028067650233896</v>
      </c>
      <c r="R13" s="5">
        <v>16731</v>
      </c>
      <c r="S13" s="5">
        <v>13202</v>
      </c>
      <c r="T13" s="3">
        <f t="shared" si="6"/>
        <v>3510</v>
      </c>
      <c r="U13" s="5">
        <v>16712</v>
      </c>
      <c r="V13" s="4">
        <f t="shared" si="7"/>
        <v>0.99886438347976814</v>
      </c>
      <c r="W13" s="5">
        <v>16980</v>
      </c>
      <c r="X13" s="5">
        <v>13307</v>
      </c>
      <c r="Y13" s="3">
        <f t="shared" si="8"/>
        <v>3656</v>
      </c>
      <c r="Z13" s="5">
        <v>16963</v>
      </c>
      <c r="AA13" s="4">
        <f t="shared" si="9"/>
        <v>0.99899882214369851</v>
      </c>
      <c r="AB13" s="5">
        <v>28086</v>
      </c>
      <c r="AC13" s="5">
        <v>21392</v>
      </c>
      <c r="AD13" s="3">
        <f t="shared" si="10"/>
        <v>6742</v>
      </c>
      <c r="AE13" s="5">
        <v>28134</v>
      </c>
      <c r="AF13" s="4">
        <f t="shared" si="11"/>
        <v>1.0017090365306558</v>
      </c>
      <c r="AG13" s="5">
        <v>17018</v>
      </c>
      <c r="AH13" s="13">
        <v>13532</v>
      </c>
      <c r="AI13" s="3">
        <f t="shared" si="12"/>
        <v>3644</v>
      </c>
      <c r="AJ13" s="5">
        <v>17176</v>
      </c>
      <c r="AK13" s="4">
        <f t="shared" si="13"/>
        <v>1.009284287225291</v>
      </c>
      <c r="AL13" s="5">
        <v>17260</v>
      </c>
      <c r="AM13" s="13">
        <v>13581</v>
      </c>
      <c r="AN13" s="3">
        <f t="shared" si="14"/>
        <v>3704</v>
      </c>
      <c r="AO13" s="5">
        <v>17285</v>
      </c>
      <c r="AP13" s="4">
        <f t="shared" si="15"/>
        <v>1.0014484356894553</v>
      </c>
      <c r="AQ13" s="5">
        <v>28368</v>
      </c>
      <c r="AR13" s="13">
        <v>21983</v>
      </c>
      <c r="AS13" s="3">
        <f t="shared" si="16"/>
        <v>6504</v>
      </c>
      <c r="AT13" s="5">
        <v>28487</v>
      </c>
      <c r="AU13" s="4">
        <f t="shared" si="17"/>
        <v>1.0041948674562888</v>
      </c>
      <c r="AV13" s="5">
        <v>17209</v>
      </c>
      <c r="AW13" s="13">
        <v>13801</v>
      </c>
      <c r="AX13" s="3">
        <f t="shared" si="18"/>
        <v>3474</v>
      </c>
      <c r="AY13" s="5">
        <v>17275</v>
      </c>
      <c r="AZ13" s="4">
        <f t="shared" si="19"/>
        <v>1.0038352025103143</v>
      </c>
      <c r="BA13" s="5">
        <v>17487</v>
      </c>
      <c r="BB13" s="13">
        <v>13967</v>
      </c>
      <c r="BC13" s="3">
        <f t="shared" si="20"/>
        <v>3442</v>
      </c>
      <c r="BD13" s="5">
        <v>17409</v>
      </c>
      <c r="BE13" s="4">
        <f t="shared" si="21"/>
        <v>0.99553954366100528</v>
      </c>
      <c r="BF13" s="5">
        <v>28574</v>
      </c>
      <c r="BG13" s="13">
        <v>21642</v>
      </c>
      <c r="BH13" s="3">
        <f t="shared" si="22"/>
        <v>7063</v>
      </c>
      <c r="BI13" s="5">
        <v>28705</v>
      </c>
      <c r="BJ13" s="4">
        <f t="shared" si="23"/>
        <v>1.0045845873871351</v>
      </c>
    </row>
    <row r="14" spans="1:62" x14ac:dyDescent="0.3">
      <c r="A14" s="10">
        <v>5</v>
      </c>
      <c r="B14" s="2" t="s">
        <v>10</v>
      </c>
      <c r="C14" s="5">
        <v>85383</v>
      </c>
      <c r="D14" s="5">
        <v>48444</v>
      </c>
      <c r="E14" s="3">
        <f t="shared" si="0"/>
        <v>36555</v>
      </c>
      <c r="F14" s="5">
        <v>84999</v>
      </c>
      <c r="G14" s="4">
        <f t="shared" si="1"/>
        <v>0.99550261761709002</v>
      </c>
      <c r="H14" s="5">
        <v>88261</v>
      </c>
      <c r="I14" s="5">
        <v>48825</v>
      </c>
      <c r="J14" s="3">
        <f t="shared" si="2"/>
        <v>37984</v>
      </c>
      <c r="K14" s="5">
        <v>86809</v>
      </c>
      <c r="L14" s="4">
        <f t="shared" si="3"/>
        <v>0.98354879278503526</v>
      </c>
      <c r="M14" s="5">
        <v>157146</v>
      </c>
      <c r="N14" s="5">
        <v>78901</v>
      </c>
      <c r="O14" s="3">
        <f t="shared" si="4"/>
        <v>76990</v>
      </c>
      <c r="P14" s="5">
        <v>155891</v>
      </c>
      <c r="Q14" s="4">
        <f t="shared" si="5"/>
        <v>0.99201379608771456</v>
      </c>
      <c r="R14" s="5">
        <v>86469</v>
      </c>
      <c r="S14" s="5">
        <v>48332</v>
      </c>
      <c r="T14" s="3">
        <f t="shared" si="6"/>
        <v>36758</v>
      </c>
      <c r="U14" s="5">
        <v>85090</v>
      </c>
      <c r="V14" s="4">
        <f t="shared" si="7"/>
        <v>0.98405208803154887</v>
      </c>
      <c r="W14" s="5">
        <v>88169</v>
      </c>
      <c r="X14" s="5">
        <v>48565</v>
      </c>
      <c r="Y14" s="3">
        <f t="shared" si="8"/>
        <v>37741</v>
      </c>
      <c r="Z14" s="5">
        <v>86306</v>
      </c>
      <c r="AA14" s="4">
        <f t="shared" si="9"/>
        <v>0.97887012442014765</v>
      </c>
      <c r="AB14" s="5">
        <v>157930</v>
      </c>
      <c r="AC14" s="5">
        <v>81416</v>
      </c>
      <c r="AD14" s="3">
        <f t="shared" si="10"/>
        <v>76148</v>
      </c>
      <c r="AE14" s="5">
        <v>157564</v>
      </c>
      <c r="AF14" s="4">
        <f t="shared" si="11"/>
        <v>0.99768251757107584</v>
      </c>
      <c r="AG14" s="5">
        <v>87312</v>
      </c>
      <c r="AH14" s="13">
        <v>48856</v>
      </c>
      <c r="AI14" s="3">
        <f t="shared" si="12"/>
        <v>37770</v>
      </c>
      <c r="AJ14" s="5">
        <v>86626</v>
      </c>
      <c r="AK14" s="4">
        <f t="shared" si="13"/>
        <v>0.99214311892981488</v>
      </c>
      <c r="AL14" s="5">
        <v>89337</v>
      </c>
      <c r="AM14" s="13">
        <v>50118</v>
      </c>
      <c r="AN14" s="3">
        <f t="shared" si="14"/>
        <v>37702</v>
      </c>
      <c r="AO14" s="5">
        <v>87820</v>
      </c>
      <c r="AP14" s="4">
        <f t="shared" si="15"/>
        <v>0.98301935368324433</v>
      </c>
      <c r="AQ14" s="5">
        <v>160173</v>
      </c>
      <c r="AR14" s="13">
        <v>83010</v>
      </c>
      <c r="AS14" s="3">
        <f t="shared" si="16"/>
        <v>77652</v>
      </c>
      <c r="AT14" s="5">
        <v>160662</v>
      </c>
      <c r="AU14" s="4">
        <f t="shared" si="17"/>
        <v>1.0030529489988949</v>
      </c>
      <c r="AV14" s="5">
        <v>88523</v>
      </c>
      <c r="AW14" s="13">
        <v>50537</v>
      </c>
      <c r="AX14" s="3">
        <f t="shared" si="18"/>
        <v>37635</v>
      </c>
      <c r="AY14" s="5">
        <v>88172</v>
      </c>
      <c r="AZ14" s="4">
        <f t="shared" si="19"/>
        <v>0.99603492877557243</v>
      </c>
      <c r="BA14" s="5">
        <v>90782</v>
      </c>
      <c r="BB14" s="13">
        <v>51914</v>
      </c>
      <c r="BC14" s="3">
        <f t="shared" si="20"/>
        <v>37741</v>
      </c>
      <c r="BD14" s="5">
        <v>89655</v>
      </c>
      <c r="BE14" s="4">
        <f t="shared" si="21"/>
        <v>0.98758564473133437</v>
      </c>
      <c r="BF14" s="5">
        <v>163900</v>
      </c>
      <c r="BG14" s="13">
        <v>81154</v>
      </c>
      <c r="BH14" s="3">
        <f t="shared" si="22"/>
        <v>82160</v>
      </c>
      <c r="BI14" s="5">
        <v>163314</v>
      </c>
      <c r="BJ14" s="4">
        <f t="shared" si="23"/>
        <v>0.996424649176327</v>
      </c>
    </row>
    <row r="15" spans="1:62" x14ac:dyDescent="0.3">
      <c r="A15" s="10">
        <v>6</v>
      </c>
      <c r="B15" s="2" t="s">
        <v>11</v>
      </c>
      <c r="C15" s="5">
        <v>284262</v>
      </c>
      <c r="D15" s="5">
        <v>209878</v>
      </c>
      <c r="E15" s="3">
        <f t="shared" si="0"/>
        <v>72334</v>
      </c>
      <c r="F15" s="5">
        <v>282212</v>
      </c>
      <c r="G15" s="4">
        <f t="shared" si="1"/>
        <v>0.9927883431482224</v>
      </c>
      <c r="H15" s="5">
        <v>290906</v>
      </c>
      <c r="I15" s="5">
        <v>210450</v>
      </c>
      <c r="J15" s="3">
        <f t="shared" si="2"/>
        <v>76325</v>
      </c>
      <c r="K15" s="5">
        <v>286775</v>
      </c>
      <c r="L15" s="4">
        <f t="shared" si="3"/>
        <v>0.98579953662007658</v>
      </c>
      <c r="M15" s="5">
        <v>490131</v>
      </c>
      <c r="N15" s="5">
        <v>339316</v>
      </c>
      <c r="O15" s="3">
        <f t="shared" si="4"/>
        <v>147284</v>
      </c>
      <c r="P15" s="5">
        <v>486600</v>
      </c>
      <c r="Q15" s="4">
        <f t="shared" si="5"/>
        <v>0.99279580357088204</v>
      </c>
      <c r="R15" s="5">
        <v>287010</v>
      </c>
      <c r="S15" s="5">
        <v>208590</v>
      </c>
      <c r="T15" s="3">
        <f t="shared" si="6"/>
        <v>74984</v>
      </c>
      <c r="U15" s="5">
        <v>283574</v>
      </c>
      <c r="V15" s="4">
        <f t="shared" si="7"/>
        <v>0.98802829169715345</v>
      </c>
      <c r="W15" s="5">
        <v>292338</v>
      </c>
      <c r="X15" s="5">
        <v>213093</v>
      </c>
      <c r="Y15" s="3">
        <f t="shared" si="8"/>
        <v>74392</v>
      </c>
      <c r="Z15" s="5">
        <v>287485</v>
      </c>
      <c r="AA15" s="4">
        <f t="shared" si="9"/>
        <v>0.98339935280394608</v>
      </c>
      <c r="AB15" s="5">
        <v>495688</v>
      </c>
      <c r="AC15" s="5">
        <v>349688</v>
      </c>
      <c r="AD15" s="3">
        <f t="shared" si="10"/>
        <v>142479</v>
      </c>
      <c r="AE15" s="5">
        <v>492167</v>
      </c>
      <c r="AF15" s="4">
        <f t="shared" si="11"/>
        <v>0.99289674149868468</v>
      </c>
      <c r="AG15" s="5">
        <v>292071</v>
      </c>
      <c r="AH15" s="13">
        <v>211009</v>
      </c>
      <c r="AI15" s="3">
        <f t="shared" si="12"/>
        <v>78359</v>
      </c>
      <c r="AJ15" s="5">
        <v>289368</v>
      </c>
      <c r="AK15" s="4">
        <f t="shared" si="13"/>
        <v>0.99074540094703001</v>
      </c>
      <c r="AL15" s="5">
        <v>298411</v>
      </c>
      <c r="AM15" s="13">
        <v>218221</v>
      </c>
      <c r="AN15" s="3">
        <f t="shared" si="14"/>
        <v>75046</v>
      </c>
      <c r="AO15" s="5">
        <v>293267</v>
      </c>
      <c r="AP15" s="4">
        <f t="shared" si="15"/>
        <v>0.98276202954984904</v>
      </c>
      <c r="AQ15" s="5">
        <v>502913</v>
      </c>
      <c r="AR15" s="13">
        <v>362088</v>
      </c>
      <c r="AS15" s="3">
        <f t="shared" si="16"/>
        <v>137739</v>
      </c>
      <c r="AT15" s="5">
        <v>499827</v>
      </c>
      <c r="AU15" s="4">
        <f t="shared" si="17"/>
        <v>0.99386374979370185</v>
      </c>
      <c r="AV15" s="5">
        <v>298012</v>
      </c>
      <c r="AW15" s="13">
        <v>222703</v>
      </c>
      <c r="AX15" s="3">
        <f t="shared" si="18"/>
        <v>71734</v>
      </c>
      <c r="AY15" s="5">
        <v>294437</v>
      </c>
      <c r="AZ15" s="4">
        <f t="shared" si="19"/>
        <v>0.98800383877159303</v>
      </c>
      <c r="BA15" s="5">
        <v>303376</v>
      </c>
      <c r="BB15" s="13">
        <v>227228</v>
      </c>
      <c r="BC15" s="3">
        <f t="shared" si="20"/>
        <v>71596</v>
      </c>
      <c r="BD15" s="5">
        <v>298824</v>
      </c>
      <c r="BE15" s="4">
        <f t="shared" si="21"/>
        <v>0.98499551711407629</v>
      </c>
      <c r="BF15" s="5">
        <v>511329</v>
      </c>
      <c r="BG15" s="13">
        <v>358006</v>
      </c>
      <c r="BH15" s="3">
        <f t="shared" si="22"/>
        <v>149696</v>
      </c>
      <c r="BI15" s="5">
        <v>507702</v>
      </c>
      <c r="BJ15" s="4">
        <f t="shared" si="23"/>
        <v>0.99290671954847076</v>
      </c>
    </row>
    <row r="16" spans="1:62" x14ac:dyDescent="0.3">
      <c r="A16" s="10">
        <v>7</v>
      </c>
      <c r="B16" s="2" t="s">
        <v>12</v>
      </c>
      <c r="C16" s="5">
        <v>430635</v>
      </c>
      <c r="D16" s="5">
        <v>319634</v>
      </c>
      <c r="E16" s="3">
        <f t="shared" si="0"/>
        <v>107224</v>
      </c>
      <c r="F16" s="5">
        <v>426858</v>
      </c>
      <c r="G16" s="4">
        <f t="shared" si="1"/>
        <v>0.99122923125152396</v>
      </c>
      <c r="H16" s="5">
        <v>441093</v>
      </c>
      <c r="I16" s="5">
        <v>317926</v>
      </c>
      <c r="J16" s="3">
        <f t="shared" si="2"/>
        <v>113341</v>
      </c>
      <c r="K16" s="5">
        <v>431267</v>
      </c>
      <c r="L16" s="4">
        <f t="shared" si="3"/>
        <v>0.97772351862305684</v>
      </c>
      <c r="M16" s="5">
        <v>754668</v>
      </c>
      <c r="N16" s="5">
        <v>551852</v>
      </c>
      <c r="O16" s="3">
        <f t="shared" si="4"/>
        <v>199874</v>
      </c>
      <c r="P16" s="5">
        <v>751726</v>
      </c>
      <c r="Q16" s="4">
        <f t="shared" si="5"/>
        <v>0.99610159699364487</v>
      </c>
      <c r="R16" s="5">
        <v>429537</v>
      </c>
      <c r="S16" s="5">
        <v>312302</v>
      </c>
      <c r="T16" s="3">
        <f t="shared" si="6"/>
        <v>111568</v>
      </c>
      <c r="U16" s="5">
        <v>423870</v>
      </c>
      <c r="V16" s="4">
        <f t="shared" si="7"/>
        <v>0.98680672444981454</v>
      </c>
      <c r="W16" s="5">
        <v>433887</v>
      </c>
      <c r="X16" s="5">
        <v>314243</v>
      </c>
      <c r="Y16" s="3">
        <f t="shared" si="8"/>
        <v>112644</v>
      </c>
      <c r="Z16" s="5">
        <v>426887</v>
      </c>
      <c r="AA16" s="4">
        <f t="shared" si="9"/>
        <v>0.98386676715365984</v>
      </c>
      <c r="AB16" s="5">
        <v>753330</v>
      </c>
      <c r="AC16" s="5">
        <v>552078</v>
      </c>
      <c r="AD16" s="3">
        <f t="shared" si="10"/>
        <v>200052</v>
      </c>
      <c r="AE16" s="5">
        <v>752130</v>
      </c>
      <c r="AF16" s="4">
        <f t="shared" si="11"/>
        <v>0.99840707259766637</v>
      </c>
      <c r="AG16" s="5">
        <v>431686</v>
      </c>
      <c r="AH16" s="13">
        <v>312341</v>
      </c>
      <c r="AI16" s="3">
        <f t="shared" si="12"/>
        <v>113802</v>
      </c>
      <c r="AJ16" s="5">
        <v>426143</v>
      </c>
      <c r="AK16" s="4">
        <f t="shared" si="13"/>
        <v>0.98715964844817761</v>
      </c>
      <c r="AL16" s="5">
        <v>438911</v>
      </c>
      <c r="AM16" s="13">
        <v>316492</v>
      </c>
      <c r="AN16" s="3">
        <f t="shared" si="14"/>
        <v>114067</v>
      </c>
      <c r="AO16" s="5">
        <v>430559</v>
      </c>
      <c r="AP16" s="4">
        <f t="shared" si="15"/>
        <v>0.98097108525418597</v>
      </c>
      <c r="AQ16" s="5">
        <v>759875</v>
      </c>
      <c r="AR16" s="13">
        <v>562999</v>
      </c>
      <c r="AS16" s="3">
        <f t="shared" si="16"/>
        <v>195670</v>
      </c>
      <c r="AT16" s="5">
        <v>758669</v>
      </c>
      <c r="AU16" s="4">
        <f t="shared" si="17"/>
        <v>0.99841289685803591</v>
      </c>
      <c r="AV16" s="5">
        <v>437477</v>
      </c>
      <c r="AW16" s="13">
        <v>322741</v>
      </c>
      <c r="AX16" s="3">
        <f t="shared" si="18"/>
        <v>108369</v>
      </c>
      <c r="AY16" s="5">
        <v>431110</v>
      </c>
      <c r="AZ16" s="4">
        <f t="shared" si="19"/>
        <v>0.9854460920231235</v>
      </c>
      <c r="BA16" s="5">
        <v>445887</v>
      </c>
      <c r="BB16" s="13">
        <v>327168</v>
      </c>
      <c r="BC16" s="3">
        <f t="shared" si="20"/>
        <v>109788</v>
      </c>
      <c r="BD16" s="5">
        <v>436956</v>
      </c>
      <c r="BE16" s="4">
        <f t="shared" si="21"/>
        <v>0.97997026152365962</v>
      </c>
      <c r="BF16" s="5">
        <v>770088</v>
      </c>
      <c r="BG16" s="13">
        <v>557582</v>
      </c>
      <c r="BH16" s="3">
        <f t="shared" si="22"/>
        <v>207416</v>
      </c>
      <c r="BI16" s="5">
        <v>764998</v>
      </c>
      <c r="BJ16" s="4">
        <f t="shared" si="23"/>
        <v>0.99339036577637885</v>
      </c>
    </row>
    <row r="17" spans="1:62" x14ac:dyDescent="0.3">
      <c r="A17" s="10">
        <v>8</v>
      </c>
      <c r="B17" s="2" t="s">
        <v>13</v>
      </c>
      <c r="C17" s="5">
        <v>302574</v>
      </c>
      <c r="D17" s="5">
        <v>211846</v>
      </c>
      <c r="E17" s="3">
        <f t="shared" si="0"/>
        <v>89310</v>
      </c>
      <c r="F17" s="5">
        <v>301156</v>
      </c>
      <c r="G17" s="4">
        <f t="shared" si="1"/>
        <v>0.99531354313325004</v>
      </c>
      <c r="H17" s="5">
        <v>314962</v>
      </c>
      <c r="I17" s="5">
        <v>217051</v>
      </c>
      <c r="J17" s="3">
        <f t="shared" si="2"/>
        <v>92351</v>
      </c>
      <c r="K17" s="5">
        <v>309402</v>
      </c>
      <c r="L17" s="4">
        <f t="shared" si="3"/>
        <v>0.98234707679021593</v>
      </c>
      <c r="M17" s="5">
        <v>695415</v>
      </c>
      <c r="N17" s="5">
        <v>442279</v>
      </c>
      <c r="O17" s="3">
        <f t="shared" si="4"/>
        <v>249485</v>
      </c>
      <c r="P17" s="5">
        <v>691764</v>
      </c>
      <c r="Q17" s="4">
        <f t="shared" si="5"/>
        <v>0.99474989754319365</v>
      </c>
      <c r="R17" s="5">
        <v>305324</v>
      </c>
      <c r="S17" s="5">
        <v>211986</v>
      </c>
      <c r="T17" s="3">
        <f t="shared" si="6"/>
        <v>90709</v>
      </c>
      <c r="U17" s="5">
        <v>302695</v>
      </c>
      <c r="V17" s="4">
        <f t="shared" si="7"/>
        <v>0.99138947478743888</v>
      </c>
      <c r="W17" s="5">
        <v>316716</v>
      </c>
      <c r="X17" s="5">
        <v>216353</v>
      </c>
      <c r="Y17" s="3">
        <f t="shared" si="8"/>
        <v>93453</v>
      </c>
      <c r="Z17" s="5">
        <v>309806</v>
      </c>
      <c r="AA17" s="4">
        <f t="shared" si="9"/>
        <v>0.97818234632920342</v>
      </c>
      <c r="AB17" s="5">
        <v>703511</v>
      </c>
      <c r="AC17" s="5">
        <v>445675</v>
      </c>
      <c r="AD17" s="3">
        <f t="shared" si="10"/>
        <v>254095</v>
      </c>
      <c r="AE17" s="5">
        <v>699770</v>
      </c>
      <c r="AF17" s="4">
        <f t="shared" si="11"/>
        <v>0.99468238591862812</v>
      </c>
      <c r="AG17" s="5">
        <v>311084</v>
      </c>
      <c r="AH17" s="13">
        <v>218094</v>
      </c>
      <c r="AI17" s="3">
        <f t="shared" si="12"/>
        <v>90885</v>
      </c>
      <c r="AJ17" s="5">
        <v>308979</v>
      </c>
      <c r="AK17" s="4">
        <f t="shared" si="13"/>
        <v>0.99323333890524745</v>
      </c>
      <c r="AL17" s="5">
        <v>323550</v>
      </c>
      <c r="AM17" s="13">
        <v>222745</v>
      </c>
      <c r="AN17" s="3">
        <f t="shared" si="14"/>
        <v>93535</v>
      </c>
      <c r="AO17" s="5">
        <v>316280</v>
      </c>
      <c r="AP17" s="4">
        <f t="shared" si="15"/>
        <v>0.97753052078504099</v>
      </c>
      <c r="AQ17" s="5">
        <v>714257</v>
      </c>
      <c r="AR17" s="13">
        <v>469924</v>
      </c>
      <c r="AS17" s="3">
        <f t="shared" si="16"/>
        <v>244268</v>
      </c>
      <c r="AT17" s="5">
        <v>714192</v>
      </c>
      <c r="AU17" s="4">
        <f t="shared" si="17"/>
        <v>0.99990899634165298</v>
      </c>
      <c r="AV17" s="5">
        <v>316308</v>
      </c>
      <c r="AW17" s="13">
        <v>227656</v>
      </c>
      <c r="AX17" s="3">
        <f t="shared" si="18"/>
        <v>87067</v>
      </c>
      <c r="AY17" s="5">
        <v>314723</v>
      </c>
      <c r="AZ17" s="4">
        <f t="shared" si="19"/>
        <v>0.99498906129468745</v>
      </c>
      <c r="BA17" s="5">
        <v>328067</v>
      </c>
      <c r="BB17" s="13">
        <v>233170</v>
      </c>
      <c r="BC17" s="3">
        <f t="shared" si="20"/>
        <v>88492</v>
      </c>
      <c r="BD17" s="5">
        <v>321662</v>
      </c>
      <c r="BE17" s="4">
        <f t="shared" si="21"/>
        <v>0.98047654899761327</v>
      </c>
      <c r="BF17" s="5">
        <v>726752</v>
      </c>
      <c r="BG17" s="13">
        <v>452470</v>
      </c>
      <c r="BH17" s="3">
        <f t="shared" si="22"/>
        <v>273130</v>
      </c>
      <c r="BI17" s="5">
        <v>725600</v>
      </c>
      <c r="BJ17" s="4">
        <f t="shared" si="23"/>
        <v>0.99841486504337107</v>
      </c>
    </row>
    <row r="18" spans="1:62" x14ac:dyDescent="0.3">
      <c r="A18" s="10">
        <v>9</v>
      </c>
      <c r="B18" s="2" t="s">
        <v>14</v>
      </c>
      <c r="C18" s="5">
        <v>921236</v>
      </c>
      <c r="D18" s="5">
        <v>463533</v>
      </c>
      <c r="E18" s="3">
        <f t="shared" si="0"/>
        <v>454341</v>
      </c>
      <c r="F18" s="5">
        <v>917874</v>
      </c>
      <c r="G18" s="4">
        <f t="shared" si="1"/>
        <v>0.99635055512376847</v>
      </c>
      <c r="H18" s="5">
        <v>943261</v>
      </c>
      <c r="I18" s="5">
        <v>483030</v>
      </c>
      <c r="J18" s="3">
        <f t="shared" si="2"/>
        <v>449510</v>
      </c>
      <c r="K18" s="5">
        <v>932540</v>
      </c>
      <c r="L18" s="4">
        <f t="shared" si="3"/>
        <v>0.98863411081344399</v>
      </c>
      <c r="M18" s="5">
        <v>1440086</v>
      </c>
      <c r="N18" s="5">
        <v>694090</v>
      </c>
      <c r="O18" s="3">
        <f t="shared" si="4"/>
        <v>736554</v>
      </c>
      <c r="P18" s="5">
        <v>1430644</v>
      </c>
      <c r="Q18" s="4">
        <f t="shared" si="5"/>
        <v>0.99344344712746324</v>
      </c>
      <c r="R18" s="5">
        <v>938677</v>
      </c>
      <c r="S18" s="5">
        <v>472567</v>
      </c>
      <c r="T18" s="3">
        <f t="shared" si="6"/>
        <v>455687</v>
      </c>
      <c r="U18" s="5">
        <v>928254</v>
      </c>
      <c r="V18" s="4">
        <f t="shared" si="7"/>
        <v>0.98889607394236778</v>
      </c>
      <c r="W18" s="5">
        <v>958009</v>
      </c>
      <c r="X18" s="5">
        <v>481180</v>
      </c>
      <c r="Y18" s="3">
        <f t="shared" si="8"/>
        <v>462175</v>
      </c>
      <c r="Z18" s="5">
        <v>943355</v>
      </c>
      <c r="AA18" s="4">
        <f t="shared" si="9"/>
        <v>0.9847036927628029</v>
      </c>
      <c r="AB18" s="5">
        <v>1463397</v>
      </c>
      <c r="AC18" s="5">
        <v>703758</v>
      </c>
      <c r="AD18" s="3">
        <f t="shared" si="10"/>
        <v>751148</v>
      </c>
      <c r="AE18" s="5">
        <v>1454906</v>
      </c>
      <c r="AF18" s="4">
        <f t="shared" si="11"/>
        <v>0.994197746749515</v>
      </c>
      <c r="AG18" s="5">
        <v>959088</v>
      </c>
      <c r="AH18" s="13">
        <v>481971</v>
      </c>
      <c r="AI18" s="3">
        <f t="shared" si="12"/>
        <v>469086</v>
      </c>
      <c r="AJ18" s="5">
        <v>951057</v>
      </c>
      <c r="AK18" s="4">
        <f t="shared" si="13"/>
        <v>0.99162642009909419</v>
      </c>
      <c r="AL18" s="5">
        <v>980581</v>
      </c>
      <c r="AM18" s="13">
        <v>494021</v>
      </c>
      <c r="AN18" s="3">
        <f t="shared" si="14"/>
        <v>470081</v>
      </c>
      <c r="AO18" s="5">
        <v>964102</v>
      </c>
      <c r="AP18" s="4">
        <f t="shared" si="15"/>
        <v>0.98319465704515996</v>
      </c>
      <c r="AQ18" s="5">
        <v>1490329</v>
      </c>
      <c r="AR18" s="13">
        <v>732983</v>
      </c>
      <c r="AS18" s="3">
        <f t="shared" si="16"/>
        <v>752985</v>
      </c>
      <c r="AT18" s="5">
        <v>1485968</v>
      </c>
      <c r="AU18" s="4">
        <f t="shared" si="17"/>
        <v>0.99707380048298055</v>
      </c>
      <c r="AV18" s="5">
        <v>983291</v>
      </c>
      <c r="AW18" s="13">
        <v>509298</v>
      </c>
      <c r="AX18" s="3">
        <f t="shared" si="18"/>
        <v>464880</v>
      </c>
      <c r="AY18" s="5">
        <v>974178</v>
      </c>
      <c r="AZ18" s="4">
        <f t="shared" si="19"/>
        <v>0.99073214338379989</v>
      </c>
      <c r="BA18" s="5">
        <v>1002255</v>
      </c>
      <c r="BB18" s="13">
        <v>514513</v>
      </c>
      <c r="BC18" s="3">
        <f t="shared" si="20"/>
        <v>473145</v>
      </c>
      <c r="BD18" s="5">
        <v>987658</v>
      </c>
      <c r="BE18" s="4">
        <f t="shared" si="21"/>
        <v>0.98543584217589331</v>
      </c>
      <c r="BF18" s="5">
        <v>1522890</v>
      </c>
      <c r="BG18" s="13">
        <v>703619</v>
      </c>
      <c r="BH18" s="3">
        <f t="shared" si="22"/>
        <v>809183</v>
      </c>
      <c r="BI18" s="5">
        <v>1512802</v>
      </c>
      <c r="BJ18" s="4">
        <f t="shared" si="23"/>
        <v>0.99337575268075828</v>
      </c>
    </row>
    <row r="19" spans="1:62" x14ac:dyDescent="0.3">
      <c r="A19" s="11">
        <v>10</v>
      </c>
      <c r="B19" s="2" t="s">
        <v>15</v>
      </c>
      <c r="C19" s="5">
        <v>275195</v>
      </c>
      <c r="D19" s="5">
        <v>85464</v>
      </c>
      <c r="E19" s="3">
        <f t="shared" si="0"/>
        <v>185666</v>
      </c>
      <c r="F19" s="5">
        <v>271130</v>
      </c>
      <c r="G19" s="4">
        <f t="shared" si="1"/>
        <v>0.9852286560438962</v>
      </c>
      <c r="H19" s="5">
        <v>285702</v>
      </c>
      <c r="I19" s="5">
        <v>87608</v>
      </c>
      <c r="J19" s="3">
        <f t="shared" si="2"/>
        <v>189618</v>
      </c>
      <c r="K19" s="5">
        <v>277226</v>
      </c>
      <c r="L19" s="4">
        <f t="shared" si="3"/>
        <v>0.97033272430714523</v>
      </c>
      <c r="M19" s="5">
        <v>479092</v>
      </c>
      <c r="N19" s="5">
        <v>142398</v>
      </c>
      <c r="O19" s="3">
        <f t="shared" si="4"/>
        <v>327929</v>
      </c>
      <c r="P19" s="5">
        <v>470327</v>
      </c>
      <c r="Q19" s="4">
        <f t="shared" si="5"/>
        <v>0.98170497524483813</v>
      </c>
      <c r="R19" s="5">
        <v>279649</v>
      </c>
      <c r="S19" s="5">
        <v>86817</v>
      </c>
      <c r="T19" s="3">
        <f t="shared" si="6"/>
        <v>185549</v>
      </c>
      <c r="U19" s="5">
        <v>272366</v>
      </c>
      <c r="V19" s="4">
        <f t="shared" si="7"/>
        <v>0.97395663850040581</v>
      </c>
      <c r="W19" s="5">
        <v>287758</v>
      </c>
      <c r="X19" s="5">
        <v>88230</v>
      </c>
      <c r="Y19" s="3">
        <f t="shared" si="8"/>
        <v>188439</v>
      </c>
      <c r="Z19" s="5">
        <v>276669</v>
      </c>
      <c r="AA19" s="4">
        <f t="shared" si="9"/>
        <v>0.96146414695681792</v>
      </c>
      <c r="AB19" s="5">
        <v>485015</v>
      </c>
      <c r="AC19" s="5">
        <v>144558</v>
      </c>
      <c r="AD19" s="3">
        <f t="shared" si="10"/>
        <v>331892</v>
      </c>
      <c r="AE19" s="5">
        <v>476450</v>
      </c>
      <c r="AF19" s="4">
        <f t="shared" si="11"/>
        <v>0.98234075234786555</v>
      </c>
      <c r="AG19" s="5">
        <v>283525</v>
      </c>
      <c r="AH19" s="13">
        <v>92392</v>
      </c>
      <c r="AI19" s="3">
        <f t="shared" si="12"/>
        <v>184061</v>
      </c>
      <c r="AJ19" s="5">
        <v>276453</v>
      </c>
      <c r="AK19" s="4">
        <f t="shared" si="13"/>
        <v>0.97505687329159685</v>
      </c>
      <c r="AL19" s="5">
        <v>295027</v>
      </c>
      <c r="AM19" s="13">
        <v>93946</v>
      </c>
      <c r="AN19" s="3">
        <f t="shared" si="14"/>
        <v>188113</v>
      </c>
      <c r="AO19" s="5">
        <v>282059</v>
      </c>
      <c r="AP19" s="4">
        <f t="shared" si="15"/>
        <v>0.95604470099346839</v>
      </c>
      <c r="AQ19" s="5">
        <v>494059</v>
      </c>
      <c r="AR19" s="13">
        <v>152139</v>
      </c>
      <c r="AS19" s="3">
        <f t="shared" si="16"/>
        <v>335777</v>
      </c>
      <c r="AT19" s="5">
        <v>487916</v>
      </c>
      <c r="AU19" s="4">
        <f t="shared" si="17"/>
        <v>0.98756626232899314</v>
      </c>
      <c r="AV19" s="5">
        <v>287237</v>
      </c>
      <c r="AW19" s="13">
        <v>96990</v>
      </c>
      <c r="AX19" s="3">
        <f t="shared" si="18"/>
        <v>186026</v>
      </c>
      <c r="AY19" s="5">
        <v>283016</v>
      </c>
      <c r="AZ19" s="4">
        <f t="shared" si="19"/>
        <v>0.98530481797261493</v>
      </c>
      <c r="BA19" s="5">
        <v>298081</v>
      </c>
      <c r="BB19" s="13">
        <v>96192</v>
      </c>
      <c r="BC19" s="3">
        <f t="shared" si="20"/>
        <v>191258</v>
      </c>
      <c r="BD19" s="5">
        <v>287450</v>
      </c>
      <c r="BE19" s="4">
        <f t="shared" si="21"/>
        <v>0.96433519747987961</v>
      </c>
      <c r="BF19" s="5">
        <v>503654</v>
      </c>
      <c r="BG19" s="13">
        <v>138584</v>
      </c>
      <c r="BH19" s="3">
        <f t="shared" si="22"/>
        <v>355491</v>
      </c>
      <c r="BI19" s="5">
        <v>494075</v>
      </c>
      <c r="BJ19" s="4">
        <f t="shared" si="23"/>
        <v>0.98098099091836855</v>
      </c>
    </row>
    <row r="20" spans="1:62" x14ac:dyDescent="0.3">
      <c r="A20" s="11">
        <v>11</v>
      </c>
      <c r="B20" s="2" t="s">
        <v>16</v>
      </c>
      <c r="C20" s="5">
        <v>5644</v>
      </c>
      <c r="D20" s="5">
        <v>2256</v>
      </c>
      <c r="E20" s="3">
        <f t="shared" si="0"/>
        <v>3536</v>
      </c>
      <c r="F20" s="5">
        <v>5792</v>
      </c>
      <c r="G20" s="4">
        <f t="shared" si="1"/>
        <v>1.0262225372076541</v>
      </c>
      <c r="H20" s="5">
        <v>5914</v>
      </c>
      <c r="I20" s="5">
        <v>2313</v>
      </c>
      <c r="J20" s="3">
        <f t="shared" si="2"/>
        <v>3643</v>
      </c>
      <c r="K20" s="5">
        <v>5956</v>
      </c>
      <c r="L20" s="4">
        <f t="shared" si="3"/>
        <v>1.0071017923571186</v>
      </c>
      <c r="M20" s="5">
        <v>9037</v>
      </c>
      <c r="N20" s="5">
        <v>3567</v>
      </c>
      <c r="O20" s="3">
        <f t="shared" si="4"/>
        <v>5723</v>
      </c>
      <c r="P20" s="5">
        <v>9290</v>
      </c>
      <c r="Q20" s="4">
        <f t="shared" si="5"/>
        <v>1.0279960163771162</v>
      </c>
      <c r="R20" s="5">
        <v>5910</v>
      </c>
      <c r="S20" s="5">
        <v>2387</v>
      </c>
      <c r="T20" s="3">
        <f t="shared" si="6"/>
        <v>3640</v>
      </c>
      <c r="U20" s="5">
        <v>6027</v>
      </c>
      <c r="V20" s="4">
        <f t="shared" si="7"/>
        <v>1.0197969543147207</v>
      </c>
      <c r="W20" s="5">
        <v>6115</v>
      </c>
      <c r="X20" s="5">
        <v>2405</v>
      </c>
      <c r="Y20" s="3">
        <f t="shared" si="8"/>
        <v>3723</v>
      </c>
      <c r="Z20" s="5">
        <v>6128</v>
      </c>
      <c r="AA20" s="4">
        <f t="shared" si="9"/>
        <v>1.0021259198691741</v>
      </c>
      <c r="AB20" s="5">
        <v>9431</v>
      </c>
      <c r="AC20" s="5">
        <v>3773</v>
      </c>
      <c r="AD20" s="3">
        <f t="shared" si="10"/>
        <v>5787</v>
      </c>
      <c r="AE20" s="5">
        <v>9560</v>
      </c>
      <c r="AF20" s="4">
        <f t="shared" si="11"/>
        <v>1.0136782949846252</v>
      </c>
      <c r="AG20" s="5">
        <v>6099</v>
      </c>
      <c r="AH20" s="13">
        <v>2590</v>
      </c>
      <c r="AI20" s="3">
        <f t="shared" si="12"/>
        <v>3560</v>
      </c>
      <c r="AJ20" s="5">
        <v>6150</v>
      </c>
      <c r="AK20" s="4">
        <f t="shared" si="13"/>
        <v>1.0083620265617315</v>
      </c>
      <c r="AL20" s="5">
        <v>6250</v>
      </c>
      <c r="AM20" s="13">
        <v>2798</v>
      </c>
      <c r="AN20" s="3">
        <f t="shared" si="14"/>
        <v>3434</v>
      </c>
      <c r="AO20" s="5">
        <v>6232</v>
      </c>
      <c r="AP20" s="4">
        <f t="shared" si="15"/>
        <v>0.99712000000000001</v>
      </c>
      <c r="AQ20" s="5">
        <v>9632</v>
      </c>
      <c r="AR20" s="13">
        <v>3775</v>
      </c>
      <c r="AS20" s="3">
        <f t="shared" si="16"/>
        <v>5969</v>
      </c>
      <c r="AT20" s="5">
        <v>9744</v>
      </c>
      <c r="AU20" s="4">
        <f t="shared" si="17"/>
        <v>1.0116279069767442</v>
      </c>
      <c r="AV20" s="5">
        <v>6297</v>
      </c>
      <c r="AW20" s="13">
        <v>2627</v>
      </c>
      <c r="AX20" s="3">
        <f t="shared" si="18"/>
        <v>3623</v>
      </c>
      <c r="AY20" s="5">
        <v>6250</v>
      </c>
      <c r="AZ20" s="4">
        <f t="shared" si="19"/>
        <v>0.99253612831507065</v>
      </c>
      <c r="BA20" s="5">
        <v>6366</v>
      </c>
      <c r="BB20" s="13">
        <v>2564</v>
      </c>
      <c r="BC20" s="3">
        <f t="shared" si="20"/>
        <v>3728</v>
      </c>
      <c r="BD20" s="5">
        <v>6292</v>
      </c>
      <c r="BE20" s="4">
        <f t="shared" si="21"/>
        <v>0.98837574615142942</v>
      </c>
      <c r="BF20" s="5">
        <v>9853</v>
      </c>
      <c r="BG20" s="13">
        <v>3537</v>
      </c>
      <c r="BH20" s="3">
        <f t="shared" si="22"/>
        <v>6360</v>
      </c>
      <c r="BI20" s="5">
        <v>9897</v>
      </c>
      <c r="BJ20" s="4">
        <f t="shared" si="23"/>
        <v>1.0044656449812239</v>
      </c>
    </row>
    <row r="21" spans="1:62" x14ac:dyDescent="0.3">
      <c r="A21" s="11">
        <v>12</v>
      </c>
      <c r="B21" s="2" t="s">
        <v>17</v>
      </c>
      <c r="C21" s="5">
        <v>9571</v>
      </c>
      <c r="D21" s="5">
        <v>2217</v>
      </c>
      <c r="E21" s="3">
        <f t="shared" si="0"/>
        <v>7623</v>
      </c>
      <c r="F21" s="5">
        <v>9840</v>
      </c>
      <c r="G21" s="4">
        <f t="shared" si="1"/>
        <v>1.0281057360777348</v>
      </c>
      <c r="H21" s="5">
        <v>10057</v>
      </c>
      <c r="I21" s="5">
        <v>2717</v>
      </c>
      <c r="J21" s="3">
        <f t="shared" si="2"/>
        <v>7264</v>
      </c>
      <c r="K21" s="5">
        <v>9981</v>
      </c>
      <c r="L21" s="4">
        <f t="shared" si="3"/>
        <v>0.99244307447548974</v>
      </c>
      <c r="M21" s="5">
        <v>12982</v>
      </c>
      <c r="N21" s="5">
        <v>3444</v>
      </c>
      <c r="O21" s="3">
        <f t="shared" si="4"/>
        <v>9813</v>
      </c>
      <c r="P21" s="5">
        <v>13257</v>
      </c>
      <c r="Q21" s="4">
        <f t="shared" si="5"/>
        <v>1.0211831767062085</v>
      </c>
      <c r="R21" s="5">
        <v>9811</v>
      </c>
      <c r="S21" s="5">
        <v>2714</v>
      </c>
      <c r="T21" s="3">
        <f t="shared" si="6"/>
        <v>7330</v>
      </c>
      <c r="U21" s="5">
        <v>10044</v>
      </c>
      <c r="V21" s="4">
        <f t="shared" si="7"/>
        <v>1.0237488533278973</v>
      </c>
      <c r="W21" s="5">
        <v>10152</v>
      </c>
      <c r="X21" s="5">
        <v>2791</v>
      </c>
      <c r="Y21" s="3">
        <f t="shared" si="8"/>
        <v>7387</v>
      </c>
      <c r="Z21" s="5">
        <v>10178</v>
      </c>
      <c r="AA21" s="4">
        <f t="shared" si="9"/>
        <v>1.002561071710008</v>
      </c>
      <c r="AB21" s="5">
        <v>13231</v>
      </c>
      <c r="AC21" s="5">
        <v>3844</v>
      </c>
      <c r="AD21" s="3">
        <f t="shared" si="10"/>
        <v>9736</v>
      </c>
      <c r="AE21" s="5">
        <v>13580</v>
      </c>
      <c r="AF21" s="4">
        <f t="shared" si="11"/>
        <v>1.0263774469049958</v>
      </c>
      <c r="AG21" s="5">
        <v>10040</v>
      </c>
      <c r="AH21" s="13">
        <v>2854</v>
      </c>
      <c r="AI21" s="3">
        <f t="shared" si="12"/>
        <v>7397</v>
      </c>
      <c r="AJ21" s="5">
        <v>10251</v>
      </c>
      <c r="AK21" s="4">
        <f t="shared" si="13"/>
        <v>1.02101593625498</v>
      </c>
      <c r="AL21" s="5">
        <v>10211</v>
      </c>
      <c r="AM21" s="13">
        <v>2879</v>
      </c>
      <c r="AN21" s="3">
        <f t="shared" si="14"/>
        <v>7524</v>
      </c>
      <c r="AO21" s="5">
        <v>10403</v>
      </c>
      <c r="AP21" s="4">
        <f t="shared" si="15"/>
        <v>1.0188032513955538</v>
      </c>
      <c r="AQ21" s="5">
        <v>13473</v>
      </c>
      <c r="AR21" s="13">
        <v>3814</v>
      </c>
      <c r="AS21" s="3">
        <f t="shared" si="16"/>
        <v>10095</v>
      </c>
      <c r="AT21" s="5">
        <v>13909</v>
      </c>
      <c r="AU21" s="4">
        <f t="shared" si="17"/>
        <v>1.0323610183329621</v>
      </c>
      <c r="AV21" s="5">
        <v>10213</v>
      </c>
      <c r="AW21" s="13">
        <v>2804</v>
      </c>
      <c r="AX21" s="3">
        <f t="shared" si="18"/>
        <v>7707</v>
      </c>
      <c r="AY21" s="5">
        <v>10511</v>
      </c>
      <c r="AZ21" s="4">
        <f t="shared" si="19"/>
        <v>1.0291784979927543</v>
      </c>
      <c r="BA21" s="5">
        <v>10449</v>
      </c>
      <c r="BB21" s="13">
        <v>2838</v>
      </c>
      <c r="BC21" s="3">
        <f t="shared" si="20"/>
        <v>7814</v>
      </c>
      <c r="BD21" s="5">
        <v>10652</v>
      </c>
      <c r="BE21" s="4">
        <f t="shared" si="21"/>
        <v>1.0194276964302804</v>
      </c>
      <c r="BF21" s="5">
        <v>13925</v>
      </c>
      <c r="BG21" s="13">
        <v>3448</v>
      </c>
      <c r="BH21" s="3">
        <f t="shared" si="22"/>
        <v>10904</v>
      </c>
      <c r="BI21" s="5">
        <v>14352</v>
      </c>
      <c r="BJ21" s="4">
        <f t="shared" si="23"/>
        <v>1.0306642728904847</v>
      </c>
    </row>
    <row r="22" spans="1:62" x14ac:dyDescent="0.3">
      <c r="A22" s="11">
        <v>13</v>
      </c>
      <c r="B22" s="2" t="s">
        <v>18</v>
      </c>
      <c r="C22" s="5">
        <v>6159</v>
      </c>
      <c r="D22" s="5">
        <v>2028</v>
      </c>
      <c r="E22" s="3">
        <f t="shared" si="0"/>
        <v>4202</v>
      </c>
      <c r="F22" s="5">
        <v>6230</v>
      </c>
      <c r="G22" s="4">
        <f t="shared" si="1"/>
        <v>1.0115278454294527</v>
      </c>
      <c r="H22" s="5">
        <v>6265</v>
      </c>
      <c r="I22" s="5">
        <v>1943</v>
      </c>
      <c r="J22" s="3">
        <f t="shared" si="2"/>
        <v>4373</v>
      </c>
      <c r="K22" s="5">
        <v>6316</v>
      </c>
      <c r="L22" s="4">
        <f t="shared" si="3"/>
        <v>1.0081404628890662</v>
      </c>
      <c r="M22" s="5">
        <v>7537</v>
      </c>
      <c r="N22" s="5">
        <v>2508</v>
      </c>
      <c r="O22" s="3">
        <f t="shared" si="4"/>
        <v>5106</v>
      </c>
      <c r="P22" s="5">
        <v>7614</v>
      </c>
      <c r="Q22" s="4">
        <f t="shared" si="5"/>
        <v>1.0102162664189995</v>
      </c>
      <c r="R22" s="5">
        <v>6306</v>
      </c>
      <c r="S22" s="5">
        <v>1958</v>
      </c>
      <c r="T22" s="3">
        <f t="shared" si="6"/>
        <v>4409</v>
      </c>
      <c r="U22" s="5">
        <v>6367</v>
      </c>
      <c r="V22" s="4">
        <f t="shared" si="7"/>
        <v>1.0096733269901681</v>
      </c>
      <c r="W22" s="5">
        <v>6435</v>
      </c>
      <c r="X22" s="5">
        <v>2042</v>
      </c>
      <c r="Y22" s="3">
        <f t="shared" si="8"/>
        <v>4400</v>
      </c>
      <c r="Z22" s="5">
        <v>6442</v>
      </c>
      <c r="AA22" s="4">
        <f t="shared" si="9"/>
        <v>1.001087801087801</v>
      </c>
      <c r="AB22" s="5">
        <v>7668</v>
      </c>
      <c r="AC22" s="5">
        <v>2427</v>
      </c>
      <c r="AD22" s="3">
        <f t="shared" si="10"/>
        <v>5297</v>
      </c>
      <c r="AE22" s="5">
        <v>7724</v>
      </c>
      <c r="AF22" s="4">
        <f t="shared" si="11"/>
        <v>1.0073030777256129</v>
      </c>
      <c r="AG22" s="5">
        <v>6422</v>
      </c>
      <c r="AH22" s="13">
        <v>2052</v>
      </c>
      <c r="AI22" s="3">
        <f t="shared" si="12"/>
        <v>4408</v>
      </c>
      <c r="AJ22" s="5">
        <v>6460</v>
      </c>
      <c r="AK22" s="4">
        <f t="shared" si="13"/>
        <v>1.0059171597633136</v>
      </c>
      <c r="AL22" s="5">
        <v>6508</v>
      </c>
      <c r="AM22" s="13">
        <v>2080</v>
      </c>
      <c r="AN22" s="3">
        <f t="shared" si="14"/>
        <v>4429</v>
      </c>
      <c r="AO22" s="5">
        <v>6509</v>
      </c>
      <c r="AP22" s="4">
        <f t="shared" si="15"/>
        <v>1.0001536570374923</v>
      </c>
      <c r="AQ22" s="5">
        <v>7781</v>
      </c>
      <c r="AR22" s="13">
        <v>2416</v>
      </c>
      <c r="AS22" s="3">
        <f t="shared" si="16"/>
        <v>5400</v>
      </c>
      <c r="AT22" s="5">
        <v>7816</v>
      </c>
      <c r="AU22" s="4">
        <f t="shared" si="17"/>
        <v>1.0044981364863128</v>
      </c>
      <c r="AV22" s="5">
        <v>6603</v>
      </c>
      <c r="AW22" s="13">
        <v>2044</v>
      </c>
      <c r="AX22" s="3">
        <f t="shared" si="18"/>
        <v>4479</v>
      </c>
      <c r="AY22" s="5">
        <v>6523</v>
      </c>
      <c r="AZ22" s="4">
        <f t="shared" si="19"/>
        <v>0.98788429501741637</v>
      </c>
      <c r="BA22" s="5">
        <v>6608</v>
      </c>
      <c r="BB22" s="13">
        <v>2145</v>
      </c>
      <c r="BC22" s="3">
        <f t="shared" si="20"/>
        <v>4419</v>
      </c>
      <c r="BD22" s="5">
        <v>6564</v>
      </c>
      <c r="BE22" s="4">
        <f t="shared" si="21"/>
        <v>0.9933414043583535</v>
      </c>
      <c r="BF22" s="5">
        <v>7906</v>
      </c>
      <c r="BG22" s="13">
        <v>2348</v>
      </c>
      <c r="BH22" s="3">
        <f t="shared" si="22"/>
        <v>5610</v>
      </c>
      <c r="BI22" s="5">
        <v>7958</v>
      </c>
      <c r="BJ22" s="4">
        <f t="shared" si="23"/>
        <v>1.0065772830761448</v>
      </c>
    </row>
    <row r="23" spans="1:62" x14ac:dyDescent="0.3">
      <c r="A23" s="11">
        <v>14</v>
      </c>
      <c r="B23" s="2" t="s">
        <v>19</v>
      </c>
      <c r="C23" s="5">
        <v>8800</v>
      </c>
      <c r="D23" s="5">
        <v>1119</v>
      </c>
      <c r="E23" s="3">
        <f t="shared" si="0"/>
        <v>7374</v>
      </c>
      <c r="F23" s="5">
        <v>8493</v>
      </c>
      <c r="G23" s="4">
        <f t="shared" si="1"/>
        <v>0.96511363636363634</v>
      </c>
      <c r="H23" s="5">
        <v>8763</v>
      </c>
      <c r="I23" s="5">
        <v>1518</v>
      </c>
      <c r="J23" s="3">
        <f t="shared" si="2"/>
        <v>7008</v>
      </c>
      <c r="K23" s="5">
        <v>8526</v>
      </c>
      <c r="L23" s="4">
        <f t="shared" si="3"/>
        <v>0.9729544676480657</v>
      </c>
      <c r="M23" s="5">
        <v>10654</v>
      </c>
      <c r="N23" s="5">
        <v>2385</v>
      </c>
      <c r="O23" s="3">
        <f t="shared" si="4"/>
        <v>8129</v>
      </c>
      <c r="P23" s="5">
        <v>10514</v>
      </c>
      <c r="Q23" s="4">
        <f t="shared" si="5"/>
        <v>0.98685939553219448</v>
      </c>
      <c r="R23" s="5">
        <v>8621</v>
      </c>
      <c r="S23" s="5">
        <v>1989</v>
      </c>
      <c r="T23" s="3">
        <f t="shared" si="6"/>
        <v>6405</v>
      </c>
      <c r="U23" s="5">
        <v>8394</v>
      </c>
      <c r="V23" s="4">
        <f t="shared" si="7"/>
        <v>0.97366894791787495</v>
      </c>
      <c r="W23" s="5">
        <v>8774</v>
      </c>
      <c r="X23" s="5">
        <v>2156</v>
      </c>
      <c r="Y23" s="3">
        <f t="shared" si="8"/>
        <v>6295</v>
      </c>
      <c r="Z23" s="5">
        <v>8451</v>
      </c>
      <c r="AA23" s="4">
        <f t="shared" si="9"/>
        <v>0.96318668794164575</v>
      </c>
      <c r="AB23" s="5">
        <v>10734</v>
      </c>
      <c r="AC23" s="5">
        <v>2905</v>
      </c>
      <c r="AD23" s="3">
        <f t="shared" si="10"/>
        <v>7677</v>
      </c>
      <c r="AE23" s="5">
        <v>10582</v>
      </c>
      <c r="AF23" s="4">
        <f t="shared" si="11"/>
        <v>0.98583938885783495</v>
      </c>
      <c r="AG23" s="5">
        <v>8589</v>
      </c>
      <c r="AH23" s="13">
        <v>2323</v>
      </c>
      <c r="AI23" s="3">
        <f t="shared" si="12"/>
        <v>6125</v>
      </c>
      <c r="AJ23" s="5">
        <v>8448</v>
      </c>
      <c r="AK23" s="4">
        <f t="shared" si="13"/>
        <v>0.98358365351030386</v>
      </c>
      <c r="AL23" s="5">
        <v>8660</v>
      </c>
      <c r="AM23" s="13">
        <v>2574</v>
      </c>
      <c r="AN23" s="3">
        <f t="shared" si="14"/>
        <v>5947</v>
      </c>
      <c r="AO23" s="5">
        <v>8521</v>
      </c>
      <c r="AP23" s="4">
        <f t="shared" si="15"/>
        <v>0.98394919168591222</v>
      </c>
      <c r="AQ23" s="5">
        <v>10698</v>
      </c>
      <c r="AR23" s="13">
        <v>3107</v>
      </c>
      <c r="AS23" s="3">
        <f t="shared" si="16"/>
        <v>7646</v>
      </c>
      <c r="AT23" s="5">
        <v>10753</v>
      </c>
      <c r="AU23" s="4">
        <f t="shared" si="17"/>
        <v>1.005141147878108</v>
      </c>
      <c r="AV23" s="5">
        <v>8445</v>
      </c>
      <c r="AW23" s="13">
        <v>2420</v>
      </c>
      <c r="AX23" s="3">
        <f t="shared" si="18"/>
        <v>6084</v>
      </c>
      <c r="AY23" s="5">
        <v>8504</v>
      </c>
      <c r="AZ23" s="4">
        <f t="shared" si="19"/>
        <v>1.0069863824748371</v>
      </c>
      <c r="BA23" s="5">
        <v>8623</v>
      </c>
      <c r="BB23" s="13">
        <v>2549</v>
      </c>
      <c r="BC23" s="3">
        <f t="shared" si="20"/>
        <v>6002</v>
      </c>
      <c r="BD23" s="5">
        <v>8551</v>
      </c>
      <c r="BE23" s="4">
        <f t="shared" si="21"/>
        <v>0.99165023773628669</v>
      </c>
      <c r="BF23" s="5">
        <v>11023</v>
      </c>
      <c r="BG23" s="13">
        <v>2978</v>
      </c>
      <c r="BH23" s="3">
        <f t="shared" si="22"/>
        <v>7961</v>
      </c>
      <c r="BI23" s="5">
        <v>10939</v>
      </c>
      <c r="BJ23" s="4">
        <f t="shared" si="23"/>
        <v>0.99237956999002086</v>
      </c>
    </row>
    <row r="24" spans="1:62" x14ac:dyDescent="0.3">
      <c r="A24" s="11">
        <v>15</v>
      </c>
      <c r="B24" s="2" t="s">
        <v>20</v>
      </c>
      <c r="C24" s="5">
        <v>5637</v>
      </c>
      <c r="D24" s="5">
        <v>1404</v>
      </c>
      <c r="E24" s="3">
        <f t="shared" si="0"/>
        <v>4157</v>
      </c>
      <c r="F24" s="5">
        <v>5561</v>
      </c>
      <c r="G24" s="4">
        <f t="shared" si="1"/>
        <v>0.98651765123292534</v>
      </c>
      <c r="H24" s="5">
        <v>5804</v>
      </c>
      <c r="I24" s="5">
        <v>1385</v>
      </c>
      <c r="J24" s="3">
        <f t="shared" si="2"/>
        <v>4251</v>
      </c>
      <c r="K24" s="5">
        <v>5636</v>
      </c>
      <c r="L24" s="4">
        <f t="shared" si="3"/>
        <v>0.9710544452101999</v>
      </c>
      <c r="M24" s="5">
        <v>6771</v>
      </c>
      <c r="N24" s="5">
        <v>1663</v>
      </c>
      <c r="O24" s="3">
        <f t="shared" si="4"/>
        <v>4963</v>
      </c>
      <c r="P24" s="5">
        <v>6626</v>
      </c>
      <c r="Q24" s="4">
        <f t="shared" si="5"/>
        <v>0.97858514251956874</v>
      </c>
      <c r="R24" s="5">
        <v>5821</v>
      </c>
      <c r="S24" s="5">
        <v>1583</v>
      </c>
      <c r="T24" s="3">
        <f t="shared" si="6"/>
        <v>4152</v>
      </c>
      <c r="U24" s="5">
        <v>5735</v>
      </c>
      <c r="V24" s="4">
        <f t="shared" si="7"/>
        <v>0.9852259062016836</v>
      </c>
      <c r="W24" s="5">
        <v>5925</v>
      </c>
      <c r="X24" s="5">
        <v>1407</v>
      </c>
      <c r="Y24" s="3">
        <f t="shared" si="8"/>
        <v>4402</v>
      </c>
      <c r="Z24" s="5">
        <v>5809</v>
      </c>
      <c r="AA24" s="4">
        <f t="shared" si="9"/>
        <v>0.98042194092827006</v>
      </c>
      <c r="AB24" s="5">
        <v>6940</v>
      </c>
      <c r="AC24" s="5">
        <v>1577</v>
      </c>
      <c r="AD24" s="3">
        <f t="shared" si="10"/>
        <v>5240</v>
      </c>
      <c r="AE24" s="5">
        <v>6817</v>
      </c>
      <c r="AF24" s="4">
        <f t="shared" si="11"/>
        <v>0.9822766570605187</v>
      </c>
      <c r="AG24" s="5">
        <v>6076</v>
      </c>
      <c r="AH24" s="13">
        <v>1332</v>
      </c>
      <c r="AI24" s="3">
        <f t="shared" si="12"/>
        <v>4622</v>
      </c>
      <c r="AJ24" s="5">
        <v>5954</v>
      </c>
      <c r="AK24" s="4">
        <f t="shared" si="13"/>
        <v>0.97992100065832788</v>
      </c>
      <c r="AL24" s="5">
        <v>6181</v>
      </c>
      <c r="AM24" s="13">
        <v>1579</v>
      </c>
      <c r="AN24" s="3">
        <f t="shared" si="14"/>
        <v>4438</v>
      </c>
      <c r="AO24" s="5">
        <v>6017</v>
      </c>
      <c r="AP24" s="4">
        <f t="shared" si="15"/>
        <v>0.97346707652483422</v>
      </c>
      <c r="AQ24" s="5">
        <v>6974</v>
      </c>
      <c r="AR24" s="13">
        <v>1440</v>
      </c>
      <c r="AS24" s="3">
        <f t="shared" si="16"/>
        <v>5468</v>
      </c>
      <c r="AT24" s="5">
        <v>6908</v>
      </c>
      <c r="AU24" s="4">
        <f t="shared" si="17"/>
        <v>0.99053627760252361</v>
      </c>
      <c r="AV24" s="5">
        <v>6124</v>
      </c>
      <c r="AW24" s="13">
        <v>1347</v>
      </c>
      <c r="AX24" s="3">
        <f t="shared" si="18"/>
        <v>4698</v>
      </c>
      <c r="AY24" s="5">
        <v>6045</v>
      </c>
      <c r="AZ24" s="4">
        <f t="shared" si="19"/>
        <v>0.98709993468321355</v>
      </c>
      <c r="BA24" s="5">
        <v>6202</v>
      </c>
      <c r="BB24" s="13">
        <v>1409</v>
      </c>
      <c r="BC24" s="3">
        <f t="shared" si="20"/>
        <v>4728</v>
      </c>
      <c r="BD24" s="5">
        <v>6137</v>
      </c>
      <c r="BE24" s="4">
        <f t="shared" si="21"/>
        <v>0.98951950983553694</v>
      </c>
      <c r="BF24" s="5">
        <v>7084</v>
      </c>
      <c r="BG24" s="13">
        <v>1486</v>
      </c>
      <c r="BH24" s="3">
        <f t="shared" si="22"/>
        <v>5553</v>
      </c>
      <c r="BI24" s="5">
        <v>7039</v>
      </c>
      <c r="BJ24" s="4">
        <f t="shared" si="23"/>
        <v>0.99364765669113497</v>
      </c>
    </row>
    <row r="25" spans="1:62" x14ac:dyDescent="0.3">
      <c r="A25" s="11">
        <v>16</v>
      </c>
      <c r="B25" s="2" t="s">
        <v>21</v>
      </c>
      <c r="C25" s="5">
        <v>18284</v>
      </c>
      <c r="D25" s="5">
        <v>8422</v>
      </c>
      <c r="E25" s="3">
        <f t="shared" si="0"/>
        <v>10072</v>
      </c>
      <c r="F25" s="5">
        <v>18494</v>
      </c>
      <c r="G25" s="4">
        <f t="shared" si="1"/>
        <v>1.0114854517611025</v>
      </c>
      <c r="H25" s="5">
        <v>18682</v>
      </c>
      <c r="I25" s="5">
        <v>8511</v>
      </c>
      <c r="J25" s="3">
        <f t="shared" si="2"/>
        <v>10337</v>
      </c>
      <c r="K25" s="5">
        <v>18848</v>
      </c>
      <c r="L25" s="4">
        <f t="shared" si="3"/>
        <v>1.0088855582914036</v>
      </c>
      <c r="M25" s="5">
        <v>25970</v>
      </c>
      <c r="N25" s="5">
        <v>11784</v>
      </c>
      <c r="O25" s="3">
        <f t="shared" si="4"/>
        <v>14496</v>
      </c>
      <c r="P25" s="5">
        <v>26280</v>
      </c>
      <c r="Q25" s="4">
        <f t="shared" si="5"/>
        <v>1.0119368502117829</v>
      </c>
      <c r="R25" s="5">
        <v>18895</v>
      </c>
      <c r="S25" s="5">
        <v>8642</v>
      </c>
      <c r="T25" s="3">
        <f t="shared" si="6"/>
        <v>10405</v>
      </c>
      <c r="U25" s="5">
        <v>19047</v>
      </c>
      <c r="V25" s="4">
        <f t="shared" si="7"/>
        <v>1.0080444562053454</v>
      </c>
      <c r="W25" s="5">
        <v>19436</v>
      </c>
      <c r="X25" s="5">
        <v>8570</v>
      </c>
      <c r="Y25" s="3">
        <f t="shared" si="8"/>
        <v>10767</v>
      </c>
      <c r="Z25" s="5">
        <v>19337</v>
      </c>
      <c r="AA25" s="4">
        <f t="shared" si="9"/>
        <v>0.99490635933319616</v>
      </c>
      <c r="AB25" s="5">
        <v>26661</v>
      </c>
      <c r="AC25" s="5">
        <v>12257</v>
      </c>
      <c r="AD25" s="3">
        <f t="shared" si="10"/>
        <v>14623</v>
      </c>
      <c r="AE25" s="5">
        <v>26880</v>
      </c>
      <c r="AF25" s="4">
        <f t="shared" si="11"/>
        <v>1.0082142455271745</v>
      </c>
      <c r="AG25" s="5">
        <v>19440</v>
      </c>
      <c r="AH25" s="13">
        <v>9030</v>
      </c>
      <c r="AI25" s="3">
        <f t="shared" si="12"/>
        <v>10484</v>
      </c>
      <c r="AJ25" s="5">
        <v>19514</v>
      </c>
      <c r="AK25" s="4">
        <f t="shared" si="13"/>
        <v>1.00380658436214</v>
      </c>
      <c r="AL25" s="5">
        <v>19709</v>
      </c>
      <c r="AM25" s="13">
        <v>9159</v>
      </c>
      <c r="AN25" s="3">
        <f t="shared" si="14"/>
        <v>10531</v>
      </c>
      <c r="AO25" s="5">
        <v>19690</v>
      </c>
      <c r="AP25" s="4">
        <f t="shared" si="15"/>
        <v>0.99903597341316153</v>
      </c>
      <c r="AQ25" s="5">
        <v>27081</v>
      </c>
      <c r="AR25" s="13">
        <v>11814</v>
      </c>
      <c r="AS25" s="3">
        <f t="shared" si="16"/>
        <v>15499</v>
      </c>
      <c r="AT25" s="5">
        <v>27313</v>
      </c>
      <c r="AU25" s="4">
        <f t="shared" si="17"/>
        <v>1.008566891916842</v>
      </c>
      <c r="AV25" s="5">
        <v>19795</v>
      </c>
      <c r="AW25" s="13">
        <v>9085</v>
      </c>
      <c r="AX25" s="3">
        <f t="shared" si="18"/>
        <v>10837</v>
      </c>
      <c r="AY25" s="5">
        <v>19922</v>
      </c>
      <c r="AZ25" s="4">
        <f t="shared" si="19"/>
        <v>1.0064157615559484</v>
      </c>
      <c r="BA25" s="5">
        <v>20139</v>
      </c>
      <c r="BB25" s="13">
        <v>9051</v>
      </c>
      <c r="BC25" s="3">
        <f t="shared" si="20"/>
        <v>11096</v>
      </c>
      <c r="BD25" s="5">
        <v>20147</v>
      </c>
      <c r="BE25" s="4">
        <f t="shared" si="21"/>
        <v>1.0003972391876459</v>
      </c>
      <c r="BF25" s="5">
        <v>27639</v>
      </c>
      <c r="BG25" s="13">
        <v>10870</v>
      </c>
      <c r="BH25" s="3">
        <f t="shared" si="22"/>
        <v>16937</v>
      </c>
      <c r="BI25" s="5">
        <v>27807</v>
      </c>
      <c r="BJ25" s="4">
        <f t="shared" si="23"/>
        <v>1.0060783675241507</v>
      </c>
    </row>
    <row r="26" spans="1:62" x14ac:dyDescent="0.3">
      <c r="A26" s="11">
        <v>17</v>
      </c>
      <c r="B26" s="2" t="s">
        <v>22</v>
      </c>
      <c r="C26" s="5">
        <v>13535</v>
      </c>
      <c r="D26" s="5">
        <v>4378</v>
      </c>
      <c r="E26" s="3">
        <f t="shared" si="0"/>
        <v>8944</v>
      </c>
      <c r="F26" s="5">
        <v>13322</v>
      </c>
      <c r="G26" s="4">
        <f t="shared" si="1"/>
        <v>0.98426302179534542</v>
      </c>
      <c r="H26" s="5">
        <v>13884</v>
      </c>
      <c r="I26" s="5">
        <v>4506</v>
      </c>
      <c r="J26" s="3">
        <f t="shared" si="2"/>
        <v>9411</v>
      </c>
      <c r="K26" s="5">
        <v>13917</v>
      </c>
      <c r="L26" s="4">
        <f t="shared" si="3"/>
        <v>1.0023768366464996</v>
      </c>
      <c r="M26" s="5">
        <v>25920</v>
      </c>
      <c r="N26" s="5">
        <v>8579</v>
      </c>
      <c r="O26" s="3">
        <f t="shared" si="4"/>
        <v>17768</v>
      </c>
      <c r="P26" s="5">
        <v>26347</v>
      </c>
      <c r="Q26" s="4">
        <f t="shared" si="5"/>
        <v>1.0164737654320988</v>
      </c>
      <c r="R26" s="5">
        <v>13869</v>
      </c>
      <c r="S26" s="5">
        <v>4590</v>
      </c>
      <c r="T26" s="3">
        <f t="shared" si="6"/>
        <v>9531</v>
      </c>
      <c r="U26" s="5">
        <v>14121</v>
      </c>
      <c r="V26" s="4">
        <f t="shared" si="7"/>
        <v>1.018170019467878</v>
      </c>
      <c r="W26" s="5">
        <v>14474</v>
      </c>
      <c r="X26" s="5">
        <v>4858</v>
      </c>
      <c r="Y26" s="3">
        <f t="shared" si="8"/>
        <v>9571</v>
      </c>
      <c r="Z26" s="5">
        <v>14429</v>
      </c>
      <c r="AA26" s="4">
        <f t="shared" si="9"/>
        <v>0.99689097692413986</v>
      </c>
      <c r="AB26" s="5">
        <v>27035</v>
      </c>
      <c r="AC26" s="5">
        <v>8868</v>
      </c>
      <c r="AD26" s="3">
        <f t="shared" si="10"/>
        <v>18156</v>
      </c>
      <c r="AE26" s="5">
        <v>27024</v>
      </c>
      <c r="AF26" s="4">
        <f t="shared" si="11"/>
        <v>0.99959312002959122</v>
      </c>
      <c r="AG26" s="5">
        <v>14053</v>
      </c>
      <c r="AH26" s="13">
        <v>4668</v>
      </c>
      <c r="AI26" s="3">
        <f t="shared" si="12"/>
        <v>9393</v>
      </c>
      <c r="AJ26" s="5">
        <v>14061</v>
      </c>
      <c r="AK26" s="4">
        <f t="shared" si="13"/>
        <v>1.0005692734647407</v>
      </c>
      <c r="AL26" s="5">
        <v>14372</v>
      </c>
      <c r="AM26" s="13">
        <v>5108</v>
      </c>
      <c r="AN26" s="3">
        <f>AO26-AM26</f>
        <v>9114</v>
      </c>
      <c r="AO26" s="5">
        <v>14222</v>
      </c>
      <c r="AP26" s="4">
        <f t="shared" si="15"/>
        <v>0.9895630392429724</v>
      </c>
      <c r="AQ26" s="5">
        <v>27267</v>
      </c>
      <c r="AR26" s="13">
        <v>7999</v>
      </c>
      <c r="AS26" s="3">
        <f>AT26-AR26</f>
        <v>19131</v>
      </c>
      <c r="AT26" s="5">
        <v>27130</v>
      </c>
      <c r="AU26" s="4">
        <f t="shared" si="17"/>
        <v>0.99497561154509118</v>
      </c>
      <c r="AV26" s="5">
        <v>14007</v>
      </c>
      <c r="AW26" s="13">
        <v>4606</v>
      </c>
      <c r="AX26" s="3">
        <f>AY26-AW26</f>
        <v>9383</v>
      </c>
      <c r="AY26" s="5">
        <v>13989</v>
      </c>
      <c r="AZ26" s="4">
        <f t="shared" si="19"/>
        <v>0.99871492825016062</v>
      </c>
      <c r="BA26" s="5">
        <v>14398</v>
      </c>
      <c r="BB26" s="13">
        <v>4794</v>
      </c>
      <c r="BC26" s="3">
        <f>BD26-BB26</f>
        <v>9290</v>
      </c>
      <c r="BD26" s="5">
        <v>14084</v>
      </c>
      <c r="BE26" s="4">
        <f t="shared" si="21"/>
        <v>0.9781914154743715</v>
      </c>
      <c r="BF26" s="5">
        <v>27339</v>
      </c>
      <c r="BG26" s="13">
        <v>7953</v>
      </c>
      <c r="BH26" s="3">
        <f>BI26-BG26</f>
        <v>19196</v>
      </c>
      <c r="BI26" s="5">
        <v>27149</v>
      </c>
      <c r="BJ26" s="4">
        <f t="shared" si="23"/>
        <v>0.99305022129558507</v>
      </c>
    </row>
    <row r="27" spans="1:62" x14ac:dyDescent="0.3">
      <c r="A27" s="11">
        <v>18</v>
      </c>
      <c r="B27" s="2" t="s">
        <v>23</v>
      </c>
      <c r="C27" s="5">
        <v>120482</v>
      </c>
      <c r="D27" s="5">
        <v>46591</v>
      </c>
      <c r="E27" s="3">
        <f t="shared" si="0"/>
        <v>74120</v>
      </c>
      <c r="F27" s="5">
        <v>120711</v>
      </c>
      <c r="G27" s="4">
        <f t="shared" si="1"/>
        <v>1.0019006988595807</v>
      </c>
      <c r="H27" s="5">
        <v>123649</v>
      </c>
      <c r="I27" s="5">
        <v>47422</v>
      </c>
      <c r="J27" s="3">
        <f t="shared" si="2"/>
        <v>75153</v>
      </c>
      <c r="K27" s="5">
        <v>122575</v>
      </c>
      <c r="L27" s="4">
        <f t="shared" si="3"/>
        <v>0.99131412304183619</v>
      </c>
      <c r="M27" s="5">
        <v>182121</v>
      </c>
      <c r="N27" s="5">
        <v>66210</v>
      </c>
      <c r="O27" s="3">
        <f t="shared" si="4"/>
        <v>115211</v>
      </c>
      <c r="P27" s="5">
        <v>181421</v>
      </c>
      <c r="Q27" s="4">
        <f t="shared" si="5"/>
        <v>0.99615640151327967</v>
      </c>
      <c r="R27" s="5">
        <v>122848</v>
      </c>
      <c r="S27" s="5">
        <v>48325</v>
      </c>
      <c r="T27" s="3">
        <f t="shared" si="6"/>
        <v>73656</v>
      </c>
      <c r="U27" s="5">
        <v>121981</v>
      </c>
      <c r="V27" s="4">
        <f t="shared" si="7"/>
        <v>0.99294249804636625</v>
      </c>
      <c r="W27" s="5">
        <v>125846</v>
      </c>
      <c r="X27" s="5">
        <v>48383</v>
      </c>
      <c r="Y27" s="3">
        <f t="shared" si="8"/>
        <v>74956</v>
      </c>
      <c r="Z27" s="5">
        <v>123339</v>
      </c>
      <c r="AA27" s="4">
        <f t="shared" si="9"/>
        <v>0.98007882650223288</v>
      </c>
      <c r="AB27" s="5">
        <v>184102</v>
      </c>
      <c r="AC27" s="5">
        <v>69810</v>
      </c>
      <c r="AD27" s="3">
        <f t="shared" si="10"/>
        <v>113363</v>
      </c>
      <c r="AE27" s="5">
        <v>183173</v>
      </c>
      <c r="AF27" s="4">
        <f t="shared" si="11"/>
        <v>0.99495388425981246</v>
      </c>
      <c r="AG27" s="5">
        <v>124176</v>
      </c>
      <c r="AH27" s="13">
        <v>50263</v>
      </c>
      <c r="AI27" s="3">
        <f t="shared" si="12"/>
        <v>72900</v>
      </c>
      <c r="AJ27" s="5">
        <v>123163</v>
      </c>
      <c r="AK27" s="4">
        <f t="shared" si="13"/>
        <v>0.99184222394021393</v>
      </c>
      <c r="AL27" s="5">
        <v>126536</v>
      </c>
      <c r="AM27" s="13">
        <v>50064</v>
      </c>
      <c r="AN27" s="3">
        <f t="shared" ref="AN27:AN33" si="24">AO27-AM27</f>
        <v>74037</v>
      </c>
      <c r="AO27" s="5">
        <v>124101</v>
      </c>
      <c r="AP27" s="4">
        <f>AO27/AL27</f>
        <v>0.98075646456344434</v>
      </c>
      <c r="AQ27" s="5">
        <v>184835</v>
      </c>
      <c r="AR27" s="13">
        <v>69453</v>
      </c>
      <c r="AS27" s="3">
        <f t="shared" ref="AS27:AS33" si="25">AT27-AR27</f>
        <v>115246</v>
      </c>
      <c r="AT27" s="5">
        <v>184699</v>
      </c>
      <c r="AU27" s="4">
        <f>AT27/AQ27</f>
        <v>0.99926420861849763</v>
      </c>
      <c r="AV27" s="5">
        <v>124975</v>
      </c>
      <c r="AW27" s="13">
        <v>50585</v>
      </c>
      <c r="AX27" s="3">
        <f t="shared" ref="AX27:AX33" si="26">AY27-AW27</f>
        <v>73633</v>
      </c>
      <c r="AY27" s="5">
        <v>124218</v>
      </c>
      <c r="AZ27" s="4">
        <f>AY27/AV27</f>
        <v>0.99394278855771157</v>
      </c>
      <c r="BA27" s="5">
        <v>127493</v>
      </c>
      <c r="BB27" s="13">
        <v>51094</v>
      </c>
      <c r="BC27" s="3">
        <f t="shared" ref="BC27:BC33" si="27">BD27-BB27</f>
        <v>74257</v>
      </c>
      <c r="BD27" s="5">
        <v>125351</v>
      </c>
      <c r="BE27" s="4">
        <f>BD27/BA27</f>
        <v>0.983199077596417</v>
      </c>
      <c r="BF27" s="5">
        <v>187636</v>
      </c>
      <c r="BG27" s="13">
        <v>64548</v>
      </c>
      <c r="BH27" s="3">
        <f t="shared" si="22"/>
        <v>121604</v>
      </c>
      <c r="BI27" s="5">
        <v>186152</v>
      </c>
      <c r="BJ27" s="4">
        <f>BI27/BF27</f>
        <v>0.99209106994393403</v>
      </c>
    </row>
    <row r="28" spans="1:62" x14ac:dyDescent="0.3">
      <c r="A28" s="11">
        <v>19</v>
      </c>
      <c r="B28" s="2" t="s">
        <v>24</v>
      </c>
      <c r="C28" s="5">
        <v>382208</v>
      </c>
      <c r="D28" s="5">
        <v>214873</v>
      </c>
      <c r="E28" s="3">
        <f t="shared" si="0"/>
        <v>164961</v>
      </c>
      <c r="F28" s="5">
        <v>379834</v>
      </c>
      <c r="G28" s="4">
        <f t="shared" si="1"/>
        <v>0.99378872237106497</v>
      </c>
      <c r="H28" s="5">
        <v>389922</v>
      </c>
      <c r="I28" s="5">
        <v>217609</v>
      </c>
      <c r="J28" s="3">
        <f t="shared" si="2"/>
        <v>167362</v>
      </c>
      <c r="K28" s="5">
        <v>384971</v>
      </c>
      <c r="L28" s="4">
        <f t="shared" si="3"/>
        <v>0.9873025887228728</v>
      </c>
      <c r="M28" s="5">
        <v>650891</v>
      </c>
      <c r="N28" s="5">
        <v>344704</v>
      </c>
      <c r="O28" s="3">
        <f t="shared" si="4"/>
        <v>302138</v>
      </c>
      <c r="P28" s="5">
        <v>646842</v>
      </c>
      <c r="Q28" s="4">
        <f t="shared" si="5"/>
        <v>0.99377929637988538</v>
      </c>
      <c r="R28" s="5">
        <v>389073</v>
      </c>
      <c r="S28" s="5">
        <v>217213</v>
      </c>
      <c r="T28" s="3">
        <f t="shared" si="6"/>
        <v>169121</v>
      </c>
      <c r="U28" s="5">
        <v>386334</v>
      </c>
      <c r="V28" s="4">
        <f t="shared" si="7"/>
        <v>0.99296018999005331</v>
      </c>
      <c r="W28" s="5">
        <v>397763</v>
      </c>
      <c r="X28" s="5">
        <v>220500</v>
      </c>
      <c r="Y28" s="3">
        <f t="shared" si="8"/>
        <v>171208</v>
      </c>
      <c r="Z28" s="5">
        <v>391708</v>
      </c>
      <c r="AA28" s="4">
        <f t="shared" si="9"/>
        <v>0.98477736742733735</v>
      </c>
      <c r="AB28" s="5">
        <v>660941</v>
      </c>
      <c r="AC28" s="5">
        <v>364638</v>
      </c>
      <c r="AD28" s="3">
        <f t="shared" si="10"/>
        <v>292824</v>
      </c>
      <c r="AE28" s="5">
        <v>657462</v>
      </c>
      <c r="AF28" s="4">
        <f t="shared" si="11"/>
        <v>0.99473629264941954</v>
      </c>
      <c r="AG28" s="5">
        <v>397417</v>
      </c>
      <c r="AH28" s="13">
        <v>231013</v>
      </c>
      <c r="AI28" s="3">
        <f t="shared" si="12"/>
        <v>163426</v>
      </c>
      <c r="AJ28" s="5">
        <v>394439</v>
      </c>
      <c r="AK28" s="4">
        <f t="shared" si="13"/>
        <v>0.99250661144339569</v>
      </c>
      <c r="AL28" s="5">
        <v>405895</v>
      </c>
      <c r="AM28" s="13">
        <v>230315</v>
      </c>
      <c r="AN28" s="3">
        <f t="shared" si="24"/>
        <v>168525</v>
      </c>
      <c r="AO28" s="5">
        <v>398840</v>
      </c>
      <c r="AP28" s="4">
        <f t="shared" ref="AP28:AP33" si="28">AO28/AL28</f>
        <v>0.98261865753458411</v>
      </c>
      <c r="AQ28" s="5">
        <v>670091</v>
      </c>
      <c r="AR28" s="13">
        <v>371128</v>
      </c>
      <c r="AS28" s="3">
        <f t="shared" si="25"/>
        <v>295986</v>
      </c>
      <c r="AT28" s="5">
        <v>667114</v>
      </c>
      <c r="AU28" s="4">
        <f t="shared" ref="AU28:AU33" si="29">AT28/AQ28</f>
        <v>0.99555731982671014</v>
      </c>
      <c r="AV28" s="5">
        <v>405395</v>
      </c>
      <c r="AW28" s="13">
        <v>235703</v>
      </c>
      <c r="AX28" s="3">
        <f t="shared" si="26"/>
        <v>166507</v>
      </c>
      <c r="AY28" s="5">
        <v>402210</v>
      </c>
      <c r="AZ28" s="4">
        <f t="shared" ref="AZ28:AZ33" si="30">AY28/AV28</f>
        <v>0.99214346501560202</v>
      </c>
      <c r="BA28" s="5">
        <v>412255</v>
      </c>
      <c r="BB28" s="13">
        <v>239006</v>
      </c>
      <c r="BC28" s="3">
        <f t="shared" si="27"/>
        <v>167744</v>
      </c>
      <c r="BD28" s="5">
        <v>406750</v>
      </c>
      <c r="BE28" s="4">
        <f t="shared" ref="BE28:BE33" si="31">BD28/BA28</f>
        <v>0.98664661435276713</v>
      </c>
      <c r="BF28" s="5">
        <v>680839</v>
      </c>
      <c r="BG28" s="13">
        <v>356688</v>
      </c>
      <c r="BH28" s="3">
        <f t="shared" si="22"/>
        <v>320773</v>
      </c>
      <c r="BI28" s="5">
        <v>677461</v>
      </c>
      <c r="BJ28" s="4">
        <f t="shared" si="23"/>
        <v>0.99503847458797157</v>
      </c>
    </row>
    <row r="29" spans="1:62" x14ac:dyDescent="0.3">
      <c r="A29" s="11">
        <v>20</v>
      </c>
      <c r="B29" s="2" t="s">
        <v>25</v>
      </c>
      <c r="C29" s="5">
        <v>127557</v>
      </c>
      <c r="D29" s="5">
        <v>60994</v>
      </c>
      <c r="E29" s="3">
        <f t="shared" si="0"/>
        <v>65990</v>
      </c>
      <c r="F29" s="5">
        <v>126984</v>
      </c>
      <c r="G29" s="4">
        <f t="shared" si="1"/>
        <v>0.99550789059008915</v>
      </c>
      <c r="H29" s="5">
        <v>129829</v>
      </c>
      <c r="I29" s="5">
        <v>61108</v>
      </c>
      <c r="J29" s="3">
        <f t="shared" si="2"/>
        <v>67259</v>
      </c>
      <c r="K29" s="5">
        <v>128367</v>
      </c>
      <c r="L29" s="4">
        <f t="shared" si="3"/>
        <v>0.98873903365195759</v>
      </c>
      <c r="M29" s="5">
        <v>176637</v>
      </c>
      <c r="N29" s="5">
        <v>80593</v>
      </c>
      <c r="O29" s="3">
        <f t="shared" si="4"/>
        <v>93977</v>
      </c>
      <c r="P29" s="5">
        <v>174570</v>
      </c>
      <c r="Q29" s="4">
        <f t="shared" si="5"/>
        <v>0.98829803495303925</v>
      </c>
      <c r="R29" s="5">
        <v>129740</v>
      </c>
      <c r="S29" s="5">
        <v>61440</v>
      </c>
      <c r="T29" s="3">
        <f t="shared" si="6"/>
        <v>67084</v>
      </c>
      <c r="U29" s="5">
        <v>128524</v>
      </c>
      <c r="V29" s="4">
        <f t="shared" si="7"/>
        <v>0.99062740866348076</v>
      </c>
      <c r="W29" s="5">
        <v>131766</v>
      </c>
      <c r="X29" s="5">
        <v>62506</v>
      </c>
      <c r="Y29" s="3">
        <f t="shared" si="8"/>
        <v>67104</v>
      </c>
      <c r="Z29" s="5">
        <v>129610</v>
      </c>
      <c r="AA29" s="4">
        <f t="shared" si="9"/>
        <v>0.98363766070154668</v>
      </c>
      <c r="AB29" s="5">
        <v>178083</v>
      </c>
      <c r="AC29" s="5">
        <v>82781</v>
      </c>
      <c r="AD29" s="3">
        <f t="shared" si="10"/>
        <v>93892</v>
      </c>
      <c r="AE29" s="5">
        <v>176673</v>
      </c>
      <c r="AF29" s="4">
        <f t="shared" si="11"/>
        <v>0.99208234362628667</v>
      </c>
      <c r="AG29" s="5">
        <v>131984</v>
      </c>
      <c r="AH29" s="13">
        <v>62385</v>
      </c>
      <c r="AI29" s="3">
        <f t="shared" si="12"/>
        <v>68242</v>
      </c>
      <c r="AJ29" s="5">
        <v>130627</v>
      </c>
      <c r="AK29" s="4">
        <f t="shared" si="13"/>
        <v>0.9897184507212996</v>
      </c>
      <c r="AL29" s="5">
        <v>133676</v>
      </c>
      <c r="AM29" s="13">
        <v>63270</v>
      </c>
      <c r="AN29" s="3">
        <f t="shared" si="24"/>
        <v>68586</v>
      </c>
      <c r="AO29" s="5">
        <v>131856</v>
      </c>
      <c r="AP29" s="4">
        <f t="shared" si="28"/>
        <v>0.98638499057422424</v>
      </c>
      <c r="AQ29" s="5">
        <v>179800</v>
      </c>
      <c r="AR29" s="13">
        <v>85365</v>
      </c>
      <c r="AS29" s="3">
        <f t="shared" si="25"/>
        <v>93905</v>
      </c>
      <c r="AT29" s="5">
        <v>179270</v>
      </c>
      <c r="AU29" s="4">
        <f t="shared" si="29"/>
        <v>0.99705228031145721</v>
      </c>
      <c r="AV29" s="5">
        <v>134089</v>
      </c>
      <c r="AW29" s="13">
        <v>66132</v>
      </c>
      <c r="AX29" s="3">
        <f t="shared" si="26"/>
        <v>66907</v>
      </c>
      <c r="AY29" s="5">
        <v>133039</v>
      </c>
      <c r="AZ29" s="4">
        <f t="shared" si="30"/>
        <v>0.99216938003863109</v>
      </c>
      <c r="BA29" s="5">
        <v>136058</v>
      </c>
      <c r="BB29" s="13">
        <v>65827</v>
      </c>
      <c r="BC29" s="3">
        <f t="shared" si="27"/>
        <v>68607</v>
      </c>
      <c r="BD29" s="5">
        <v>134434</v>
      </c>
      <c r="BE29" s="4">
        <f t="shared" si="31"/>
        <v>0.9880639139190639</v>
      </c>
      <c r="BF29" s="5">
        <v>182623</v>
      </c>
      <c r="BG29" s="13">
        <v>81275</v>
      </c>
      <c r="BH29" s="3">
        <f t="shared" si="22"/>
        <v>100484</v>
      </c>
      <c r="BI29" s="5">
        <v>181759</v>
      </c>
      <c r="BJ29" s="4">
        <f t="shared" si="23"/>
        <v>0.99526894202811256</v>
      </c>
    </row>
    <row r="30" spans="1:62" x14ac:dyDescent="0.3">
      <c r="A30" s="11">
        <v>21</v>
      </c>
      <c r="B30" s="2" t="s">
        <v>26</v>
      </c>
      <c r="C30" s="5">
        <v>166894</v>
      </c>
      <c r="D30" s="5">
        <v>70584</v>
      </c>
      <c r="E30" s="3">
        <f t="shared" si="0"/>
        <v>95640</v>
      </c>
      <c r="F30" s="5">
        <v>166224</v>
      </c>
      <c r="G30" s="4">
        <f t="shared" si="1"/>
        <v>0.99598547581099384</v>
      </c>
      <c r="H30" s="5">
        <v>172134</v>
      </c>
      <c r="I30" s="5">
        <v>72351</v>
      </c>
      <c r="J30" s="3">
        <f t="shared" si="2"/>
        <v>97079</v>
      </c>
      <c r="K30" s="5">
        <v>169430</v>
      </c>
      <c r="L30" s="4">
        <f t="shared" si="3"/>
        <v>0.98429130793451614</v>
      </c>
      <c r="M30" s="5">
        <v>289249</v>
      </c>
      <c r="N30" s="5">
        <v>114031</v>
      </c>
      <c r="O30" s="3">
        <f t="shared" si="4"/>
        <v>172719</v>
      </c>
      <c r="P30" s="5">
        <v>286750</v>
      </c>
      <c r="Q30" s="4">
        <f t="shared" si="5"/>
        <v>0.99136038499700951</v>
      </c>
      <c r="R30" s="5">
        <v>169142</v>
      </c>
      <c r="S30" s="5">
        <v>71958</v>
      </c>
      <c r="T30" s="3">
        <f t="shared" si="6"/>
        <v>95693</v>
      </c>
      <c r="U30" s="5">
        <v>167651</v>
      </c>
      <c r="V30" s="4">
        <f t="shared" si="7"/>
        <v>0.99118492154521054</v>
      </c>
      <c r="W30" s="5">
        <v>174259</v>
      </c>
      <c r="X30" s="5">
        <v>75576</v>
      </c>
      <c r="Y30" s="3">
        <f t="shared" si="8"/>
        <v>95215</v>
      </c>
      <c r="Z30" s="5">
        <v>170791</v>
      </c>
      <c r="AA30" s="4">
        <f t="shared" si="9"/>
        <v>0.98009858888206636</v>
      </c>
      <c r="AB30" s="5">
        <v>293307</v>
      </c>
      <c r="AC30" s="5">
        <v>117925</v>
      </c>
      <c r="AD30" s="3">
        <f t="shared" si="10"/>
        <v>173233</v>
      </c>
      <c r="AE30" s="5">
        <v>291158</v>
      </c>
      <c r="AF30" s="4">
        <f t="shared" si="11"/>
        <v>0.99267320589007424</v>
      </c>
      <c r="AG30" s="5">
        <v>172053</v>
      </c>
      <c r="AH30" s="13">
        <v>76028</v>
      </c>
      <c r="AI30" s="3">
        <f t="shared" si="12"/>
        <v>94761</v>
      </c>
      <c r="AJ30" s="5">
        <v>170789</v>
      </c>
      <c r="AK30" s="4">
        <f t="shared" si="13"/>
        <v>0.99265342656042033</v>
      </c>
      <c r="AL30" s="5">
        <v>176835</v>
      </c>
      <c r="AM30" s="13">
        <v>76948</v>
      </c>
      <c r="AN30" s="3">
        <f t="shared" si="24"/>
        <v>96569</v>
      </c>
      <c r="AO30" s="5">
        <v>173517</v>
      </c>
      <c r="AP30" s="4">
        <f t="shared" si="28"/>
        <v>0.9812367461192637</v>
      </c>
      <c r="AQ30" s="5">
        <v>297651</v>
      </c>
      <c r="AR30" s="13">
        <v>121216</v>
      </c>
      <c r="AS30" s="3">
        <f t="shared" si="25"/>
        <v>175608</v>
      </c>
      <c r="AT30" s="5">
        <v>296824</v>
      </c>
      <c r="AU30" s="4">
        <f t="shared" si="29"/>
        <v>0.9972215782913546</v>
      </c>
      <c r="AV30" s="5">
        <v>175428</v>
      </c>
      <c r="AW30" s="13">
        <v>77235</v>
      </c>
      <c r="AX30" s="3">
        <f t="shared" si="26"/>
        <v>96847</v>
      </c>
      <c r="AY30" s="5">
        <v>174082</v>
      </c>
      <c r="AZ30" s="4">
        <f t="shared" si="30"/>
        <v>0.99232733657112893</v>
      </c>
      <c r="BA30" s="5">
        <v>179593</v>
      </c>
      <c r="BB30" s="13">
        <v>77262</v>
      </c>
      <c r="BC30" s="3">
        <f t="shared" si="27"/>
        <v>98799</v>
      </c>
      <c r="BD30" s="5">
        <v>176061</v>
      </c>
      <c r="BE30" s="4">
        <f t="shared" si="31"/>
        <v>0.98033330920470174</v>
      </c>
      <c r="BF30" s="5">
        <v>302258</v>
      </c>
      <c r="BG30" s="13">
        <v>115033</v>
      </c>
      <c r="BH30" s="3">
        <f t="shared" si="22"/>
        <v>185084</v>
      </c>
      <c r="BI30" s="5">
        <v>300117</v>
      </c>
      <c r="BJ30" s="4">
        <f t="shared" si="23"/>
        <v>0.99291664736748075</v>
      </c>
    </row>
    <row r="31" spans="1:62" x14ac:dyDescent="0.3">
      <c r="A31" s="11">
        <v>22</v>
      </c>
      <c r="B31" s="2" t="s">
        <v>43</v>
      </c>
      <c r="C31" s="5">
        <v>74510</v>
      </c>
      <c r="D31" s="5">
        <v>38780</v>
      </c>
      <c r="E31" s="3">
        <f t="shared" si="0"/>
        <v>35554</v>
      </c>
      <c r="F31" s="5">
        <v>74334</v>
      </c>
      <c r="G31" s="4">
        <f t="shared" si="1"/>
        <v>0.99763790095289218</v>
      </c>
      <c r="H31" s="5">
        <v>76671</v>
      </c>
      <c r="I31" s="5">
        <v>40184</v>
      </c>
      <c r="J31" s="3">
        <f t="shared" si="2"/>
        <v>35330</v>
      </c>
      <c r="K31" s="5">
        <v>75514</v>
      </c>
      <c r="L31" s="4">
        <f t="shared" si="3"/>
        <v>0.98490954859073188</v>
      </c>
      <c r="M31" s="5">
        <v>133745</v>
      </c>
      <c r="N31" s="5">
        <v>63834</v>
      </c>
      <c r="O31" s="3">
        <f t="shared" si="4"/>
        <v>70017</v>
      </c>
      <c r="P31" s="5">
        <v>133851</v>
      </c>
      <c r="Q31" s="4">
        <f t="shared" si="5"/>
        <v>1.0007925529926351</v>
      </c>
      <c r="R31" s="5">
        <v>74974</v>
      </c>
      <c r="S31" s="5">
        <v>40619</v>
      </c>
      <c r="T31" s="3">
        <f t="shared" si="6"/>
        <v>34162</v>
      </c>
      <c r="U31" s="5">
        <v>74781</v>
      </c>
      <c r="V31" s="4">
        <f t="shared" si="7"/>
        <v>0.99742577426841306</v>
      </c>
      <c r="W31" s="5">
        <v>77586</v>
      </c>
      <c r="X31" s="5">
        <v>41258</v>
      </c>
      <c r="Y31" s="3">
        <f t="shared" si="8"/>
        <v>34639</v>
      </c>
      <c r="Z31" s="5">
        <v>75897</v>
      </c>
      <c r="AA31" s="4">
        <f t="shared" si="9"/>
        <v>0.97823060861495625</v>
      </c>
      <c r="AB31" s="5">
        <v>135116</v>
      </c>
      <c r="AC31" s="5">
        <v>65113</v>
      </c>
      <c r="AD31" s="3">
        <f t="shared" si="10"/>
        <v>70315</v>
      </c>
      <c r="AE31" s="5">
        <v>135428</v>
      </c>
      <c r="AF31" s="4">
        <f t="shared" si="11"/>
        <v>1.0023091269723794</v>
      </c>
      <c r="AG31" s="5">
        <v>76230</v>
      </c>
      <c r="AH31" s="13">
        <v>42365</v>
      </c>
      <c r="AI31" s="3">
        <f t="shared" si="12"/>
        <v>33311</v>
      </c>
      <c r="AJ31" s="5">
        <v>75676</v>
      </c>
      <c r="AK31" s="4">
        <f t="shared" si="13"/>
        <v>0.99273252000524725</v>
      </c>
      <c r="AL31" s="5">
        <v>77611</v>
      </c>
      <c r="AM31" s="13">
        <v>43322</v>
      </c>
      <c r="AN31" s="3">
        <f t="shared" si="24"/>
        <v>33394</v>
      </c>
      <c r="AO31" s="5">
        <v>76716</v>
      </c>
      <c r="AP31" s="4">
        <f t="shared" si="28"/>
        <v>0.988468129517723</v>
      </c>
      <c r="AQ31" s="5">
        <v>136879</v>
      </c>
      <c r="AR31" s="13">
        <v>68362</v>
      </c>
      <c r="AS31" s="3">
        <f t="shared" si="25"/>
        <v>69318</v>
      </c>
      <c r="AT31" s="5">
        <v>137680</v>
      </c>
      <c r="AU31" s="4">
        <f t="shared" si="29"/>
        <v>1.0058518837805652</v>
      </c>
      <c r="AV31" s="5">
        <v>76719</v>
      </c>
      <c r="AW31" s="13">
        <v>43563</v>
      </c>
      <c r="AX31" s="3">
        <f t="shared" si="26"/>
        <v>33135</v>
      </c>
      <c r="AY31" s="5">
        <v>76698</v>
      </c>
      <c r="AZ31" s="4">
        <f t="shared" si="30"/>
        <v>0.99972627380440304</v>
      </c>
      <c r="BA31" s="5">
        <v>78720</v>
      </c>
      <c r="BB31" s="13">
        <v>44413</v>
      </c>
      <c r="BC31" s="3">
        <f t="shared" si="27"/>
        <v>33795</v>
      </c>
      <c r="BD31" s="5">
        <v>78208</v>
      </c>
      <c r="BE31" s="4">
        <f t="shared" si="31"/>
        <v>0.99349593495934962</v>
      </c>
      <c r="BF31" s="5">
        <v>140181</v>
      </c>
      <c r="BG31" s="13">
        <v>64233</v>
      </c>
      <c r="BH31" s="3">
        <f t="shared" si="22"/>
        <v>76259</v>
      </c>
      <c r="BI31" s="5">
        <v>140492</v>
      </c>
      <c r="BJ31" s="4">
        <f t="shared" si="23"/>
        <v>1.002218560289911</v>
      </c>
    </row>
    <row r="32" spans="1:62" x14ac:dyDescent="0.3">
      <c r="A32" s="11">
        <v>23</v>
      </c>
      <c r="B32" s="2" t="s">
        <v>27</v>
      </c>
      <c r="C32" s="5">
        <v>203718</v>
      </c>
      <c r="D32" s="5">
        <v>109052</v>
      </c>
      <c r="E32" s="3">
        <f t="shared" si="0"/>
        <v>93780</v>
      </c>
      <c r="F32" s="5">
        <v>202832</v>
      </c>
      <c r="G32" s="4">
        <f t="shared" si="1"/>
        <v>0.99565085068575188</v>
      </c>
      <c r="H32" s="5">
        <v>210874</v>
      </c>
      <c r="I32" s="5">
        <v>112569</v>
      </c>
      <c r="J32" s="3">
        <f t="shared" si="2"/>
        <v>94714</v>
      </c>
      <c r="K32" s="5">
        <v>207283</v>
      </c>
      <c r="L32" s="4">
        <f t="shared" si="3"/>
        <v>0.98297087360224589</v>
      </c>
      <c r="M32" s="5">
        <v>441035</v>
      </c>
      <c r="N32" s="5">
        <v>205434</v>
      </c>
      <c r="O32" s="3">
        <f t="shared" si="4"/>
        <v>233991</v>
      </c>
      <c r="P32" s="5">
        <v>439425</v>
      </c>
      <c r="Q32" s="4">
        <f t="shared" si="5"/>
        <v>0.99634949607174039</v>
      </c>
      <c r="R32" s="5">
        <v>206418</v>
      </c>
      <c r="S32" s="5">
        <v>112076</v>
      </c>
      <c r="T32" s="3">
        <f t="shared" si="6"/>
        <v>92300</v>
      </c>
      <c r="U32" s="5">
        <v>204376</v>
      </c>
      <c r="V32" s="4">
        <f t="shared" si="7"/>
        <v>0.99010745186950755</v>
      </c>
      <c r="W32" s="5">
        <v>212709</v>
      </c>
      <c r="X32" s="5">
        <v>112869</v>
      </c>
      <c r="Y32" s="3">
        <f t="shared" si="8"/>
        <v>95924</v>
      </c>
      <c r="Z32" s="5">
        <v>208793</v>
      </c>
      <c r="AA32" s="4">
        <f t="shared" si="9"/>
        <v>0.98158987160862965</v>
      </c>
      <c r="AB32" s="5">
        <v>446806</v>
      </c>
      <c r="AC32" s="5">
        <v>208028</v>
      </c>
      <c r="AD32" s="3">
        <f t="shared" si="10"/>
        <v>237846</v>
      </c>
      <c r="AE32" s="5">
        <v>445874</v>
      </c>
      <c r="AF32" s="4">
        <f t="shared" si="11"/>
        <v>0.99791408351723121</v>
      </c>
      <c r="AG32" s="5">
        <v>210129</v>
      </c>
      <c r="AH32" s="13">
        <v>116226</v>
      </c>
      <c r="AI32" s="3">
        <f t="shared" si="12"/>
        <v>92553</v>
      </c>
      <c r="AJ32" s="5">
        <v>208779</v>
      </c>
      <c r="AK32" s="4">
        <f t="shared" si="13"/>
        <v>0.9935753751267079</v>
      </c>
      <c r="AL32" s="5">
        <v>217332</v>
      </c>
      <c r="AM32" s="13">
        <v>119335</v>
      </c>
      <c r="AN32" s="3">
        <f t="shared" si="24"/>
        <v>93052</v>
      </c>
      <c r="AO32" s="5">
        <v>212387</v>
      </c>
      <c r="AP32" s="4">
        <f t="shared" si="28"/>
        <v>0.97724679292510996</v>
      </c>
      <c r="AQ32" s="5">
        <v>453805</v>
      </c>
      <c r="AR32" s="13">
        <v>224114</v>
      </c>
      <c r="AS32" s="3">
        <f t="shared" si="25"/>
        <v>229535</v>
      </c>
      <c r="AT32" s="5">
        <v>453649</v>
      </c>
      <c r="AU32" s="4">
        <f t="shared" si="29"/>
        <v>0.99965624001498443</v>
      </c>
      <c r="AV32" s="5">
        <v>213428</v>
      </c>
      <c r="AW32" s="13">
        <v>121027</v>
      </c>
      <c r="AX32" s="3">
        <f t="shared" si="26"/>
        <v>91566</v>
      </c>
      <c r="AY32" s="5">
        <v>212593</v>
      </c>
      <c r="AZ32" s="4">
        <f t="shared" si="30"/>
        <v>0.99608767359484229</v>
      </c>
      <c r="BA32" s="5">
        <v>220509</v>
      </c>
      <c r="BB32" s="13">
        <v>122730</v>
      </c>
      <c r="BC32" s="3">
        <f t="shared" si="27"/>
        <v>94377</v>
      </c>
      <c r="BD32" s="5">
        <v>217107</v>
      </c>
      <c r="BE32" s="4">
        <f t="shared" si="31"/>
        <v>0.98457205828333538</v>
      </c>
      <c r="BF32" s="5">
        <v>463937</v>
      </c>
      <c r="BG32" s="13">
        <v>207974</v>
      </c>
      <c r="BH32" s="3">
        <f t="shared" si="22"/>
        <v>253946</v>
      </c>
      <c r="BI32" s="5">
        <v>461920</v>
      </c>
      <c r="BJ32" s="4">
        <f t="shared" si="23"/>
        <v>0.99565242694589995</v>
      </c>
    </row>
    <row r="33" spans="1:62" x14ac:dyDescent="0.3">
      <c r="A33" s="11">
        <v>24</v>
      </c>
      <c r="B33" s="2" t="s">
        <v>44</v>
      </c>
      <c r="C33" s="5">
        <v>620995</v>
      </c>
      <c r="D33" s="5">
        <v>524259</v>
      </c>
      <c r="E33" s="3">
        <f t="shared" si="0"/>
        <v>96268</v>
      </c>
      <c r="F33" s="5">
        <v>620527</v>
      </c>
      <c r="G33" s="4">
        <f t="shared" si="1"/>
        <v>0.9992463707437258</v>
      </c>
      <c r="H33" s="5">
        <v>630476</v>
      </c>
      <c r="I33" s="5">
        <v>529857</v>
      </c>
      <c r="J33" s="3">
        <f t="shared" si="2"/>
        <v>98479</v>
      </c>
      <c r="K33" s="5">
        <v>628336</v>
      </c>
      <c r="L33" s="4">
        <f t="shared" si="3"/>
        <v>0.99660573915581241</v>
      </c>
      <c r="M33" s="5">
        <v>1032030</v>
      </c>
      <c r="N33" s="5">
        <v>849700</v>
      </c>
      <c r="O33" s="3">
        <f t="shared" si="4"/>
        <v>184051</v>
      </c>
      <c r="P33" s="5">
        <v>1033751</v>
      </c>
      <c r="Q33" s="4">
        <f t="shared" si="5"/>
        <v>1.0016675871825431</v>
      </c>
      <c r="R33" s="5">
        <v>629419</v>
      </c>
      <c r="S33" s="5">
        <v>530726</v>
      </c>
      <c r="T33" s="3">
        <f t="shared" si="6"/>
        <v>97173</v>
      </c>
      <c r="U33" s="5">
        <v>627899</v>
      </c>
      <c r="V33" s="4">
        <f t="shared" si="7"/>
        <v>0.99758507448933065</v>
      </c>
      <c r="W33" s="5">
        <v>637378</v>
      </c>
      <c r="X33" s="5">
        <v>532860</v>
      </c>
      <c r="Y33" s="3">
        <f t="shared" si="8"/>
        <v>101397</v>
      </c>
      <c r="Z33" s="5">
        <v>634257</v>
      </c>
      <c r="AA33" s="4">
        <f t="shared" si="9"/>
        <v>0.99510337664619741</v>
      </c>
      <c r="AB33" s="5">
        <v>1041984</v>
      </c>
      <c r="AC33" s="5">
        <v>859179</v>
      </c>
      <c r="AD33" s="3">
        <f t="shared" si="10"/>
        <v>184408</v>
      </c>
      <c r="AE33" s="5">
        <v>1043587</v>
      </c>
      <c r="AF33" s="4">
        <f t="shared" si="11"/>
        <v>1.0015384113383698</v>
      </c>
      <c r="AG33" s="5">
        <v>638215</v>
      </c>
      <c r="AH33" s="13">
        <v>559039</v>
      </c>
      <c r="AI33" s="3">
        <f t="shared" si="12"/>
        <v>78015</v>
      </c>
      <c r="AJ33" s="5">
        <v>637054</v>
      </c>
      <c r="AK33" s="4">
        <f t="shared" si="13"/>
        <v>0.99818086381548543</v>
      </c>
      <c r="AL33" s="5">
        <v>645318</v>
      </c>
      <c r="AM33" s="13">
        <v>546905</v>
      </c>
      <c r="AN33" s="3">
        <f t="shared" si="24"/>
        <v>94794</v>
      </c>
      <c r="AO33" s="5">
        <v>641699</v>
      </c>
      <c r="AP33" s="4">
        <f t="shared" si="28"/>
        <v>0.9943919122045255</v>
      </c>
      <c r="AQ33" s="5">
        <v>1053133</v>
      </c>
      <c r="AR33" s="13">
        <v>887456</v>
      </c>
      <c r="AS33" s="3">
        <f t="shared" si="25"/>
        <v>167724</v>
      </c>
      <c r="AT33" s="5">
        <v>1055180</v>
      </c>
      <c r="AU33" s="4">
        <f t="shared" si="29"/>
        <v>1.0019437241070217</v>
      </c>
      <c r="AV33" s="5">
        <v>647979</v>
      </c>
      <c r="AW33" s="13">
        <v>558703</v>
      </c>
      <c r="AX33" s="3">
        <f t="shared" si="26"/>
        <v>89182</v>
      </c>
      <c r="AY33" s="5">
        <v>647885</v>
      </c>
      <c r="AZ33" s="4">
        <f t="shared" si="30"/>
        <v>0.99985493357037802</v>
      </c>
      <c r="BA33" s="5">
        <v>657743</v>
      </c>
      <c r="BB33" s="13">
        <v>567605</v>
      </c>
      <c r="BC33" s="3">
        <f t="shared" si="27"/>
        <v>89584</v>
      </c>
      <c r="BD33" s="5">
        <v>657189</v>
      </c>
      <c r="BE33" s="4">
        <f t="shared" si="31"/>
        <v>0.99915772573786421</v>
      </c>
      <c r="BF33" s="5">
        <v>1071541</v>
      </c>
      <c r="BG33" s="13">
        <v>882796</v>
      </c>
      <c r="BH33" s="3">
        <f t="shared" si="22"/>
        <v>189775</v>
      </c>
      <c r="BI33" s="5">
        <v>1072571</v>
      </c>
      <c r="BJ33" s="4">
        <f t="shared" si="23"/>
        <v>1.0009612324680064</v>
      </c>
    </row>
    <row r="34" spans="1:62" x14ac:dyDescent="0.3">
      <c r="A34" s="11">
        <v>25</v>
      </c>
      <c r="B34" s="2" t="s">
        <v>28</v>
      </c>
      <c r="C34" s="5">
        <v>0</v>
      </c>
      <c r="D34" s="5">
        <v>0</v>
      </c>
      <c r="E34" s="5" t="s">
        <v>41</v>
      </c>
      <c r="F34" s="5">
        <v>0</v>
      </c>
      <c r="G34" s="5" t="s">
        <v>41</v>
      </c>
      <c r="H34" s="5">
        <v>0</v>
      </c>
      <c r="I34" s="5">
        <v>0</v>
      </c>
      <c r="J34" s="5" t="s">
        <v>41</v>
      </c>
      <c r="K34" s="5">
        <v>0</v>
      </c>
      <c r="L34" s="5" t="s">
        <v>41</v>
      </c>
      <c r="M34" s="5">
        <v>0</v>
      </c>
      <c r="N34" s="5">
        <v>0</v>
      </c>
      <c r="O34" s="5" t="s">
        <v>41</v>
      </c>
      <c r="P34" s="5">
        <v>0</v>
      </c>
      <c r="Q34" s="5" t="s">
        <v>41</v>
      </c>
      <c r="R34" s="5">
        <v>0</v>
      </c>
      <c r="S34" s="5">
        <v>0</v>
      </c>
      <c r="T34" s="5" t="s">
        <v>41</v>
      </c>
      <c r="U34" s="5">
        <v>0</v>
      </c>
      <c r="V34" s="5" t="s">
        <v>41</v>
      </c>
      <c r="W34" s="5">
        <v>0</v>
      </c>
      <c r="X34" s="5">
        <v>0</v>
      </c>
      <c r="Y34" s="5" t="s">
        <v>41</v>
      </c>
      <c r="Z34" s="5">
        <v>0</v>
      </c>
      <c r="AA34" s="5" t="s">
        <v>41</v>
      </c>
      <c r="AB34" s="5">
        <v>0</v>
      </c>
      <c r="AC34" s="5">
        <v>0</v>
      </c>
      <c r="AD34" s="5" t="s">
        <v>41</v>
      </c>
      <c r="AE34" s="5">
        <v>0</v>
      </c>
      <c r="AF34" s="5" t="s">
        <v>41</v>
      </c>
      <c r="AG34" s="5">
        <v>0</v>
      </c>
      <c r="AH34" s="13">
        <v>0</v>
      </c>
      <c r="AI34" s="5" t="s">
        <v>41</v>
      </c>
      <c r="AJ34" s="5">
        <v>0</v>
      </c>
      <c r="AK34" s="5" t="s">
        <v>41</v>
      </c>
      <c r="AL34" s="5">
        <v>0</v>
      </c>
      <c r="AM34" s="13">
        <v>0</v>
      </c>
      <c r="AN34" s="5" t="s">
        <v>41</v>
      </c>
      <c r="AO34" s="5">
        <v>1</v>
      </c>
      <c r="AP34" s="5" t="s">
        <v>41</v>
      </c>
      <c r="AQ34" s="5">
        <v>1</v>
      </c>
      <c r="AR34" s="13">
        <v>1</v>
      </c>
      <c r="AS34" s="5" t="s">
        <v>41</v>
      </c>
      <c r="AT34" s="5">
        <v>1</v>
      </c>
      <c r="AU34" s="5" t="s">
        <v>41</v>
      </c>
      <c r="AV34" s="5">
        <v>1</v>
      </c>
      <c r="AW34" s="13">
        <v>0</v>
      </c>
      <c r="AX34" s="5" t="s">
        <v>41</v>
      </c>
      <c r="AY34" s="5">
        <v>0</v>
      </c>
      <c r="AZ34" s="5" t="s">
        <v>41</v>
      </c>
      <c r="BA34" s="5">
        <v>1</v>
      </c>
      <c r="BB34" s="13">
        <v>0</v>
      </c>
      <c r="BC34" s="5" t="s">
        <v>41</v>
      </c>
      <c r="BD34" s="5">
        <v>0</v>
      </c>
      <c r="BE34" s="5" t="s">
        <v>41</v>
      </c>
      <c r="BF34" s="5">
        <v>1</v>
      </c>
      <c r="BG34" s="13">
        <v>0</v>
      </c>
      <c r="BH34" s="5" t="s">
        <v>41</v>
      </c>
      <c r="BI34" s="5">
        <v>0</v>
      </c>
      <c r="BJ34" s="5" t="s">
        <v>41</v>
      </c>
    </row>
    <row r="35" spans="1:62" x14ac:dyDescent="0.3">
      <c r="A35" s="11">
        <v>26</v>
      </c>
      <c r="B35" s="2" t="s">
        <v>29</v>
      </c>
      <c r="C35" s="5">
        <v>11569</v>
      </c>
      <c r="D35" s="5">
        <v>9220</v>
      </c>
      <c r="E35" s="3">
        <f t="shared" si="0"/>
        <v>2346</v>
      </c>
      <c r="F35" s="5">
        <v>11566</v>
      </c>
      <c r="G35" s="4">
        <f t="shared" si="1"/>
        <v>0.99974068631688129</v>
      </c>
      <c r="H35" s="5">
        <v>11660</v>
      </c>
      <c r="I35" s="5">
        <v>9218</v>
      </c>
      <c r="J35" s="3">
        <f t="shared" ref="J35:J47" si="32">K35-I35</f>
        <v>2388</v>
      </c>
      <c r="K35" s="5">
        <v>11606</v>
      </c>
      <c r="L35" s="4">
        <f t="shared" ref="L35:L47" si="33">K35/H35</f>
        <v>0.99536878216123503</v>
      </c>
      <c r="M35" s="5">
        <v>14448</v>
      </c>
      <c r="N35" s="5">
        <v>11289</v>
      </c>
      <c r="O35" s="3">
        <f t="shared" ref="O35:O47" si="34">P35-N35</f>
        <v>3148</v>
      </c>
      <c r="P35" s="5">
        <v>14437</v>
      </c>
      <c r="Q35" s="4">
        <f t="shared" ref="Q35:Q47" si="35">P35/M35</f>
        <v>0.99923864894795122</v>
      </c>
      <c r="R35" s="5">
        <v>11629</v>
      </c>
      <c r="S35" s="5">
        <v>9171</v>
      </c>
      <c r="T35" s="3">
        <f t="shared" ref="T35:T47" si="36">U35-S35</f>
        <v>2437</v>
      </c>
      <c r="U35" s="5">
        <v>11608</v>
      </c>
      <c r="V35" s="4">
        <f t="shared" ref="V35:V47" si="37">U35/R35</f>
        <v>0.99819416974804365</v>
      </c>
      <c r="W35" s="5">
        <v>11769</v>
      </c>
      <c r="X35" s="5">
        <v>9272</v>
      </c>
      <c r="Y35" s="3">
        <f t="shared" ref="Y35:Y47" si="38">Z35-X35</f>
        <v>2386</v>
      </c>
      <c r="Z35" s="5">
        <v>11658</v>
      </c>
      <c r="AA35" s="4">
        <f t="shared" ref="AA35:AA47" si="39">Z35/W35</f>
        <v>0.99056844251848075</v>
      </c>
      <c r="AB35" s="5">
        <v>14510</v>
      </c>
      <c r="AC35" s="5">
        <v>11392</v>
      </c>
      <c r="AD35" s="3">
        <f t="shared" ref="AD35:AD47" si="40">AE35-AC35</f>
        <v>3110</v>
      </c>
      <c r="AE35" s="5">
        <v>14502</v>
      </c>
      <c r="AF35" s="4">
        <f t="shared" ref="AF35:AF47" si="41">AE35/AB35</f>
        <v>0.99944865609924194</v>
      </c>
      <c r="AG35" s="5">
        <v>11749</v>
      </c>
      <c r="AH35" s="13">
        <v>9582</v>
      </c>
      <c r="AI35" s="3">
        <f t="shared" ref="AI35:AI47" si="42">AJ35-AH35</f>
        <v>2149</v>
      </c>
      <c r="AJ35" s="5">
        <v>11731</v>
      </c>
      <c r="AK35" s="4">
        <f t="shared" ref="AK35:AK47" si="43">AJ35/AG35</f>
        <v>0.99846795471955063</v>
      </c>
      <c r="AL35" s="5">
        <v>11839</v>
      </c>
      <c r="AM35" s="13">
        <v>9446</v>
      </c>
      <c r="AN35" s="3">
        <f t="shared" ref="AN35:AN47" si="44">AO35-AM35</f>
        <v>2324</v>
      </c>
      <c r="AO35" s="5">
        <v>11770</v>
      </c>
      <c r="AP35" s="4">
        <f t="shared" ref="AP35:AP47" si="45">AO35/AL35</f>
        <v>0.99417180505110225</v>
      </c>
      <c r="AQ35" s="5">
        <v>14639</v>
      </c>
      <c r="AR35" s="13">
        <v>11773</v>
      </c>
      <c r="AS35" s="3">
        <f t="shared" ref="AS35:AS47" si="46">AT35-AR35</f>
        <v>2840</v>
      </c>
      <c r="AT35" s="5">
        <v>14613</v>
      </c>
      <c r="AU35" s="4">
        <f t="shared" ref="AU35:AU47" si="47">AT35/AQ35</f>
        <v>0.99822392239907098</v>
      </c>
      <c r="AV35" s="5">
        <v>11843</v>
      </c>
      <c r="AW35" s="13">
        <v>9656</v>
      </c>
      <c r="AX35" s="3">
        <f t="shared" ref="AX35:AX47" si="48">AY35-AW35</f>
        <v>2166</v>
      </c>
      <c r="AY35" s="5">
        <v>11822</v>
      </c>
      <c r="AZ35" s="4">
        <f t="shared" ref="AZ35:AZ47" si="49">AY35/AV35</f>
        <v>0.99822680064172931</v>
      </c>
      <c r="BA35" s="5">
        <v>11921</v>
      </c>
      <c r="BB35" s="13">
        <v>9716</v>
      </c>
      <c r="BC35" s="3">
        <f t="shared" ref="BC35:BC47" si="50">BD35-BB35</f>
        <v>2149</v>
      </c>
      <c r="BD35" s="5">
        <v>11865</v>
      </c>
      <c r="BE35" s="4">
        <f t="shared" ref="BE35:BE47" si="51">BD35/BA35</f>
        <v>0.99530240751614796</v>
      </c>
      <c r="BF35" s="5">
        <v>14735</v>
      </c>
      <c r="BG35" s="13">
        <v>11835</v>
      </c>
      <c r="BH35" s="3">
        <f t="shared" ref="BH35:BH47" si="52">BI35-BG35</f>
        <v>2887</v>
      </c>
      <c r="BI35" s="5">
        <v>14722</v>
      </c>
      <c r="BJ35" s="4">
        <f t="shared" ref="BJ35:BJ47" si="53">BI35/BF35</f>
        <v>0.99911774686121479</v>
      </c>
    </row>
    <row r="36" spans="1:62" x14ac:dyDescent="0.3">
      <c r="A36" s="11">
        <v>27</v>
      </c>
      <c r="B36" s="2" t="s">
        <v>45</v>
      </c>
      <c r="C36" s="5">
        <v>836037</v>
      </c>
      <c r="D36" s="5">
        <v>579199</v>
      </c>
      <c r="E36" s="3">
        <f t="shared" si="0"/>
        <v>253990</v>
      </c>
      <c r="F36" s="5">
        <v>833189</v>
      </c>
      <c r="G36" s="4">
        <f t="shared" si="1"/>
        <v>0.99659345220367046</v>
      </c>
      <c r="H36" s="5">
        <v>854298</v>
      </c>
      <c r="I36" s="5">
        <v>582090</v>
      </c>
      <c r="J36" s="3">
        <f t="shared" si="32"/>
        <v>261263</v>
      </c>
      <c r="K36" s="5">
        <v>843353</v>
      </c>
      <c r="L36" s="4">
        <f t="shared" si="33"/>
        <v>0.98718831133866636</v>
      </c>
      <c r="M36" s="5">
        <v>1510524</v>
      </c>
      <c r="N36" s="5">
        <v>1014391</v>
      </c>
      <c r="O36" s="3">
        <f t="shared" si="34"/>
        <v>489849</v>
      </c>
      <c r="P36" s="5">
        <v>1504240</v>
      </c>
      <c r="Q36" s="4">
        <f t="shared" si="35"/>
        <v>0.99583985424925392</v>
      </c>
      <c r="R36" s="5">
        <v>845008</v>
      </c>
      <c r="S36" s="5">
        <v>590966</v>
      </c>
      <c r="T36" s="3">
        <f t="shared" si="36"/>
        <v>248831</v>
      </c>
      <c r="U36" s="5">
        <v>839797</v>
      </c>
      <c r="V36" s="4">
        <f t="shared" si="37"/>
        <v>0.99383319447863216</v>
      </c>
      <c r="W36" s="5">
        <v>865288</v>
      </c>
      <c r="X36" s="5">
        <v>598085</v>
      </c>
      <c r="Y36" s="3">
        <f t="shared" si="38"/>
        <v>251384</v>
      </c>
      <c r="Z36" s="5">
        <v>849469</v>
      </c>
      <c r="AA36" s="4">
        <f t="shared" si="39"/>
        <v>0.98171822560812128</v>
      </c>
      <c r="AB36" s="5">
        <v>1522408</v>
      </c>
      <c r="AC36" s="5">
        <v>1031970</v>
      </c>
      <c r="AD36" s="3">
        <f t="shared" si="40"/>
        <v>485987</v>
      </c>
      <c r="AE36" s="5">
        <v>1517957</v>
      </c>
      <c r="AF36" s="4">
        <f t="shared" si="41"/>
        <v>0.99707634221575292</v>
      </c>
      <c r="AG36" s="5">
        <v>860909</v>
      </c>
      <c r="AH36" s="13">
        <v>622893</v>
      </c>
      <c r="AI36" s="3">
        <f t="shared" si="42"/>
        <v>232924</v>
      </c>
      <c r="AJ36" s="5">
        <v>855817</v>
      </c>
      <c r="AK36" s="4">
        <f t="shared" si="43"/>
        <v>0.99408532144512374</v>
      </c>
      <c r="AL36" s="5">
        <v>879793</v>
      </c>
      <c r="AM36" s="13">
        <v>627740</v>
      </c>
      <c r="AN36" s="3">
        <f t="shared" si="44"/>
        <v>238568</v>
      </c>
      <c r="AO36" s="5">
        <v>866308</v>
      </c>
      <c r="AP36" s="4">
        <f t="shared" si="45"/>
        <v>0.98467253092488805</v>
      </c>
      <c r="AQ36" s="5">
        <v>1539776</v>
      </c>
      <c r="AR36" s="13">
        <v>1080776</v>
      </c>
      <c r="AS36" s="3">
        <f t="shared" si="46"/>
        <v>458700</v>
      </c>
      <c r="AT36" s="5">
        <v>1539476</v>
      </c>
      <c r="AU36" s="4">
        <f t="shared" si="47"/>
        <v>0.99980516646577167</v>
      </c>
      <c r="AV36" s="5">
        <v>875330</v>
      </c>
      <c r="AW36" s="13">
        <v>638151</v>
      </c>
      <c r="AX36" s="3">
        <f t="shared" si="48"/>
        <v>234334</v>
      </c>
      <c r="AY36" s="5">
        <v>872485</v>
      </c>
      <c r="AZ36" s="4">
        <f t="shared" si="49"/>
        <v>0.99674979721933443</v>
      </c>
      <c r="BA36" s="5">
        <v>893595</v>
      </c>
      <c r="BB36" s="13">
        <v>647730</v>
      </c>
      <c r="BC36" s="3">
        <f t="shared" si="50"/>
        <v>235994</v>
      </c>
      <c r="BD36" s="5">
        <v>883724</v>
      </c>
      <c r="BE36" s="4">
        <f t="shared" si="51"/>
        <v>0.98895360873773919</v>
      </c>
      <c r="BF36" s="5">
        <v>1566403</v>
      </c>
      <c r="BG36" s="13">
        <v>1053071</v>
      </c>
      <c r="BH36" s="3">
        <f t="shared" si="52"/>
        <v>507335</v>
      </c>
      <c r="BI36" s="5">
        <v>1560406</v>
      </c>
      <c r="BJ36" s="4">
        <f t="shared" si="53"/>
        <v>0.99617148332836436</v>
      </c>
    </row>
    <row r="37" spans="1:62" x14ac:dyDescent="0.3">
      <c r="A37" s="11">
        <v>29</v>
      </c>
      <c r="B37" s="2" t="s">
        <v>30</v>
      </c>
      <c r="C37" s="5">
        <v>675549</v>
      </c>
      <c r="D37" s="5">
        <v>384009</v>
      </c>
      <c r="E37" s="3">
        <f t="shared" si="0"/>
        <v>283681</v>
      </c>
      <c r="F37" s="5">
        <v>667690</v>
      </c>
      <c r="G37" s="4">
        <f t="shared" si="1"/>
        <v>0.98836649895122342</v>
      </c>
      <c r="H37" s="5">
        <v>681828</v>
      </c>
      <c r="I37" s="5">
        <v>396401</v>
      </c>
      <c r="J37" s="3">
        <f t="shared" si="32"/>
        <v>274159</v>
      </c>
      <c r="K37" s="5">
        <v>670560</v>
      </c>
      <c r="L37" s="4">
        <f t="shared" si="33"/>
        <v>0.98347383797673316</v>
      </c>
      <c r="M37" s="5">
        <v>856106</v>
      </c>
      <c r="N37" s="5">
        <v>498636</v>
      </c>
      <c r="O37" s="3">
        <f t="shared" si="34"/>
        <v>347695</v>
      </c>
      <c r="P37" s="5">
        <v>846331</v>
      </c>
      <c r="Q37" s="4">
        <f t="shared" si="35"/>
        <v>0.98858202138520235</v>
      </c>
      <c r="R37" s="5">
        <v>679636</v>
      </c>
      <c r="S37" s="5">
        <v>402549</v>
      </c>
      <c r="T37" s="3">
        <f t="shared" si="36"/>
        <v>268949</v>
      </c>
      <c r="U37" s="5">
        <v>671498</v>
      </c>
      <c r="V37" s="4">
        <f t="shared" si="37"/>
        <v>0.98802594329906013</v>
      </c>
      <c r="W37" s="5">
        <v>687189</v>
      </c>
      <c r="X37" s="5">
        <v>403315</v>
      </c>
      <c r="Y37" s="3">
        <f t="shared" si="38"/>
        <v>273282</v>
      </c>
      <c r="Z37" s="5">
        <v>676597</v>
      </c>
      <c r="AA37" s="4">
        <f t="shared" si="39"/>
        <v>0.98458648203041665</v>
      </c>
      <c r="AB37" s="5">
        <v>863912</v>
      </c>
      <c r="AC37" s="5">
        <v>506171</v>
      </c>
      <c r="AD37" s="3">
        <f t="shared" si="40"/>
        <v>349272</v>
      </c>
      <c r="AE37" s="5">
        <v>855443</v>
      </c>
      <c r="AF37" s="4">
        <f t="shared" si="41"/>
        <v>0.99019691820463196</v>
      </c>
      <c r="AG37" s="5">
        <v>690763</v>
      </c>
      <c r="AH37" s="13">
        <v>421980</v>
      </c>
      <c r="AI37" s="3">
        <f t="shared" si="42"/>
        <v>260645</v>
      </c>
      <c r="AJ37" s="5">
        <v>682625</v>
      </c>
      <c r="AK37" s="4">
        <f t="shared" si="43"/>
        <v>0.98821882469095768</v>
      </c>
      <c r="AL37" s="5">
        <v>697437</v>
      </c>
      <c r="AM37" s="13">
        <v>423616</v>
      </c>
      <c r="AN37" s="3">
        <f t="shared" si="44"/>
        <v>264998</v>
      </c>
      <c r="AO37" s="5">
        <v>688614</v>
      </c>
      <c r="AP37" s="4">
        <f t="shared" si="45"/>
        <v>0.98734939499911822</v>
      </c>
      <c r="AQ37" s="5">
        <v>873380</v>
      </c>
      <c r="AR37" s="13">
        <v>530410</v>
      </c>
      <c r="AS37" s="3">
        <f t="shared" si="46"/>
        <v>338552</v>
      </c>
      <c r="AT37" s="5">
        <v>868962</v>
      </c>
      <c r="AU37" s="4">
        <f t="shared" si="47"/>
        <v>0.99494149167601731</v>
      </c>
      <c r="AV37" s="5">
        <v>700086</v>
      </c>
      <c r="AW37" s="13">
        <v>427513</v>
      </c>
      <c r="AX37" s="3">
        <f t="shared" si="48"/>
        <v>266958</v>
      </c>
      <c r="AY37" s="5">
        <v>694471</v>
      </c>
      <c r="AZ37" s="4">
        <f t="shared" si="49"/>
        <v>0.99197955679730776</v>
      </c>
      <c r="BA37" s="5">
        <v>708485</v>
      </c>
      <c r="BB37" s="13">
        <v>430600</v>
      </c>
      <c r="BC37" s="3">
        <f t="shared" si="50"/>
        <v>268853</v>
      </c>
      <c r="BD37" s="5">
        <v>699453</v>
      </c>
      <c r="BE37" s="4">
        <f t="shared" si="51"/>
        <v>0.98725167081871879</v>
      </c>
      <c r="BF37" s="5">
        <v>887779</v>
      </c>
      <c r="BG37" s="13">
        <v>494061</v>
      </c>
      <c r="BH37" s="3">
        <f t="shared" si="52"/>
        <v>384164</v>
      </c>
      <c r="BI37" s="5">
        <v>878225</v>
      </c>
      <c r="BJ37" s="4">
        <f t="shared" si="53"/>
        <v>0.9892383126881803</v>
      </c>
    </row>
    <row r="38" spans="1:62" x14ac:dyDescent="0.3">
      <c r="A38" s="11">
        <v>30</v>
      </c>
      <c r="B38" s="2" t="s">
        <v>31</v>
      </c>
      <c r="C38" s="5">
        <v>22737</v>
      </c>
      <c r="D38" s="5">
        <v>13484</v>
      </c>
      <c r="E38" s="3">
        <f t="shared" si="0"/>
        <v>9415</v>
      </c>
      <c r="F38" s="5">
        <v>22899</v>
      </c>
      <c r="G38" s="4">
        <f t="shared" si="1"/>
        <v>1.007124950521177</v>
      </c>
      <c r="H38" s="5">
        <v>23122</v>
      </c>
      <c r="I38" s="5">
        <v>13570</v>
      </c>
      <c r="J38" s="3">
        <f t="shared" si="32"/>
        <v>9602</v>
      </c>
      <c r="K38" s="5">
        <v>23172</v>
      </c>
      <c r="L38" s="4">
        <f t="shared" si="33"/>
        <v>1.0021624426952687</v>
      </c>
      <c r="M38" s="5">
        <v>35582</v>
      </c>
      <c r="N38" s="5">
        <v>21441</v>
      </c>
      <c r="O38" s="3">
        <f t="shared" si="34"/>
        <v>14389</v>
      </c>
      <c r="P38" s="5">
        <v>35830</v>
      </c>
      <c r="Q38" s="4">
        <f t="shared" si="35"/>
        <v>1.0069698161992018</v>
      </c>
      <c r="R38" s="5">
        <v>22911</v>
      </c>
      <c r="S38" s="5">
        <v>13789</v>
      </c>
      <c r="T38" s="3">
        <f t="shared" si="36"/>
        <v>9353</v>
      </c>
      <c r="U38" s="5">
        <v>23142</v>
      </c>
      <c r="V38" s="4">
        <f t="shared" si="37"/>
        <v>1.010082493125573</v>
      </c>
      <c r="W38" s="5">
        <v>23450</v>
      </c>
      <c r="X38" s="5">
        <v>14168</v>
      </c>
      <c r="Y38" s="3">
        <f t="shared" si="38"/>
        <v>9183</v>
      </c>
      <c r="Z38" s="5">
        <v>23351</v>
      </c>
      <c r="AA38" s="4">
        <f t="shared" si="39"/>
        <v>0.99577825159914712</v>
      </c>
      <c r="AB38" s="5">
        <v>35915</v>
      </c>
      <c r="AC38" s="5">
        <v>22067</v>
      </c>
      <c r="AD38" s="3">
        <f t="shared" si="40"/>
        <v>14260</v>
      </c>
      <c r="AE38" s="5">
        <v>36327</v>
      </c>
      <c r="AF38" s="4">
        <f t="shared" si="41"/>
        <v>1.0114715300013921</v>
      </c>
      <c r="AG38" s="5">
        <v>23414</v>
      </c>
      <c r="AH38" s="13">
        <v>14738</v>
      </c>
      <c r="AI38" s="3">
        <f t="shared" si="42"/>
        <v>8896</v>
      </c>
      <c r="AJ38" s="5">
        <v>23634</v>
      </c>
      <c r="AK38" s="4">
        <f t="shared" si="43"/>
        <v>1.0093960878107116</v>
      </c>
      <c r="AL38" s="5">
        <v>23927</v>
      </c>
      <c r="AM38" s="13">
        <v>14951</v>
      </c>
      <c r="AN38" s="3">
        <f t="shared" si="44"/>
        <v>8958</v>
      </c>
      <c r="AO38" s="5">
        <v>23909</v>
      </c>
      <c r="AP38" s="4">
        <f t="shared" si="45"/>
        <v>0.99924771179002803</v>
      </c>
      <c r="AQ38" s="5">
        <v>36551</v>
      </c>
      <c r="AR38" s="13">
        <v>23698</v>
      </c>
      <c r="AS38" s="3">
        <f t="shared" si="46"/>
        <v>13392</v>
      </c>
      <c r="AT38" s="5">
        <v>37090</v>
      </c>
      <c r="AU38" s="4">
        <f t="shared" si="47"/>
        <v>1.0147465185631037</v>
      </c>
      <c r="AV38" s="5">
        <v>23833</v>
      </c>
      <c r="AW38" s="13">
        <v>15204</v>
      </c>
      <c r="AX38" s="3">
        <f t="shared" si="48"/>
        <v>8940</v>
      </c>
      <c r="AY38" s="5">
        <v>24144</v>
      </c>
      <c r="AZ38" s="4">
        <f t="shared" si="49"/>
        <v>1.0130491335543155</v>
      </c>
      <c r="BA38" s="5">
        <v>24292</v>
      </c>
      <c r="BB38" s="13">
        <v>15504</v>
      </c>
      <c r="BC38" s="3">
        <f t="shared" si="50"/>
        <v>8902</v>
      </c>
      <c r="BD38" s="5">
        <v>24406</v>
      </c>
      <c r="BE38" s="4">
        <f t="shared" si="51"/>
        <v>1.0046929030133378</v>
      </c>
      <c r="BF38" s="5">
        <v>37393</v>
      </c>
      <c r="BG38" s="13">
        <v>22355</v>
      </c>
      <c r="BH38" s="3">
        <f t="shared" si="52"/>
        <v>15244</v>
      </c>
      <c r="BI38" s="5">
        <v>37599</v>
      </c>
      <c r="BJ38" s="4">
        <f t="shared" si="53"/>
        <v>1.0055090524964565</v>
      </c>
    </row>
    <row r="39" spans="1:62" x14ac:dyDescent="0.3">
      <c r="A39" s="11">
        <v>31</v>
      </c>
      <c r="B39" s="2" t="s">
        <v>32</v>
      </c>
      <c r="C39" s="5">
        <v>184</v>
      </c>
      <c r="D39" s="5">
        <v>93</v>
      </c>
      <c r="E39" s="3">
        <f t="shared" si="0"/>
        <v>94</v>
      </c>
      <c r="F39" s="5">
        <v>187</v>
      </c>
      <c r="G39" s="4">
        <f t="shared" si="1"/>
        <v>1.0163043478260869</v>
      </c>
      <c r="H39" s="5">
        <v>185</v>
      </c>
      <c r="I39" s="5">
        <v>83</v>
      </c>
      <c r="J39" s="3">
        <f t="shared" si="32"/>
        <v>104</v>
      </c>
      <c r="K39" s="5">
        <v>187</v>
      </c>
      <c r="L39" s="4">
        <f t="shared" si="33"/>
        <v>1.0108108108108107</v>
      </c>
      <c r="M39" s="5">
        <v>225</v>
      </c>
      <c r="N39" s="5">
        <v>122</v>
      </c>
      <c r="O39" s="3">
        <f t="shared" si="34"/>
        <v>107</v>
      </c>
      <c r="P39" s="5">
        <v>229</v>
      </c>
      <c r="Q39" s="4">
        <f t="shared" si="35"/>
        <v>1.0177777777777777</v>
      </c>
      <c r="R39" s="5">
        <v>185</v>
      </c>
      <c r="S39" s="5">
        <v>99</v>
      </c>
      <c r="T39" s="3">
        <f t="shared" si="36"/>
        <v>90</v>
      </c>
      <c r="U39" s="5">
        <v>189</v>
      </c>
      <c r="V39" s="4">
        <f t="shared" si="37"/>
        <v>1.0216216216216216</v>
      </c>
      <c r="W39" s="5">
        <v>190</v>
      </c>
      <c r="X39" s="5">
        <v>99</v>
      </c>
      <c r="Y39" s="3">
        <f t="shared" si="38"/>
        <v>92</v>
      </c>
      <c r="Z39" s="5">
        <v>191</v>
      </c>
      <c r="AA39" s="4">
        <f t="shared" si="39"/>
        <v>1.0052631578947369</v>
      </c>
      <c r="AB39" s="5">
        <v>229</v>
      </c>
      <c r="AC39" s="5">
        <v>123</v>
      </c>
      <c r="AD39" s="3">
        <f t="shared" si="40"/>
        <v>109</v>
      </c>
      <c r="AE39" s="5">
        <v>232</v>
      </c>
      <c r="AF39" s="4">
        <f t="shared" si="41"/>
        <v>1.0131004366812226</v>
      </c>
      <c r="AG39" s="5">
        <v>192</v>
      </c>
      <c r="AH39" s="13">
        <v>101</v>
      </c>
      <c r="AI39" s="3">
        <f t="shared" si="42"/>
        <v>88</v>
      </c>
      <c r="AJ39" s="5">
        <v>189</v>
      </c>
      <c r="AK39" s="4">
        <f t="shared" si="43"/>
        <v>0.984375</v>
      </c>
      <c r="AL39" s="5">
        <v>193</v>
      </c>
      <c r="AM39" s="13">
        <v>103</v>
      </c>
      <c r="AN39" s="3">
        <f t="shared" si="44"/>
        <v>92</v>
      </c>
      <c r="AO39" s="5">
        <v>195</v>
      </c>
      <c r="AP39" s="4">
        <f t="shared" si="45"/>
        <v>1.0103626943005182</v>
      </c>
      <c r="AQ39" s="5">
        <v>241</v>
      </c>
      <c r="AR39" s="13">
        <v>124</v>
      </c>
      <c r="AS39" s="3">
        <f t="shared" si="46"/>
        <v>117</v>
      </c>
      <c r="AT39" s="5">
        <v>241</v>
      </c>
      <c r="AU39" s="4">
        <f t="shared" si="47"/>
        <v>1</v>
      </c>
      <c r="AV39" s="5">
        <v>200</v>
      </c>
      <c r="AW39" s="13">
        <v>110</v>
      </c>
      <c r="AX39" s="3">
        <f t="shared" si="48"/>
        <v>89</v>
      </c>
      <c r="AY39" s="5">
        <v>199</v>
      </c>
      <c r="AZ39" s="4">
        <f t="shared" si="49"/>
        <v>0.995</v>
      </c>
      <c r="BA39" s="5">
        <v>207</v>
      </c>
      <c r="BB39" s="13">
        <v>97</v>
      </c>
      <c r="BC39" s="3">
        <f t="shared" si="50"/>
        <v>106</v>
      </c>
      <c r="BD39" s="5">
        <v>203</v>
      </c>
      <c r="BE39" s="4">
        <f t="shared" si="51"/>
        <v>0.98067632850241548</v>
      </c>
      <c r="BF39" s="5">
        <v>257</v>
      </c>
      <c r="BG39" s="13">
        <v>117</v>
      </c>
      <c r="BH39" s="3">
        <f t="shared" si="52"/>
        <v>136</v>
      </c>
      <c r="BI39" s="5">
        <v>253</v>
      </c>
      <c r="BJ39" s="4">
        <f t="shared" si="53"/>
        <v>0.98443579766536971</v>
      </c>
    </row>
    <row r="40" spans="1:62" x14ac:dyDescent="0.3">
      <c r="A40" s="11">
        <v>32</v>
      </c>
      <c r="B40" s="2" t="s">
        <v>33</v>
      </c>
      <c r="C40" s="5">
        <v>277722</v>
      </c>
      <c r="D40" s="5">
        <v>170984</v>
      </c>
      <c r="E40" s="3">
        <f t="shared" si="0"/>
        <v>104864</v>
      </c>
      <c r="F40" s="5">
        <v>275848</v>
      </c>
      <c r="G40" s="4">
        <f t="shared" si="1"/>
        <v>0.99325224505080623</v>
      </c>
      <c r="H40" s="5">
        <v>279588</v>
      </c>
      <c r="I40" s="5">
        <v>169489</v>
      </c>
      <c r="J40" s="3">
        <f t="shared" si="32"/>
        <v>108063</v>
      </c>
      <c r="K40" s="5">
        <v>277552</v>
      </c>
      <c r="L40" s="4">
        <f t="shared" si="33"/>
        <v>0.99271785627423204</v>
      </c>
      <c r="M40" s="5">
        <v>339205</v>
      </c>
      <c r="N40" s="5">
        <v>202402</v>
      </c>
      <c r="O40" s="3">
        <f t="shared" si="34"/>
        <v>135130</v>
      </c>
      <c r="P40" s="5">
        <v>337532</v>
      </c>
      <c r="Q40" s="4">
        <f t="shared" si="35"/>
        <v>0.99506787930602436</v>
      </c>
      <c r="R40" s="5">
        <v>280405</v>
      </c>
      <c r="S40" s="5">
        <v>174156</v>
      </c>
      <c r="T40" s="3">
        <f t="shared" si="36"/>
        <v>104710</v>
      </c>
      <c r="U40" s="5">
        <v>278866</v>
      </c>
      <c r="V40" s="4">
        <f t="shared" si="37"/>
        <v>0.99451151013712313</v>
      </c>
      <c r="W40" s="5">
        <v>283529</v>
      </c>
      <c r="X40" s="5">
        <v>170564</v>
      </c>
      <c r="Y40" s="3">
        <f t="shared" si="38"/>
        <v>110246</v>
      </c>
      <c r="Z40" s="5">
        <v>280810</v>
      </c>
      <c r="AA40" s="4">
        <f t="shared" si="39"/>
        <v>0.9904101520479387</v>
      </c>
      <c r="AB40" s="5">
        <v>342699</v>
      </c>
      <c r="AC40" s="5">
        <v>205427</v>
      </c>
      <c r="AD40" s="3">
        <f t="shared" si="40"/>
        <v>136248</v>
      </c>
      <c r="AE40" s="5">
        <v>341675</v>
      </c>
      <c r="AF40" s="4">
        <f t="shared" si="41"/>
        <v>0.99701195509762208</v>
      </c>
      <c r="AG40" s="5">
        <v>284836</v>
      </c>
      <c r="AH40" s="13">
        <v>179131</v>
      </c>
      <c r="AI40" s="3">
        <f t="shared" si="42"/>
        <v>104284</v>
      </c>
      <c r="AJ40" s="5">
        <v>283415</v>
      </c>
      <c r="AK40" s="4">
        <f t="shared" si="43"/>
        <v>0.99501116431911696</v>
      </c>
      <c r="AL40" s="5">
        <v>287465</v>
      </c>
      <c r="AM40" s="13">
        <v>175843</v>
      </c>
      <c r="AN40" s="3">
        <f t="shared" si="44"/>
        <v>109802</v>
      </c>
      <c r="AO40" s="5">
        <v>285645</v>
      </c>
      <c r="AP40" s="4">
        <f t="shared" si="45"/>
        <v>0.99366879446193446</v>
      </c>
      <c r="AQ40" s="5">
        <v>346543</v>
      </c>
      <c r="AR40" s="13">
        <v>212660</v>
      </c>
      <c r="AS40" s="3">
        <f t="shared" si="46"/>
        <v>133819</v>
      </c>
      <c r="AT40" s="5">
        <v>346479</v>
      </c>
      <c r="AU40" s="4">
        <f t="shared" si="47"/>
        <v>0.99981531873389451</v>
      </c>
      <c r="AV40" s="5">
        <v>288959</v>
      </c>
      <c r="AW40" s="13">
        <v>177096</v>
      </c>
      <c r="AX40" s="3">
        <f t="shared" si="48"/>
        <v>110667</v>
      </c>
      <c r="AY40" s="5">
        <v>287763</v>
      </c>
      <c r="AZ40" s="4">
        <f t="shared" si="49"/>
        <v>0.99586100450236881</v>
      </c>
      <c r="BA40" s="5">
        <v>291465</v>
      </c>
      <c r="BB40" s="13">
        <v>179400</v>
      </c>
      <c r="BC40" s="3">
        <f t="shared" si="50"/>
        <v>109542</v>
      </c>
      <c r="BD40" s="5">
        <v>288942</v>
      </c>
      <c r="BE40" s="4">
        <f t="shared" si="51"/>
        <v>0.99134372909268698</v>
      </c>
      <c r="BF40" s="5">
        <v>351557</v>
      </c>
      <c r="BG40" s="13">
        <v>200149</v>
      </c>
      <c r="BH40" s="3">
        <f t="shared" si="52"/>
        <v>149293</v>
      </c>
      <c r="BI40" s="5">
        <v>349442</v>
      </c>
      <c r="BJ40" s="4">
        <f t="shared" si="53"/>
        <v>0.99398390588154983</v>
      </c>
    </row>
    <row r="41" spans="1:62" x14ac:dyDescent="0.3">
      <c r="A41" s="11">
        <v>33</v>
      </c>
      <c r="B41" s="2" t="s">
        <v>34</v>
      </c>
      <c r="C41" s="5">
        <v>912114</v>
      </c>
      <c r="D41" s="5">
        <v>560126</v>
      </c>
      <c r="E41" s="3">
        <f t="shared" si="0"/>
        <v>345435</v>
      </c>
      <c r="F41" s="5">
        <v>905561</v>
      </c>
      <c r="G41" s="4">
        <f t="shared" si="1"/>
        <v>0.99281559103357697</v>
      </c>
      <c r="H41" s="5">
        <v>920596</v>
      </c>
      <c r="I41" s="5">
        <v>552307</v>
      </c>
      <c r="J41" s="3">
        <f t="shared" si="32"/>
        <v>358267</v>
      </c>
      <c r="K41" s="5">
        <v>910574</v>
      </c>
      <c r="L41" s="4">
        <f t="shared" si="33"/>
        <v>0.98911357424972512</v>
      </c>
      <c r="M41" s="5">
        <v>1028922</v>
      </c>
      <c r="N41" s="5">
        <v>622107</v>
      </c>
      <c r="O41" s="3">
        <f t="shared" si="34"/>
        <v>396213</v>
      </c>
      <c r="P41" s="5">
        <v>1018320</v>
      </c>
      <c r="Q41" s="4">
        <f t="shared" si="35"/>
        <v>0.98969601194259627</v>
      </c>
      <c r="R41" s="5">
        <v>924082</v>
      </c>
      <c r="S41" s="5">
        <v>554520</v>
      </c>
      <c r="T41" s="3">
        <f t="shared" si="36"/>
        <v>360527</v>
      </c>
      <c r="U41" s="5">
        <v>915047</v>
      </c>
      <c r="V41" s="4">
        <f t="shared" si="37"/>
        <v>0.99022272915174192</v>
      </c>
      <c r="W41" s="5">
        <v>929406</v>
      </c>
      <c r="X41" s="5">
        <v>562804</v>
      </c>
      <c r="Y41" s="3">
        <f t="shared" si="38"/>
        <v>356197</v>
      </c>
      <c r="Z41" s="5">
        <v>919001</v>
      </c>
      <c r="AA41" s="4">
        <f t="shared" si="39"/>
        <v>0.98880467739610034</v>
      </c>
      <c r="AB41" s="5">
        <v>1036539</v>
      </c>
      <c r="AC41" s="5">
        <v>630816</v>
      </c>
      <c r="AD41" s="3">
        <f t="shared" si="40"/>
        <v>396619</v>
      </c>
      <c r="AE41" s="5">
        <v>1027435</v>
      </c>
      <c r="AF41" s="4">
        <f t="shared" si="41"/>
        <v>0.99121692478527101</v>
      </c>
      <c r="AG41" s="5">
        <v>935526</v>
      </c>
      <c r="AH41" s="13">
        <v>576632</v>
      </c>
      <c r="AI41" s="3">
        <f t="shared" si="42"/>
        <v>348943</v>
      </c>
      <c r="AJ41" s="5">
        <v>925575</v>
      </c>
      <c r="AK41" s="4">
        <f t="shared" si="43"/>
        <v>0.98936320316057491</v>
      </c>
      <c r="AL41" s="5">
        <v>940174</v>
      </c>
      <c r="AM41" s="13">
        <v>566402</v>
      </c>
      <c r="AN41" s="3">
        <f t="shared" si="44"/>
        <v>363738</v>
      </c>
      <c r="AO41" s="5">
        <v>930140</v>
      </c>
      <c r="AP41" s="4">
        <f t="shared" si="45"/>
        <v>0.98932750746138476</v>
      </c>
      <c r="AQ41" s="5">
        <v>1046219</v>
      </c>
      <c r="AR41" s="13">
        <v>652887</v>
      </c>
      <c r="AS41" s="3">
        <f t="shared" si="46"/>
        <v>386048</v>
      </c>
      <c r="AT41" s="5">
        <v>1038935</v>
      </c>
      <c r="AU41" s="4">
        <f t="shared" si="47"/>
        <v>0.99303778654373509</v>
      </c>
      <c r="AV41" s="5">
        <v>945246</v>
      </c>
      <c r="AW41" s="13">
        <v>579439</v>
      </c>
      <c r="AX41" s="3">
        <f t="shared" si="48"/>
        <v>357491</v>
      </c>
      <c r="AY41" s="5">
        <v>936930</v>
      </c>
      <c r="AZ41" s="4">
        <f t="shared" si="49"/>
        <v>0.99120229019747241</v>
      </c>
      <c r="BA41" s="5">
        <v>950318</v>
      </c>
      <c r="BB41" s="13">
        <v>585875</v>
      </c>
      <c r="BC41" s="3">
        <f t="shared" si="50"/>
        <v>355001</v>
      </c>
      <c r="BD41" s="5">
        <v>940876</v>
      </c>
      <c r="BE41" s="4">
        <f t="shared" si="51"/>
        <v>0.99006437845016093</v>
      </c>
      <c r="BF41" s="5">
        <v>1056723</v>
      </c>
      <c r="BG41" s="13">
        <v>627240</v>
      </c>
      <c r="BH41" s="3">
        <f t="shared" si="52"/>
        <v>421991</v>
      </c>
      <c r="BI41" s="5">
        <v>1049231</v>
      </c>
      <c r="BJ41" s="4">
        <f t="shared" si="53"/>
        <v>0.99291015715565956</v>
      </c>
    </row>
    <row r="42" spans="1:62" x14ac:dyDescent="0.3">
      <c r="A42" s="11">
        <v>34</v>
      </c>
      <c r="B42" s="2" t="s">
        <v>35</v>
      </c>
      <c r="C42" s="5">
        <v>18445</v>
      </c>
      <c r="D42" s="5">
        <v>10051</v>
      </c>
      <c r="E42" s="3">
        <f t="shared" si="0"/>
        <v>8186</v>
      </c>
      <c r="F42" s="5">
        <v>18237</v>
      </c>
      <c r="G42" s="4">
        <f t="shared" si="1"/>
        <v>0.98872323122797501</v>
      </c>
      <c r="H42" s="5">
        <v>18615</v>
      </c>
      <c r="I42" s="5">
        <v>9731</v>
      </c>
      <c r="J42" s="3">
        <f t="shared" si="32"/>
        <v>8628</v>
      </c>
      <c r="K42" s="5">
        <v>18359</v>
      </c>
      <c r="L42" s="4">
        <f t="shared" si="33"/>
        <v>0.98624764974482948</v>
      </c>
      <c r="M42" s="5">
        <v>20702</v>
      </c>
      <c r="N42" s="5">
        <v>11077</v>
      </c>
      <c r="O42" s="3">
        <f t="shared" si="34"/>
        <v>9321</v>
      </c>
      <c r="P42" s="5">
        <v>20398</v>
      </c>
      <c r="Q42" s="4">
        <f t="shared" si="35"/>
        <v>0.98531542846101827</v>
      </c>
      <c r="R42" s="5">
        <v>18543</v>
      </c>
      <c r="S42" s="5">
        <v>9859</v>
      </c>
      <c r="T42" s="3">
        <f t="shared" si="36"/>
        <v>8478</v>
      </c>
      <c r="U42" s="5">
        <v>18337</v>
      </c>
      <c r="V42" s="4">
        <f t="shared" si="37"/>
        <v>0.98889068651243062</v>
      </c>
      <c r="W42" s="5">
        <v>18720</v>
      </c>
      <c r="X42" s="5">
        <v>9972</v>
      </c>
      <c r="Y42" s="3">
        <f t="shared" si="38"/>
        <v>8429</v>
      </c>
      <c r="Z42" s="5">
        <v>18401</v>
      </c>
      <c r="AA42" s="4">
        <f t="shared" si="39"/>
        <v>0.98295940170940166</v>
      </c>
      <c r="AB42" s="5">
        <v>20718</v>
      </c>
      <c r="AC42" s="5">
        <v>11198</v>
      </c>
      <c r="AD42" s="3">
        <f t="shared" si="40"/>
        <v>9148</v>
      </c>
      <c r="AE42" s="5">
        <v>20346</v>
      </c>
      <c r="AF42" s="4">
        <f t="shared" si="41"/>
        <v>0.98204459889950768</v>
      </c>
      <c r="AG42" s="5">
        <v>18665</v>
      </c>
      <c r="AH42" s="13">
        <v>10328</v>
      </c>
      <c r="AI42" s="3">
        <f t="shared" si="42"/>
        <v>8089</v>
      </c>
      <c r="AJ42" s="5">
        <v>18417</v>
      </c>
      <c r="AK42" s="4">
        <f t="shared" si="43"/>
        <v>0.98671309938387353</v>
      </c>
      <c r="AL42" s="5">
        <v>18792</v>
      </c>
      <c r="AM42" s="13">
        <v>10366</v>
      </c>
      <c r="AN42" s="3">
        <f t="shared" si="44"/>
        <v>8162</v>
      </c>
      <c r="AO42" s="5">
        <v>18528</v>
      </c>
      <c r="AP42" s="4">
        <f t="shared" si="45"/>
        <v>0.98595146871008943</v>
      </c>
      <c r="AQ42" s="5">
        <v>20796</v>
      </c>
      <c r="AR42" s="13">
        <v>11751</v>
      </c>
      <c r="AS42" s="3">
        <f t="shared" si="46"/>
        <v>8830</v>
      </c>
      <c r="AT42" s="5">
        <v>20581</v>
      </c>
      <c r="AU42" s="4">
        <f t="shared" si="47"/>
        <v>0.98966147336026156</v>
      </c>
      <c r="AV42" s="5">
        <v>18829</v>
      </c>
      <c r="AW42" s="13">
        <v>10333</v>
      </c>
      <c r="AX42" s="3">
        <f t="shared" si="48"/>
        <v>8274</v>
      </c>
      <c r="AY42" s="5">
        <v>18607</v>
      </c>
      <c r="AZ42" s="4">
        <f t="shared" si="49"/>
        <v>0.98820967656274894</v>
      </c>
      <c r="BA42" s="5">
        <v>18938</v>
      </c>
      <c r="BB42" s="13">
        <v>10404</v>
      </c>
      <c r="BC42" s="3">
        <f t="shared" si="50"/>
        <v>8318</v>
      </c>
      <c r="BD42" s="5">
        <v>18722</v>
      </c>
      <c r="BE42" s="4">
        <f t="shared" si="51"/>
        <v>0.9885943605449361</v>
      </c>
      <c r="BF42" s="5">
        <v>21042</v>
      </c>
      <c r="BG42" s="13">
        <v>11166</v>
      </c>
      <c r="BH42" s="3">
        <f t="shared" si="52"/>
        <v>9647</v>
      </c>
      <c r="BI42" s="5">
        <v>20813</v>
      </c>
      <c r="BJ42" s="4">
        <f t="shared" si="53"/>
        <v>0.98911700408706393</v>
      </c>
    </row>
    <row r="43" spans="1:62" x14ac:dyDescent="0.3">
      <c r="A43" s="11">
        <v>35</v>
      </c>
      <c r="B43" s="2" t="s">
        <v>46</v>
      </c>
      <c r="C43" s="5">
        <v>3455</v>
      </c>
      <c r="D43" s="5">
        <v>1579</v>
      </c>
      <c r="E43" s="3">
        <f t="shared" si="0"/>
        <v>1878</v>
      </c>
      <c r="F43" s="5">
        <v>3457</v>
      </c>
      <c r="G43" s="4">
        <f t="shared" si="1"/>
        <v>1.0005788712011578</v>
      </c>
      <c r="H43" s="5">
        <v>3541</v>
      </c>
      <c r="I43" s="5">
        <v>1531</v>
      </c>
      <c r="J43" s="3">
        <f t="shared" si="32"/>
        <v>1946</v>
      </c>
      <c r="K43" s="5">
        <v>3477</v>
      </c>
      <c r="L43" s="4">
        <f t="shared" si="33"/>
        <v>0.98192600960180743</v>
      </c>
      <c r="M43" s="5">
        <v>4395</v>
      </c>
      <c r="N43" s="5">
        <v>1896</v>
      </c>
      <c r="O43" s="3">
        <f t="shared" si="34"/>
        <v>2458</v>
      </c>
      <c r="P43" s="5">
        <v>4354</v>
      </c>
      <c r="Q43" s="4">
        <f t="shared" si="35"/>
        <v>0.99067121729237773</v>
      </c>
      <c r="R43" s="5">
        <v>3498</v>
      </c>
      <c r="S43" s="5">
        <v>1533</v>
      </c>
      <c r="T43" s="3">
        <f t="shared" si="36"/>
        <v>1960</v>
      </c>
      <c r="U43" s="5">
        <v>3493</v>
      </c>
      <c r="V43" s="4">
        <f t="shared" si="37"/>
        <v>0.99857061177815898</v>
      </c>
      <c r="W43" s="5">
        <v>3551</v>
      </c>
      <c r="X43" s="5">
        <v>1496</v>
      </c>
      <c r="Y43" s="3">
        <f t="shared" si="38"/>
        <v>2024</v>
      </c>
      <c r="Z43" s="5">
        <v>3520</v>
      </c>
      <c r="AA43" s="4">
        <f t="shared" si="39"/>
        <v>0.99127006477048718</v>
      </c>
      <c r="AB43" s="5">
        <v>4429</v>
      </c>
      <c r="AC43" s="5">
        <v>1985</v>
      </c>
      <c r="AD43" s="3">
        <f t="shared" si="40"/>
        <v>2406</v>
      </c>
      <c r="AE43" s="5">
        <v>4391</v>
      </c>
      <c r="AF43" s="4">
        <f t="shared" si="41"/>
        <v>0.99142018514337327</v>
      </c>
      <c r="AG43" s="5">
        <v>3560</v>
      </c>
      <c r="AH43" s="13">
        <v>1615</v>
      </c>
      <c r="AI43" s="3">
        <f t="shared" si="42"/>
        <v>1931</v>
      </c>
      <c r="AJ43" s="5">
        <v>3546</v>
      </c>
      <c r="AK43" s="4">
        <f t="shared" si="43"/>
        <v>0.99606741573033708</v>
      </c>
      <c r="AL43" s="5">
        <v>3588</v>
      </c>
      <c r="AM43" s="13">
        <v>1616</v>
      </c>
      <c r="AN43" s="3">
        <f t="shared" si="44"/>
        <v>1965</v>
      </c>
      <c r="AO43" s="5">
        <v>3581</v>
      </c>
      <c r="AP43" s="4">
        <f t="shared" si="45"/>
        <v>0.99804905239687847</v>
      </c>
      <c r="AQ43" s="5">
        <v>4449</v>
      </c>
      <c r="AR43" s="13">
        <v>2052</v>
      </c>
      <c r="AS43" s="3">
        <f t="shared" si="46"/>
        <v>2418</v>
      </c>
      <c r="AT43" s="5">
        <v>4470</v>
      </c>
      <c r="AU43" s="4">
        <f t="shared" si="47"/>
        <v>1.0047201618341199</v>
      </c>
      <c r="AV43" s="5">
        <v>3616</v>
      </c>
      <c r="AW43" s="13">
        <v>1590</v>
      </c>
      <c r="AX43" s="3">
        <f t="shared" si="48"/>
        <v>2042</v>
      </c>
      <c r="AY43" s="5">
        <v>3632</v>
      </c>
      <c r="AZ43" s="4">
        <f t="shared" si="49"/>
        <v>1.0044247787610618</v>
      </c>
      <c r="BA43" s="5">
        <v>3655</v>
      </c>
      <c r="BB43" s="13">
        <v>1641</v>
      </c>
      <c r="BC43" s="3">
        <f t="shared" si="50"/>
        <v>2014</v>
      </c>
      <c r="BD43" s="5">
        <v>3655</v>
      </c>
      <c r="BE43" s="4">
        <f t="shared" si="51"/>
        <v>1</v>
      </c>
      <c r="BF43" s="5">
        <v>4544</v>
      </c>
      <c r="BG43" s="13">
        <v>1774</v>
      </c>
      <c r="BH43" s="3">
        <f t="shared" si="52"/>
        <v>2776</v>
      </c>
      <c r="BI43" s="5">
        <v>4550</v>
      </c>
      <c r="BJ43" s="4">
        <f t="shared" si="53"/>
        <v>1.0013204225352113</v>
      </c>
    </row>
    <row r="44" spans="1:62" x14ac:dyDescent="0.3">
      <c r="A44" s="11">
        <v>36</v>
      </c>
      <c r="B44" s="2" t="s">
        <v>36</v>
      </c>
      <c r="C44" s="5">
        <v>336228</v>
      </c>
      <c r="D44" s="5">
        <v>169568</v>
      </c>
      <c r="E44" s="3">
        <f t="shared" si="0"/>
        <v>164126</v>
      </c>
      <c r="F44" s="5">
        <v>333694</v>
      </c>
      <c r="G44" s="4">
        <f t="shared" si="1"/>
        <v>0.9924634474225823</v>
      </c>
      <c r="H44" s="5">
        <v>340996</v>
      </c>
      <c r="I44" s="5">
        <v>168281</v>
      </c>
      <c r="J44" s="3">
        <f t="shared" si="32"/>
        <v>169336</v>
      </c>
      <c r="K44" s="5">
        <v>337617</v>
      </c>
      <c r="L44" s="4">
        <f t="shared" si="33"/>
        <v>0.99009079285387513</v>
      </c>
      <c r="M44" s="5">
        <v>408512</v>
      </c>
      <c r="N44" s="5">
        <v>204496</v>
      </c>
      <c r="O44" s="3">
        <f t="shared" si="34"/>
        <v>200397</v>
      </c>
      <c r="P44" s="5">
        <v>404893</v>
      </c>
      <c r="Q44" s="4">
        <f t="shared" si="35"/>
        <v>0.99114101911326957</v>
      </c>
      <c r="R44" s="5">
        <v>342556</v>
      </c>
      <c r="S44" s="5">
        <v>172031</v>
      </c>
      <c r="T44" s="3">
        <f t="shared" si="36"/>
        <v>167623</v>
      </c>
      <c r="U44" s="5">
        <v>339654</v>
      </c>
      <c r="V44" s="4">
        <f t="shared" si="37"/>
        <v>0.99152839243802471</v>
      </c>
      <c r="W44" s="5">
        <v>347597</v>
      </c>
      <c r="X44" s="5">
        <v>174724</v>
      </c>
      <c r="Y44" s="3">
        <f t="shared" si="38"/>
        <v>168811</v>
      </c>
      <c r="Z44" s="5">
        <v>343535</v>
      </c>
      <c r="AA44" s="4">
        <f t="shared" si="39"/>
        <v>0.98831405334338329</v>
      </c>
      <c r="AB44" s="5">
        <v>416340</v>
      </c>
      <c r="AC44" s="5">
        <v>210025</v>
      </c>
      <c r="AD44" s="3">
        <f t="shared" si="40"/>
        <v>203189</v>
      </c>
      <c r="AE44" s="5">
        <v>413214</v>
      </c>
      <c r="AF44" s="4">
        <f t="shared" si="41"/>
        <v>0.99249171350338661</v>
      </c>
      <c r="AG44" s="5">
        <v>350469</v>
      </c>
      <c r="AH44" s="13">
        <v>181425</v>
      </c>
      <c r="AI44" s="3">
        <f t="shared" si="42"/>
        <v>166204</v>
      </c>
      <c r="AJ44" s="5">
        <v>347629</v>
      </c>
      <c r="AK44" s="4">
        <f t="shared" si="43"/>
        <v>0.99189657287805766</v>
      </c>
      <c r="AL44" s="5">
        <v>355186</v>
      </c>
      <c r="AM44" s="13">
        <v>181733</v>
      </c>
      <c r="AN44" s="3">
        <f t="shared" si="44"/>
        <v>169376</v>
      </c>
      <c r="AO44" s="5">
        <v>351109</v>
      </c>
      <c r="AP44" s="4">
        <f t="shared" si="45"/>
        <v>0.98852150704138109</v>
      </c>
      <c r="AQ44" s="5">
        <v>424208</v>
      </c>
      <c r="AR44" s="13">
        <v>223587</v>
      </c>
      <c r="AS44" s="3">
        <f t="shared" si="46"/>
        <v>198287</v>
      </c>
      <c r="AT44" s="5">
        <v>421874</v>
      </c>
      <c r="AU44" s="4">
        <f t="shared" si="47"/>
        <v>0.99449798212197793</v>
      </c>
      <c r="AV44" s="5">
        <v>358114</v>
      </c>
      <c r="AW44" s="13">
        <v>187561</v>
      </c>
      <c r="AX44" s="3">
        <f t="shared" si="48"/>
        <v>167147</v>
      </c>
      <c r="AY44" s="5">
        <v>354708</v>
      </c>
      <c r="AZ44" s="4">
        <f t="shared" si="49"/>
        <v>0.99048906214222288</v>
      </c>
      <c r="BA44" s="5">
        <v>361984</v>
      </c>
      <c r="BB44" s="13">
        <v>186951</v>
      </c>
      <c r="BC44" s="3">
        <f t="shared" si="50"/>
        <v>170858</v>
      </c>
      <c r="BD44" s="5">
        <v>357809</v>
      </c>
      <c r="BE44" s="4">
        <f t="shared" si="51"/>
        <v>0.9884663410537482</v>
      </c>
      <c r="BF44" s="5">
        <v>432310</v>
      </c>
      <c r="BG44" s="13">
        <v>202596</v>
      </c>
      <c r="BH44" s="3">
        <f t="shared" si="52"/>
        <v>225462</v>
      </c>
      <c r="BI44" s="5">
        <v>428058</v>
      </c>
      <c r="BJ44" s="4">
        <f t="shared" si="53"/>
        <v>0.99016446531424207</v>
      </c>
    </row>
    <row r="45" spans="1:62" x14ac:dyDescent="0.3">
      <c r="A45" s="11">
        <v>37</v>
      </c>
      <c r="B45" s="2" t="s">
        <v>37</v>
      </c>
      <c r="C45" s="5">
        <v>255558</v>
      </c>
      <c r="D45" s="5">
        <v>135113</v>
      </c>
      <c r="E45" s="3">
        <f t="shared" si="0"/>
        <v>116368</v>
      </c>
      <c r="F45" s="5">
        <v>251481</v>
      </c>
      <c r="G45" s="4">
        <f t="shared" si="1"/>
        <v>0.98404667433615856</v>
      </c>
      <c r="H45" s="5">
        <v>257610</v>
      </c>
      <c r="I45" s="5">
        <v>134183</v>
      </c>
      <c r="J45" s="3">
        <f t="shared" si="32"/>
        <v>119223</v>
      </c>
      <c r="K45" s="5">
        <v>253406</v>
      </c>
      <c r="L45" s="4">
        <f t="shared" si="33"/>
        <v>0.98368075773455999</v>
      </c>
      <c r="M45" s="5">
        <v>310366</v>
      </c>
      <c r="N45" s="5">
        <v>161234</v>
      </c>
      <c r="O45" s="3">
        <f t="shared" si="34"/>
        <v>144179</v>
      </c>
      <c r="P45" s="5">
        <v>305413</v>
      </c>
      <c r="Q45" s="4">
        <f t="shared" si="35"/>
        <v>0.98404142206298373</v>
      </c>
      <c r="R45" s="5">
        <v>257356</v>
      </c>
      <c r="S45" s="5">
        <v>135142</v>
      </c>
      <c r="T45" s="3">
        <f t="shared" si="36"/>
        <v>118788</v>
      </c>
      <c r="U45" s="5">
        <v>253930</v>
      </c>
      <c r="V45" s="4">
        <f t="shared" si="37"/>
        <v>0.98668770108332426</v>
      </c>
      <c r="W45" s="5">
        <v>260553</v>
      </c>
      <c r="X45" s="5">
        <v>134901</v>
      </c>
      <c r="Y45" s="3">
        <f t="shared" si="38"/>
        <v>120991</v>
      </c>
      <c r="Z45" s="5">
        <v>255892</v>
      </c>
      <c r="AA45" s="4">
        <f t="shared" si="39"/>
        <v>0.98211112518374377</v>
      </c>
      <c r="AB45" s="5">
        <v>313911</v>
      </c>
      <c r="AC45" s="5">
        <v>160994</v>
      </c>
      <c r="AD45" s="3">
        <f t="shared" si="40"/>
        <v>148037</v>
      </c>
      <c r="AE45" s="5">
        <v>309031</v>
      </c>
      <c r="AF45" s="4">
        <f t="shared" si="41"/>
        <v>0.98445419243033849</v>
      </c>
      <c r="AG45" s="5">
        <v>261210</v>
      </c>
      <c r="AH45" s="13">
        <v>140924</v>
      </c>
      <c r="AI45" s="3">
        <f t="shared" si="42"/>
        <v>116293</v>
      </c>
      <c r="AJ45" s="5">
        <v>257217</v>
      </c>
      <c r="AK45" s="4">
        <f t="shared" si="43"/>
        <v>0.98471344894912138</v>
      </c>
      <c r="AL45" s="5">
        <v>264020</v>
      </c>
      <c r="AM45" s="13">
        <v>138694</v>
      </c>
      <c r="AN45" s="3">
        <f t="shared" si="44"/>
        <v>120914</v>
      </c>
      <c r="AO45" s="5">
        <v>259608</v>
      </c>
      <c r="AP45" s="4">
        <f t="shared" si="45"/>
        <v>0.98328914476176044</v>
      </c>
      <c r="AQ45" s="5">
        <v>317407</v>
      </c>
      <c r="AR45" s="13">
        <v>168538</v>
      </c>
      <c r="AS45" s="3">
        <f t="shared" si="46"/>
        <v>143499</v>
      </c>
      <c r="AT45" s="5">
        <v>312037</v>
      </c>
      <c r="AU45" s="4">
        <f t="shared" si="47"/>
        <v>0.98308165856455587</v>
      </c>
      <c r="AV45" s="5">
        <v>263886</v>
      </c>
      <c r="AW45" s="13">
        <v>141302</v>
      </c>
      <c r="AX45" s="3">
        <f t="shared" si="48"/>
        <v>118311</v>
      </c>
      <c r="AY45" s="5">
        <v>259613</v>
      </c>
      <c r="AZ45" s="4">
        <f t="shared" si="49"/>
        <v>0.98380740168102898</v>
      </c>
      <c r="BA45" s="5">
        <v>265781</v>
      </c>
      <c r="BB45" s="13">
        <v>140546</v>
      </c>
      <c r="BC45" s="3">
        <f t="shared" si="50"/>
        <v>120895</v>
      </c>
      <c r="BD45" s="5">
        <v>261441</v>
      </c>
      <c r="BE45" s="4">
        <f t="shared" si="51"/>
        <v>0.98367076653334884</v>
      </c>
      <c r="BF45" s="5">
        <v>319799</v>
      </c>
      <c r="BG45" s="13">
        <v>150065</v>
      </c>
      <c r="BH45" s="3">
        <f t="shared" si="52"/>
        <v>165104</v>
      </c>
      <c r="BI45" s="5">
        <v>315169</v>
      </c>
      <c r="BJ45" s="4">
        <f t="shared" si="53"/>
        <v>0.98552215610430305</v>
      </c>
    </row>
    <row r="46" spans="1:62" x14ac:dyDescent="0.3">
      <c r="A46" s="11">
        <v>38</v>
      </c>
      <c r="B46" s="2" t="s">
        <v>38</v>
      </c>
      <c r="C46" s="5">
        <v>2214</v>
      </c>
      <c r="D46" s="5">
        <v>725</v>
      </c>
      <c r="E46" s="3">
        <f t="shared" si="0"/>
        <v>1645</v>
      </c>
      <c r="F46" s="5">
        <v>2370</v>
      </c>
      <c r="G46" s="4">
        <f t="shared" si="1"/>
        <v>1.070460704607046</v>
      </c>
      <c r="H46" s="5">
        <v>2377</v>
      </c>
      <c r="I46" s="5">
        <v>888</v>
      </c>
      <c r="J46" s="3">
        <f t="shared" si="32"/>
        <v>1622</v>
      </c>
      <c r="K46" s="5">
        <v>2510</v>
      </c>
      <c r="L46" s="4">
        <f t="shared" si="33"/>
        <v>1.0559528817837611</v>
      </c>
      <c r="M46" s="5">
        <v>6689</v>
      </c>
      <c r="N46" s="5">
        <v>2471</v>
      </c>
      <c r="O46" s="3">
        <f t="shared" si="34"/>
        <v>4408</v>
      </c>
      <c r="P46" s="5">
        <v>6879</v>
      </c>
      <c r="Q46" s="4">
        <f t="shared" si="35"/>
        <v>1.0284048437733593</v>
      </c>
      <c r="R46" s="5">
        <v>2186</v>
      </c>
      <c r="S46" s="5">
        <v>814</v>
      </c>
      <c r="T46" s="3">
        <f t="shared" si="36"/>
        <v>1524</v>
      </c>
      <c r="U46" s="5">
        <v>2338</v>
      </c>
      <c r="V46" s="4">
        <f t="shared" si="37"/>
        <v>1.0695333943275389</v>
      </c>
      <c r="W46" s="5">
        <v>2396</v>
      </c>
      <c r="X46" s="5">
        <v>864</v>
      </c>
      <c r="Y46" s="3">
        <f t="shared" si="38"/>
        <v>1582</v>
      </c>
      <c r="Z46" s="5">
        <v>2446</v>
      </c>
      <c r="AA46" s="4">
        <f t="shared" si="39"/>
        <v>1.0208681135225375</v>
      </c>
      <c r="AB46" s="5">
        <v>6920</v>
      </c>
      <c r="AC46" s="5">
        <v>2554</v>
      </c>
      <c r="AD46" s="3">
        <f t="shared" si="40"/>
        <v>4611</v>
      </c>
      <c r="AE46" s="5">
        <v>7165</v>
      </c>
      <c r="AF46" s="4">
        <f t="shared" si="41"/>
        <v>1.0354046242774566</v>
      </c>
      <c r="AG46" s="5">
        <v>2260</v>
      </c>
      <c r="AH46" s="13">
        <v>869</v>
      </c>
      <c r="AI46" s="3">
        <f t="shared" si="42"/>
        <v>1491</v>
      </c>
      <c r="AJ46" s="5">
        <v>2360</v>
      </c>
      <c r="AK46" s="4">
        <f t="shared" si="43"/>
        <v>1.0442477876106195</v>
      </c>
      <c r="AL46" s="5">
        <v>2436</v>
      </c>
      <c r="AM46" s="13">
        <v>969</v>
      </c>
      <c r="AN46" s="3">
        <f t="shared" si="44"/>
        <v>1481</v>
      </c>
      <c r="AO46" s="5">
        <v>2450</v>
      </c>
      <c r="AP46" s="4">
        <f t="shared" si="45"/>
        <v>1.0057471264367817</v>
      </c>
      <c r="AQ46" s="5">
        <v>7143</v>
      </c>
      <c r="AR46" s="13">
        <v>3070</v>
      </c>
      <c r="AS46" s="3">
        <f t="shared" si="46"/>
        <v>4295</v>
      </c>
      <c r="AT46" s="5">
        <v>7365</v>
      </c>
      <c r="AU46" s="4">
        <f t="shared" si="47"/>
        <v>1.0310793784124317</v>
      </c>
      <c r="AV46" s="5">
        <v>2225</v>
      </c>
      <c r="AW46" s="13">
        <v>903</v>
      </c>
      <c r="AX46" s="3">
        <f t="shared" si="48"/>
        <v>1454</v>
      </c>
      <c r="AY46" s="5">
        <v>2357</v>
      </c>
      <c r="AZ46" s="4">
        <f t="shared" si="49"/>
        <v>1.0593258426966292</v>
      </c>
      <c r="BA46" s="5">
        <v>2388</v>
      </c>
      <c r="BB46" s="13">
        <v>1000</v>
      </c>
      <c r="BC46" s="3">
        <f t="shared" si="50"/>
        <v>1420</v>
      </c>
      <c r="BD46" s="5">
        <v>2420</v>
      </c>
      <c r="BE46" s="4">
        <f t="shared" si="51"/>
        <v>1.0134003350083751</v>
      </c>
      <c r="BF46" s="5">
        <v>7407</v>
      </c>
      <c r="BG46" s="13">
        <v>2920</v>
      </c>
      <c r="BH46" s="3">
        <f t="shared" si="52"/>
        <v>4646</v>
      </c>
      <c r="BI46" s="5">
        <v>7566</v>
      </c>
      <c r="BJ46" s="4">
        <f t="shared" si="53"/>
        <v>1.0214661806399352</v>
      </c>
    </row>
    <row r="47" spans="1:62" x14ac:dyDescent="0.3">
      <c r="A47" s="11">
        <v>97</v>
      </c>
      <c r="B47" s="2" t="s">
        <v>39</v>
      </c>
      <c r="C47" s="5">
        <v>84</v>
      </c>
      <c r="D47" s="5">
        <v>62</v>
      </c>
      <c r="E47" s="3">
        <f t="shared" si="0"/>
        <v>6</v>
      </c>
      <c r="F47" s="5">
        <v>68</v>
      </c>
      <c r="G47" s="4">
        <f t="shared" si="1"/>
        <v>0.80952380952380953</v>
      </c>
      <c r="H47" s="5">
        <v>81</v>
      </c>
      <c r="I47" s="5">
        <v>63</v>
      </c>
      <c r="J47" s="3">
        <f t="shared" si="32"/>
        <v>5</v>
      </c>
      <c r="K47" s="5">
        <v>68</v>
      </c>
      <c r="L47" s="4">
        <f t="shared" si="33"/>
        <v>0.83950617283950613</v>
      </c>
      <c r="M47" s="5">
        <v>86</v>
      </c>
      <c r="N47" s="5">
        <v>67</v>
      </c>
      <c r="O47" s="3">
        <f t="shared" si="34"/>
        <v>7</v>
      </c>
      <c r="P47" s="5">
        <v>74</v>
      </c>
      <c r="Q47" s="4">
        <f t="shared" si="35"/>
        <v>0.86046511627906974</v>
      </c>
      <c r="R47" s="5">
        <v>80</v>
      </c>
      <c r="S47" s="5">
        <v>62</v>
      </c>
      <c r="T47" s="3">
        <f t="shared" si="36"/>
        <v>5</v>
      </c>
      <c r="U47" s="5">
        <v>67</v>
      </c>
      <c r="V47" s="4">
        <f t="shared" si="37"/>
        <v>0.83750000000000002</v>
      </c>
      <c r="W47" s="5">
        <v>81</v>
      </c>
      <c r="X47" s="5">
        <v>62</v>
      </c>
      <c r="Y47" s="3">
        <f t="shared" si="38"/>
        <v>5</v>
      </c>
      <c r="Z47" s="5">
        <v>67</v>
      </c>
      <c r="AA47" s="4">
        <f t="shared" si="39"/>
        <v>0.8271604938271605</v>
      </c>
      <c r="AB47" s="5">
        <v>87</v>
      </c>
      <c r="AC47" s="5">
        <v>66</v>
      </c>
      <c r="AD47" s="3">
        <f t="shared" si="40"/>
        <v>7</v>
      </c>
      <c r="AE47" s="5">
        <v>73</v>
      </c>
      <c r="AF47" s="4">
        <f t="shared" si="41"/>
        <v>0.83908045977011492</v>
      </c>
      <c r="AG47" s="5">
        <v>81</v>
      </c>
      <c r="AH47" s="13">
        <v>63</v>
      </c>
      <c r="AI47" s="3">
        <f t="shared" si="42"/>
        <v>3</v>
      </c>
      <c r="AJ47" s="5">
        <v>66</v>
      </c>
      <c r="AK47" s="4">
        <f t="shared" si="43"/>
        <v>0.81481481481481477</v>
      </c>
      <c r="AL47" s="5">
        <v>81</v>
      </c>
      <c r="AM47" s="13">
        <v>62</v>
      </c>
      <c r="AN47" s="3">
        <f t="shared" si="44"/>
        <v>4</v>
      </c>
      <c r="AO47" s="5">
        <v>66</v>
      </c>
      <c r="AP47" s="4">
        <f t="shared" si="45"/>
        <v>0.81481481481481477</v>
      </c>
      <c r="AQ47" s="5">
        <v>87</v>
      </c>
      <c r="AR47" s="13">
        <v>66</v>
      </c>
      <c r="AS47" s="3">
        <f t="shared" si="46"/>
        <v>5</v>
      </c>
      <c r="AT47" s="5">
        <v>71</v>
      </c>
      <c r="AU47" s="4">
        <f t="shared" si="47"/>
        <v>0.81609195402298851</v>
      </c>
      <c r="AV47" s="5">
        <v>81</v>
      </c>
      <c r="AW47" s="13">
        <v>63</v>
      </c>
      <c r="AX47" s="3">
        <f t="shared" si="48"/>
        <v>3</v>
      </c>
      <c r="AY47" s="5">
        <v>66</v>
      </c>
      <c r="AZ47" s="4">
        <f t="shared" si="49"/>
        <v>0.81481481481481477</v>
      </c>
      <c r="BA47" s="5">
        <v>80</v>
      </c>
      <c r="BB47" s="13">
        <v>61</v>
      </c>
      <c r="BC47" s="3">
        <f t="shared" si="50"/>
        <v>4</v>
      </c>
      <c r="BD47" s="5">
        <v>65</v>
      </c>
      <c r="BE47" s="4">
        <f t="shared" si="51"/>
        <v>0.8125</v>
      </c>
      <c r="BF47" s="5">
        <v>85</v>
      </c>
      <c r="BG47" s="13">
        <v>63</v>
      </c>
      <c r="BH47" s="3">
        <f t="shared" si="52"/>
        <v>6</v>
      </c>
      <c r="BI47" s="5">
        <v>69</v>
      </c>
      <c r="BJ47" s="4">
        <f t="shared" si="53"/>
        <v>0.81176470588235294</v>
      </c>
    </row>
    <row r="48" spans="1:62" ht="15.6" x14ac:dyDescent="0.3">
      <c r="A48" s="18" t="s">
        <v>40</v>
      </c>
      <c r="B48" s="18"/>
      <c r="C48" s="7">
        <f>SUM(C10:C47)</f>
        <v>7712416</v>
      </c>
      <c r="D48" s="7">
        <f>SUM(D10:D47)</f>
        <v>4658929</v>
      </c>
      <c r="E48" s="8">
        <f>F48-D48</f>
        <v>3007712</v>
      </c>
      <c r="F48" s="7">
        <f>SUM(F10:F47)</f>
        <v>7666641</v>
      </c>
      <c r="G48" s="6">
        <f>F48/C48</f>
        <v>0.99406476517864184</v>
      </c>
      <c r="H48" s="7">
        <f>SUM(H10:H47)</f>
        <v>7867344</v>
      </c>
      <c r="I48" s="7">
        <f>SUM(I10:I47)</f>
        <v>4706855</v>
      </c>
      <c r="J48" s="8">
        <f>K48-I48</f>
        <v>3058356</v>
      </c>
      <c r="K48" s="7">
        <f>SUM(K10:K47)</f>
        <v>7765211</v>
      </c>
      <c r="L48" s="6">
        <f>K48/H48</f>
        <v>0.9870181092882172</v>
      </c>
      <c r="M48" s="7">
        <f>SUM(M10:M47)</f>
        <v>12152252</v>
      </c>
      <c r="N48" s="7">
        <f>SUM(N10:N47)</f>
        <v>7122664</v>
      </c>
      <c r="O48" s="8">
        <f>P48-N48</f>
        <v>4954568</v>
      </c>
      <c r="P48" s="7">
        <f>SUM(P10:P47)</f>
        <v>12077232</v>
      </c>
      <c r="Q48" s="6">
        <f>P48/M48</f>
        <v>0.99382665863084474</v>
      </c>
      <c r="R48" s="7">
        <f>SUM(R10:R47)</f>
        <v>7805893</v>
      </c>
      <c r="S48" s="7">
        <f>SUM(S10:S47)</f>
        <v>4711364</v>
      </c>
      <c r="T48" s="8">
        <f>U48-S48</f>
        <v>3023267</v>
      </c>
      <c r="U48" s="7">
        <f>SUM(U10:U47)</f>
        <v>7734631</v>
      </c>
      <c r="V48" s="6">
        <f>U48/R48</f>
        <v>0.99087074342423087</v>
      </c>
      <c r="W48" s="7">
        <f>SUM(W10:W47)</f>
        <v>7947831</v>
      </c>
      <c r="X48" s="7">
        <f>SUM(X10:X47)</f>
        <v>4763705</v>
      </c>
      <c r="Y48" s="8">
        <f>Z48-X48</f>
        <v>3062656</v>
      </c>
      <c r="Z48" s="7">
        <f>SUM(Z10:Z47)</f>
        <v>7826361</v>
      </c>
      <c r="AA48" s="6">
        <f>Z48/W48</f>
        <v>0.98471658493996661</v>
      </c>
      <c r="AB48" s="7">
        <f>SUM(AB10:AB47)</f>
        <v>12284179</v>
      </c>
      <c r="AC48" s="7">
        <f>SUM(AC10:AC47)</f>
        <v>7258454</v>
      </c>
      <c r="AD48" s="8">
        <f>AE48-AC48</f>
        <v>4962592</v>
      </c>
      <c r="AE48" s="7">
        <f>SUM(AE10:AE47)</f>
        <v>12221046</v>
      </c>
      <c r="AF48" s="6">
        <f>AE48/AB48</f>
        <v>0.99486062519929086</v>
      </c>
      <c r="AG48" s="7">
        <f>SUM(AG10:AG47)</f>
        <v>7934386</v>
      </c>
      <c r="AH48" s="7">
        <f>SUM(AH10:AH47)</f>
        <v>4892180</v>
      </c>
      <c r="AI48" s="8">
        <f>AJ48-AH48</f>
        <v>2974330</v>
      </c>
      <c r="AJ48" s="7">
        <f>SUM(AJ10:AJ47)</f>
        <v>7866510</v>
      </c>
      <c r="AK48" s="6">
        <f>AJ48/AG48</f>
        <v>0.99144533679102576</v>
      </c>
      <c r="AL48" s="7">
        <f>SUM(AL10:AL47)</f>
        <v>8078477</v>
      </c>
      <c r="AM48" s="7">
        <f>SUM(AM10:AM47)</f>
        <v>4911130</v>
      </c>
      <c r="AN48" s="8">
        <f>AO48-AM48</f>
        <v>3044387</v>
      </c>
      <c r="AO48" s="7">
        <f>SUM(AO10:AO47)</f>
        <v>7955517</v>
      </c>
      <c r="AP48" s="6">
        <f>AO48/AL48</f>
        <v>0.9847793092683188</v>
      </c>
      <c r="AQ48" s="7">
        <f>SUM(AQ10:AQ47)</f>
        <v>12445246</v>
      </c>
      <c r="AR48" s="7">
        <f>SUM(AR10:AR47)</f>
        <v>7537318</v>
      </c>
      <c r="AS48" s="8">
        <f>AT48-AR48</f>
        <v>4873964</v>
      </c>
      <c r="AT48" s="7">
        <f>SUM(AT10:AT47)</f>
        <v>12411282</v>
      </c>
      <c r="AU48" s="6">
        <f>AT48/AQ48</f>
        <v>0.9972709257816198</v>
      </c>
      <c r="AV48" s="7">
        <f>SUM(AV10:AV47)</f>
        <v>8061336</v>
      </c>
      <c r="AW48" s="7">
        <f>SUM(AW10:AW47)</f>
        <v>5006913</v>
      </c>
      <c r="AX48" s="8">
        <f>AY48-AW48</f>
        <v>2995320</v>
      </c>
      <c r="AY48" s="7">
        <f>SUM(AY10:AY47)</f>
        <v>8002233</v>
      </c>
      <c r="AZ48" s="6">
        <f>AY48/AV48</f>
        <v>0.99266833686128453</v>
      </c>
      <c r="BA48" s="7">
        <f>SUM(BA10:BA47)</f>
        <v>8202455</v>
      </c>
      <c r="BB48" s="7">
        <f>SUM(BB10:BB47)</f>
        <v>5066399</v>
      </c>
      <c r="BC48" s="8">
        <f>BD48-BB48</f>
        <v>3029073</v>
      </c>
      <c r="BD48" s="7">
        <f>SUM(BD10:BD47)</f>
        <v>8095472</v>
      </c>
      <c r="BE48" s="6">
        <f>BD48/BA48</f>
        <v>0.98695719757072731</v>
      </c>
      <c r="BF48" s="7">
        <f>SUM(BF10:BF47)</f>
        <v>12656060</v>
      </c>
      <c r="BG48" s="7">
        <f>SUM(BG10:BG47)</f>
        <v>7256595</v>
      </c>
      <c r="BH48" s="8">
        <f>BI48-BG48</f>
        <v>5326259</v>
      </c>
      <c r="BI48" s="7">
        <f>SUM(BI10:BI47)</f>
        <v>12582854</v>
      </c>
      <c r="BJ48" s="6">
        <f>BI48/BF48</f>
        <v>0.99421573538684238</v>
      </c>
    </row>
  </sheetData>
  <mergeCells count="18">
    <mergeCell ref="A48:B48"/>
    <mergeCell ref="A3:B3"/>
    <mergeCell ref="A5:C5"/>
    <mergeCell ref="A8:A9"/>
    <mergeCell ref="B8:B9"/>
    <mergeCell ref="C8:G8"/>
    <mergeCell ref="A1:E1"/>
    <mergeCell ref="AQ8:AU8"/>
    <mergeCell ref="AV8:AZ8"/>
    <mergeCell ref="BF8:BJ8"/>
    <mergeCell ref="R8:V8"/>
    <mergeCell ref="H8:L8"/>
    <mergeCell ref="M8:Q8"/>
    <mergeCell ref="W8:AA8"/>
    <mergeCell ref="AB8:AF8"/>
    <mergeCell ref="AG8:AK8"/>
    <mergeCell ref="AL8:AP8"/>
    <mergeCell ref="BA8:BE8"/>
  </mergeCells>
  <pageMargins left="0.7" right="0.7" top="0.75" bottom="0.75" header="0.3" footer="0.3"/>
  <pageSetup orientation="portrait" r:id="rId1"/>
  <ignoredErrors>
    <ignoredError sqref="A19:A47" numberStoredAsText="1"/>
  </ignoredErrors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GSTR-1</vt:lpstr>
    </vt:vector>
  </TitlesOfParts>
  <Company>HP Inc.</Company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Mayank Budhiraja</dc:creator>
  <cp:lastModifiedBy>Krishan Pal Singh</cp:lastModifiedBy>
  <dcterms:created xsi:type="dcterms:W3CDTF">2021-04-12T06:01:25Z</dcterms:created>
  <dcterms:modified xsi:type="dcterms:W3CDTF">2026-07-20T09:35:12Z</dcterms:modified>
</cp:coreProperties>
</file>