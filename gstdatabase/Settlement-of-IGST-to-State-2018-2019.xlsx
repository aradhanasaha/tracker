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D:\GSTN\Krishnan Sir\Monthly Report\Jul 24\GST Statistics Downloads 31ts Jul 24\Downloads\New Settlement\"/>
    </mc:Choice>
  </mc:AlternateContent>
  <xr:revisionPtr revIDLastSave="0" documentId="13_ncr:1_{0F04DF8E-4DC7-4E12-AE43-657E862F3D0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ttlement_2018_19" sheetId="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44" i="8" l="1"/>
  <c r="AO43" i="8"/>
  <c r="AO42" i="8"/>
  <c r="AO41" i="8"/>
  <c r="AO40" i="8"/>
  <c r="AO39" i="8"/>
  <c r="AO38" i="8"/>
  <c r="AO37" i="8"/>
  <c r="AO36" i="8"/>
  <c r="AO35" i="8"/>
  <c r="AO34" i="8"/>
  <c r="AO33" i="8"/>
  <c r="AO32" i="8"/>
  <c r="AO31" i="8"/>
  <c r="AO30" i="8"/>
  <c r="AO29" i="8"/>
  <c r="AO28" i="8"/>
  <c r="AO27" i="8"/>
  <c r="AO26" i="8"/>
  <c r="AO25" i="8"/>
  <c r="AO24" i="8"/>
  <c r="AO23" i="8"/>
  <c r="AO22" i="8"/>
  <c r="AO21" i="8"/>
  <c r="AO20" i="8"/>
  <c r="AO19" i="8"/>
  <c r="AO18" i="8"/>
  <c r="AO17" i="8"/>
  <c r="AO16" i="8"/>
  <c r="AO15" i="8"/>
  <c r="AO14" i="8"/>
  <c r="AO13" i="8"/>
  <c r="AO12" i="8"/>
  <c r="AO11" i="8"/>
  <c r="AO10" i="8"/>
  <c r="AO9" i="8"/>
  <c r="AO8" i="8"/>
  <c r="AO7" i="8"/>
  <c r="AO45" i="8" s="1"/>
  <c r="AL44" i="8"/>
  <c r="AL43" i="8"/>
  <c r="AL42" i="8"/>
  <c r="AL41" i="8"/>
  <c r="AL40" i="8"/>
  <c r="AL39" i="8"/>
  <c r="AL38" i="8"/>
  <c r="AL37" i="8"/>
  <c r="AL36" i="8"/>
  <c r="AL35" i="8"/>
  <c r="AL34" i="8"/>
  <c r="AL33" i="8"/>
  <c r="AL32" i="8"/>
  <c r="AL31" i="8"/>
  <c r="AL30" i="8"/>
  <c r="AL29" i="8"/>
  <c r="AL28" i="8"/>
  <c r="AL27" i="8"/>
  <c r="AL26" i="8"/>
  <c r="AL25" i="8"/>
  <c r="AL24" i="8"/>
  <c r="AL23" i="8"/>
  <c r="AL22" i="8"/>
  <c r="AL21" i="8"/>
  <c r="AL20" i="8"/>
  <c r="AL19" i="8"/>
  <c r="AL18" i="8"/>
  <c r="AL17" i="8"/>
  <c r="AL16" i="8"/>
  <c r="AL15" i="8"/>
  <c r="AL14" i="8"/>
  <c r="AL13" i="8"/>
  <c r="AL12" i="8"/>
  <c r="AL11" i="8"/>
  <c r="AL10" i="8"/>
  <c r="AL9" i="8"/>
  <c r="AL8" i="8"/>
  <c r="AL7" i="8"/>
  <c r="AL45" i="8" s="1"/>
  <c r="AI44" i="8"/>
  <c r="AI43" i="8"/>
  <c r="AI42" i="8"/>
  <c r="AI41" i="8"/>
  <c r="AI40" i="8"/>
  <c r="AI39" i="8"/>
  <c r="AI38" i="8"/>
  <c r="AI37" i="8"/>
  <c r="AI36" i="8"/>
  <c r="AI35" i="8"/>
  <c r="AI34" i="8"/>
  <c r="AI33" i="8"/>
  <c r="AI32" i="8"/>
  <c r="AI31" i="8"/>
  <c r="AI30" i="8"/>
  <c r="AI29" i="8"/>
  <c r="AI28" i="8"/>
  <c r="AI27" i="8"/>
  <c r="AI26" i="8"/>
  <c r="AI25" i="8"/>
  <c r="AI24" i="8"/>
  <c r="AI23" i="8"/>
  <c r="AI22" i="8"/>
  <c r="AI21" i="8"/>
  <c r="AI20" i="8"/>
  <c r="AI19" i="8"/>
  <c r="AI18" i="8"/>
  <c r="AI17" i="8"/>
  <c r="AI16" i="8"/>
  <c r="AI15" i="8"/>
  <c r="AI14" i="8"/>
  <c r="AI13" i="8"/>
  <c r="AI12" i="8"/>
  <c r="AI11" i="8"/>
  <c r="AI10" i="8"/>
  <c r="AI9" i="8"/>
  <c r="AI8" i="8"/>
  <c r="AI7" i="8"/>
  <c r="AI45" i="8" s="1"/>
  <c r="AF44" i="8"/>
  <c r="AF43" i="8"/>
  <c r="AF42" i="8"/>
  <c r="AF41" i="8"/>
  <c r="AF40" i="8"/>
  <c r="AF39" i="8"/>
  <c r="AF38" i="8"/>
  <c r="AF37" i="8"/>
  <c r="AF36" i="8"/>
  <c r="AF35" i="8"/>
  <c r="AF34" i="8"/>
  <c r="AF33" i="8"/>
  <c r="AF32" i="8"/>
  <c r="AF31" i="8"/>
  <c r="AF30" i="8"/>
  <c r="AF29" i="8"/>
  <c r="AF28" i="8"/>
  <c r="AF27" i="8"/>
  <c r="AF26" i="8"/>
  <c r="AF25" i="8"/>
  <c r="AF24" i="8"/>
  <c r="AF23" i="8"/>
  <c r="AF22" i="8"/>
  <c r="AF21" i="8"/>
  <c r="AF20" i="8"/>
  <c r="AF19" i="8"/>
  <c r="AF18" i="8"/>
  <c r="AF17" i="8"/>
  <c r="AF16" i="8"/>
  <c r="AF15" i="8"/>
  <c r="AF14" i="8"/>
  <c r="AF13" i="8"/>
  <c r="AF12" i="8"/>
  <c r="AF11" i="8"/>
  <c r="AF10" i="8"/>
  <c r="AF9" i="8"/>
  <c r="AF8" i="8"/>
  <c r="AF7" i="8"/>
  <c r="AF45" i="8" s="1"/>
  <c r="AC44" i="8"/>
  <c r="AC43" i="8"/>
  <c r="AC42" i="8"/>
  <c r="AC41" i="8"/>
  <c r="AC40" i="8"/>
  <c r="AC39" i="8"/>
  <c r="AC38" i="8"/>
  <c r="AC37" i="8"/>
  <c r="AC36" i="8"/>
  <c r="AC35" i="8"/>
  <c r="AC34" i="8"/>
  <c r="AC33" i="8"/>
  <c r="AC32" i="8"/>
  <c r="AC31" i="8"/>
  <c r="AC30" i="8"/>
  <c r="AC29" i="8"/>
  <c r="AC28" i="8"/>
  <c r="AC27" i="8"/>
  <c r="AC26" i="8"/>
  <c r="AC25" i="8"/>
  <c r="AC24" i="8"/>
  <c r="AC23" i="8"/>
  <c r="AC22" i="8"/>
  <c r="AC21" i="8"/>
  <c r="AC20" i="8"/>
  <c r="AC19" i="8"/>
  <c r="AC18" i="8"/>
  <c r="AC17" i="8"/>
  <c r="AC16" i="8"/>
  <c r="AC15" i="8"/>
  <c r="AC14" i="8"/>
  <c r="AC13" i="8"/>
  <c r="AC12" i="8"/>
  <c r="AC11" i="8"/>
  <c r="AC10" i="8"/>
  <c r="AC9" i="8"/>
  <c r="AC8" i="8"/>
  <c r="AC7" i="8"/>
  <c r="AC45" i="8" s="1"/>
  <c r="Z44" i="8"/>
  <c r="Z43" i="8"/>
  <c r="Z42" i="8"/>
  <c r="Z41" i="8"/>
  <c r="Z40" i="8"/>
  <c r="Z39" i="8"/>
  <c r="Z38" i="8"/>
  <c r="Z37" i="8"/>
  <c r="Z36" i="8"/>
  <c r="Z35" i="8"/>
  <c r="Z34" i="8"/>
  <c r="Z33" i="8"/>
  <c r="Z32" i="8"/>
  <c r="Z31" i="8"/>
  <c r="Z30" i="8"/>
  <c r="Z29" i="8"/>
  <c r="Z28" i="8"/>
  <c r="Z27" i="8"/>
  <c r="Z26" i="8"/>
  <c r="Z25" i="8"/>
  <c r="Z24" i="8"/>
  <c r="Z23" i="8"/>
  <c r="Z22" i="8"/>
  <c r="Z21" i="8"/>
  <c r="Z20" i="8"/>
  <c r="Z19" i="8"/>
  <c r="Z18" i="8"/>
  <c r="Z17" i="8"/>
  <c r="Z16" i="8"/>
  <c r="Z15" i="8"/>
  <c r="Z14" i="8"/>
  <c r="Z13" i="8"/>
  <c r="Z12" i="8"/>
  <c r="Z11" i="8"/>
  <c r="Z10" i="8"/>
  <c r="Z9" i="8"/>
  <c r="Z8" i="8"/>
  <c r="Z7" i="8"/>
  <c r="Z45" i="8" s="1"/>
  <c r="W44" i="8"/>
  <c r="W43" i="8"/>
  <c r="W42" i="8"/>
  <c r="W41" i="8"/>
  <c r="W40" i="8"/>
  <c r="W39" i="8"/>
  <c r="W38" i="8"/>
  <c r="W37" i="8"/>
  <c r="W36" i="8"/>
  <c r="W35" i="8"/>
  <c r="W34" i="8"/>
  <c r="W33" i="8"/>
  <c r="W32" i="8"/>
  <c r="W31" i="8"/>
  <c r="W30" i="8"/>
  <c r="W29" i="8"/>
  <c r="W28" i="8"/>
  <c r="W27" i="8"/>
  <c r="W26" i="8"/>
  <c r="W25" i="8"/>
  <c r="W24" i="8"/>
  <c r="W23" i="8"/>
  <c r="W22" i="8"/>
  <c r="W21" i="8"/>
  <c r="W20" i="8"/>
  <c r="W19" i="8"/>
  <c r="W18" i="8"/>
  <c r="W17" i="8"/>
  <c r="W16" i="8"/>
  <c r="W15" i="8"/>
  <c r="W14" i="8"/>
  <c r="W13" i="8"/>
  <c r="W12" i="8"/>
  <c r="W11" i="8"/>
  <c r="W10" i="8"/>
  <c r="W9" i="8"/>
  <c r="W8" i="8"/>
  <c r="W7" i="8"/>
  <c r="W45" i="8" s="1"/>
  <c r="T44" i="8"/>
  <c r="T43" i="8"/>
  <c r="T42" i="8"/>
  <c r="T41" i="8"/>
  <c r="T40" i="8"/>
  <c r="T39" i="8"/>
  <c r="T38" i="8"/>
  <c r="T37" i="8"/>
  <c r="T36" i="8"/>
  <c r="T35" i="8"/>
  <c r="T34" i="8"/>
  <c r="T33" i="8"/>
  <c r="T32" i="8"/>
  <c r="T31" i="8"/>
  <c r="T30" i="8"/>
  <c r="T29" i="8"/>
  <c r="T28" i="8"/>
  <c r="T27" i="8"/>
  <c r="T26" i="8"/>
  <c r="T25" i="8"/>
  <c r="T24" i="8"/>
  <c r="T23" i="8"/>
  <c r="T22" i="8"/>
  <c r="T21" i="8"/>
  <c r="T20" i="8"/>
  <c r="T19" i="8"/>
  <c r="T18" i="8"/>
  <c r="T17" i="8"/>
  <c r="T16" i="8"/>
  <c r="T15" i="8"/>
  <c r="T14" i="8"/>
  <c r="T13" i="8"/>
  <c r="T12" i="8"/>
  <c r="T11" i="8"/>
  <c r="T10" i="8"/>
  <c r="T9" i="8"/>
  <c r="T8" i="8"/>
  <c r="T7" i="8"/>
  <c r="T45" i="8" s="1"/>
  <c r="Q44" i="8"/>
  <c r="Q43" i="8"/>
  <c r="Q42" i="8"/>
  <c r="Q41" i="8"/>
  <c r="Q40" i="8"/>
  <c r="Q39" i="8"/>
  <c r="Q38" i="8"/>
  <c r="Q37" i="8"/>
  <c r="Q36" i="8"/>
  <c r="Q35" i="8"/>
  <c r="Q34" i="8"/>
  <c r="Q33" i="8"/>
  <c r="Q32" i="8"/>
  <c r="Q31" i="8"/>
  <c r="Q30" i="8"/>
  <c r="Q29" i="8"/>
  <c r="Q28" i="8"/>
  <c r="Q27" i="8"/>
  <c r="Q26" i="8"/>
  <c r="Q25" i="8"/>
  <c r="Q24" i="8"/>
  <c r="Q23" i="8"/>
  <c r="Q22" i="8"/>
  <c r="Q21" i="8"/>
  <c r="Q20" i="8"/>
  <c r="Q19" i="8"/>
  <c r="Q18" i="8"/>
  <c r="Q17" i="8"/>
  <c r="Q16" i="8"/>
  <c r="Q15" i="8"/>
  <c r="Q14" i="8"/>
  <c r="Q13" i="8"/>
  <c r="Q12" i="8"/>
  <c r="Q11" i="8"/>
  <c r="Q10" i="8"/>
  <c r="Q9" i="8"/>
  <c r="Q8" i="8"/>
  <c r="Q7" i="8"/>
  <c r="Q45" i="8" s="1"/>
  <c r="N44" i="8"/>
  <c r="N43" i="8"/>
  <c r="N42" i="8"/>
  <c r="N41" i="8"/>
  <c r="N40" i="8"/>
  <c r="N39" i="8"/>
  <c r="N38" i="8"/>
  <c r="N37" i="8"/>
  <c r="N36" i="8"/>
  <c r="N35" i="8"/>
  <c r="N34" i="8"/>
  <c r="N33" i="8"/>
  <c r="N32" i="8"/>
  <c r="N31" i="8"/>
  <c r="N30" i="8"/>
  <c r="N29" i="8"/>
  <c r="N28" i="8"/>
  <c r="N27" i="8"/>
  <c r="N26" i="8"/>
  <c r="N25" i="8"/>
  <c r="N24" i="8"/>
  <c r="N23" i="8"/>
  <c r="N22" i="8"/>
  <c r="N21" i="8"/>
  <c r="N20" i="8"/>
  <c r="N19" i="8"/>
  <c r="N18" i="8"/>
  <c r="N17" i="8"/>
  <c r="N16" i="8"/>
  <c r="N15" i="8"/>
  <c r="N14" i="8"/>
  <c r="N13" i="8"/>
  <c r="N12" i="8"/>
  <c r="N11" i="8"/>
  <c r="N10" i="8"/>
  <c r="N9" i="8"/>
  <c r="N8" i="8"/>
  <c r="N7" i="8"/>
  <c r="N45" i="8" s="1"/>
  <c r="K44" i="8"/>
  <c r="K43" i="8"/>
  <c r="K42" i="8"/>
  <c r="K41" i="8"/>
  <c r="K40" i="8"/>
  <c r="K39" i="8"/>
  <c r="K38" i="8"/>
  <c r="K37" i="8"/>
  <c r="K36" i="8"/>
  <c r="K35" i="8"/>
  <c r="K34" i="8"/>
  <c r="K33" i="8"/>
  <c r="K32" i="8"/>
  <c r="K31" i="8"/>
  <c r="K30" i="8"/>
  <c r="K29" i="8"/>
  <c r="K28" i="8"/>
  <c r="K27" i="8"/>
  <c r="K26" i="8"/>
  <c r="K25" i="8"/>
  <c r="K24" i="8"/>
  <c r="K23" i="8"/>
  <c r="K22" i="8"/>
  <c r="K21" i="8"/>
  <c r="K20" i="8"/>
  <c r="K19" i="8"/>
  <c r="K18" i="8"/>
  <c r="K17" i="8"/>
  <c r="K16" i="8"/>
  <c r="K15" i="8"/>
  <c r="K14" i="8"/>
  <c r="K13" i="8"/>
  <c r="K12" i="8"/>
  <c r="K11" i="8"/>
  <c r="K10" i="8"/>
  <c r="K9" i="8"/>
  <c r="K8" i="8"/>
  <c r="K7" i="8"/>
  <c r="K45" i="8" s="1"/>
  <c r="F45" i="8"/>
  <c r="G45" i="8"/>
  <c r="H45" i="8"/>
  <c r="I45" i="8"/>
  <c r="J45" i="8"/>
  <c r="L45" i="8"/>
  <c r="M45" i="8"/>
  <c r="O45" i="8"/>
  <c r="P45" i="8"/>
  <c r="R45" i="8"/>
  <c r="S45" i="8"/>
  <c r="U45" i="8"/>
  <c r="V45" i="8"/>
  <c r="X45" i="8"/>
  <c r="Y45" i="8"/>
  <c r="AA45" i="8"/>
  <c r="AB45" i="8"/>
  <c r="AD45" i="8"/>
  <c r="AE45" i="8"/>
  <c r="AG45" i="8"/>
  <c r="AH45" i="8"/>
  <c r="AJ45" i="8"/>
  <c r="AK45" i="8"/>
  <c r="AM45" i="8"/>
  <c r="AN45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7" i="8"/>
  <c r="E44" i="8" l="1"/>
  <c r="D44" i="8"/>
  <c r="C44" i="8"/>
  <c r="E43" i="8"/>
  <c r="D43" i="8"/>
  <c r="C43" i="8"/>
  <c r="E42" i="8"/>
  <c r="D42" i="8"/>
  <c r="C42" i="8"/>
  <c r="E41" i="8"/>
  <c r="D41" i="8"/>
  <c r="C41" i="8"/>
  <c r="E40" i="8"/>
  <c r="D40" i="8"/>
  <c r="C40" i="8"/>
  <c r="E39" i="8"/>
  <c r="D39" i="8"/>
  <c r="C39" i="8"/>
  <c r="E38" i="8"/>
  <c r="D38" i="8"/>
  <c r="C38" i="8"/>
  <c r="E37" i="8"/>
  <c r="D37" i="8"/>
  <c r="C37" i="8"/>
  <c r="E36" i="8"/>
  <c r="D36" i="8"/>
  <c r="C36" i="8"/>
  <c r="E35" i="8"/>
  <c r="D35" i="8"/>
  <c r="C35" i="8"/>
  <c r="E34" i="8"/>
  <c r="D34" i="8"/>
  <c r="C34" i="8"/>
  <c r="E33" i="8"/>
  <c r="D33" i="8"/>
  <c r="C33" i="8"/>
  <c r="E32" i="8"/>
  <c r="D32" i="8"/>
  <c r="C32" i="8"/>
  <c r="E31" i="8"/>
  <c r="D31" i="8"/>
  <c r="C31" i="8"/>
  <c r="E30" i="8"/>
  <c r="D30" i="8"/>
  <c r="C30" i="8"/>
  <c r="E29" i="8"/>
  <c r="D29" i="8"/>
  <c r="C29" i="8"/>
  <c r="E28" i="8"/>
  <c r="D28" i="8"/>
  <c r="C28" i="8"/>
  <c r="E27" i="8"/>
  <c r="D27" i="8"/>
  <c r="C27" i="8"/>
  <c r="E26" i="8"/>
  <c r="D26" i="8"/>
  <c r="C26" i="8"/>
  <c r="E25" i="8"/>
  <c r="D25" i="8"/>
  <c r="C25" i="8"/>
  <c r="E24" i="8"/>
  <c r="D24" i="8"/>
  <c r="C24" i="8"/>
  <c r="E23" i="8"/>
  <c r="D23" i="8"/>
  <c r="C23" i="8"/>
  <c r="E22" i="8"/>
  <c r="D22" i="8"/>
  <c r="C22" i="8"/>
  <c r="E21" i="8"/>
  <c r="D21" i="8"/>
  <c r="C21" i="8"/>
  <c r="E20" i="8"/>
  <c r="D20" i="8"/>
  <c r="C20" i="8"/>
  <c r="E19" i="8"/>
  <c r="D19" i="8"/>
  <c r="C19" i="8"/>
  <c r="E18" i="8"/>
  <c r="D18" i="8"/>
  <c r="C18" i="8"/>
  <c r="E17" i="8"/>
  <c r="D17" i="8"/>
  <c r="C17" i="8"/>
  <c r="E16" i="8"/>
  <c r="D16" i="8"/>
  <c r="C16" i="8"/>
  <c r="E15" i="8"/>
  <c r="D15" i="8"/>
  <c r="C15" i="8"/>
  <c r="E14" i="8"/>
  <c r="D14" i="8"/>
  <c r="C14" i="8"/>
  <c r="E13" i="8"/>
  <c r="D13" i="8"/>
  <c r="C13" i="8"/>
  <c r="E12" i="8"/>
  <c r="D12" i="8"/>
  <c r="C12" i="8"/>
  <c r="E11" i="8"/>
  <c r="D11" i="8"/>
  <c r="C11" i="8"/>
  <c r="E10" i="8"/>
  <c r="D10" i="8"/>
  <c r="C10" i="8"/>
  <c r="E9" i="8"/>
  <c r="D9" i="8"/>
  <c r="C9" i="8"/>
  <c r="E8" i="8"/>
  <c r="D8" i="8"/>
  <c r="C8" i="8"/>
  <c r="E7" i="8"/>
  <c r="D7" i="8"/>
  <c r="C7" i="8"/>
  <c r="E45" i="8" l="1"/>
  <c r="C45" i="8"/>
  <c r="D45" i="8"/>
</calcChain>
</file>

<file path=xl/sharedStrings.xml><?xml version="1.0" encoding="utf-8"?>
<sst xmlns="http://schemas.openxmlformats.org/spreadsheetml/2006/main" count="84" uniqueCount="48">
  <si>
    <t>Jammu and Kashmir</t>
  </si>
  <si>
    <t>Himachal Pradesh</t>
  </si>
  <si>
    <t>Punjab</t>
  </si>
  <si>
    <t>Chandigarh</t>
  </si>
  <si>
    <t>Uttarakhand</t>
  </si>
  <si>
    <t>Haryana</t>
  </si>
  <si>
    <t>Delhi</t>
  </si>
  <si>
    <t>Rajasthan</t>
  </si>
  <si>
    <t>Uttar Pradesh</t>
  </si>
  <si>
    <t>Bihar</t>
  </si>
  <si>
    <t>Sikkim</t>
  </si>
  <si>
    <t>Arunachal Pradesh</t>
  </si>
  <si>
    <t>Nagaland</t>
  </si>
  <si>
    <t>Manipur</t>
  </si>
  <si>
    <t>Mizoram</t>
  </si>
  <si>
    <t>Tripura</t>
  </si>
  <si>
    <t>Meghalaya</t>
  </si>
  <si>
    <t>Assam</t>
  </si>
  <si>
    <t>West Bengal</t>
  </si>
  <si>
    <t>Jharkhand</t>
  </si>
  <si>
    <t>Odisha</t>
  </si>
  <si>
    <t>Madhya Pradesh</t>
  </si>
  <si>
    <t>Daman and Diu</t>
  </si>
  <si>
    <t>Dadra and Nagar Haveli</t>
  </si>
  <si>
    <t>Karnataka</t>
  </si>
  <si>
    <t>Goa</t>
  </si>
  <si>
    <t>Lakshadweep</t>
  </si>
  <si>
    <t>Kerala</t>
  </si>
  <si>
    <t>Tamil Nadu</t>
  </si>
  <si>
    <t>Puducherry</t>
  </si>
  <si>
    <t>Telangana</t>
  </si>
  <si>
    <t>Andhra Pradesh</t>
  </si>
  <si>
    <t>Other Territory</t>
  </si>
  <si>
    <t>Total</t>
  </si>
  <si>
    <t>Chhattisgarh</t>
  </si>
  <si>
    <t>Gujarat</t>
  </si>
  <si>
    <t>Maharashtra</t>
  </si>
  <si>
    <t>(Rs. In Crore)</t>
  </si>
  <si>
    <t>State Cd</t>
  </si>
  <si>
    <t>State</t>
  </si>
  <si>
    <t>FINANCIAL YEAR 2018-2019</t>
  </si>
  <si>
    <t>SETTLEMENT OF IGST WITH STATES/UTs</t>
  </si>
  <si>
    <t>Andaman and Nicobar Island</t>
  </si>
  <si>
    <t>Ladakh</t>
  </si>
  <si>
    <t>Regular Settlement</t>
  </si>
  <si>
    <t>Adhoc Settlement</t>
  </si>
  <si>
    <t>Financial Year (2018-19)</t>
  </si>
  <si>
    <t>All 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</si>
</sst>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mbria"/>
      <family val="1"/>
    </font>
    <font>
      <b/>
      <sz val="14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name val="Calibri"/>
      <family val="2"/>
    </font>
    <font>
      <b/>
      <sz val="12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21">
    <xf numFmtId="0" fontId="0" fillId="0" borderId="0" xfId="0"/>
    <xf numFmtId="0" fontId="0" fillId="0" borderId="1" xfId="0" applyBorder="1"/>
    <xf numFmtId="0" fontId="0" fillId="0" borderId="4" xfId="0" applyBorder="1"/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vertical="center"/>
    </xf>
    <xf numFmtId="0" fontId="3" fillId="2" borderId="0" xfId="0" applyFont="1" applyFill="1"/>
    <xf numFmtId="17" fontId="6" fillId="3" borderId="1" xfId="0" applyNumberFormat="1" applyFont="1" applyFill="1" applyBorder="1" applyAlignment="1">
      <alignment horizontal="center" vertical="center" wrapText="1"/>
    </xf>
    <xf numFmtId="164" fontId="7" fillId="3" borderId="6" xfId="0" applyNumberFormat="1" applyFont="1" applyFill="1" applyBorder="1" applyAlignment="1">
      <alignment vertical="center"/>
    </xf>
    <xf numFmtId="17" fontId="6" fillId="2" borderId="1" xfId="0" applyNumberFormat="1" applyFont="1" applyFill="1" applyBorder="1" applyAlignment="1">
      <alignment horizontal="center" vertical="center" wrapText="1"/>
    </xf>
    <xf numFmtId="43" fontId="4" fillId="3" borderId="1" xfId="1" applyFont="1" applyFill="1" applyBorder="1" applyAlignment="1">
      <alignment vertical="center"/>
    </xf>
    <xf numFmtId="43" fontId="0" fillId="0" borderId="1" xfId="1" applyFont="1" applyBorder="1"/>
    <xf numFmtId="43" fontId="2" fillId="0" borderId="1" xfId="1" applyFont="1" applyBorder="1"/>
    <xf numFmtId="43" fontId="7" fillId="3" borderId="1" xfId="1" applyFont="1" applyFill="1" applyBorder="1" applyAlignment="1">
      <alignment vertical="center"/>
    </xf>
    <xf numFmtId="17" fontId="8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left"/>
    </xf>
    <xf numFmtId="0" fontId="1" fillId="3" borderId="2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17" fontId="8" fillId="2" borderId="2" xfId="0" applyNumberFormat="1" applyFont="1" applyFill="1" applyBorder="1" applyAlignment="1">
      <alignment horizontal="center" vertical="center" wrapText="1"/>
    </xf>
    <xf numFmtId="17" fontId="8" fillId="2" borderId="5" xfId="0" applyNumberFormat="1" applyFont="1" applyFill="1" applyBorder="1" applyAlignment="1">
      <alignment horizontal="center" vertical="center" wrapText="1"/>
    </xf>
    <xf numFmtId="17" fontId="8" fillId="2" borderId="3" xfId="0" applyNumberFormat="1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45"/>
  <sheetViews>
    <sheetView tabSelected="1" zoomScale="92" workbookViewId="0">
      <selection activeCell="E33" sqref="E33"/>
    </sheetView>
  </sheetViews>
  <sheetFormatPr defaultColWidth="8.77734375" defaultRowHeight="14.4" x14ac:dyDescent="0.3"/>
  <cols>
    <col min="2" max="2" width="23.6640625" bestFit="1" customWidth="1"/>
    <col min="3" max="41" width="12.77734375" customWidth="1"/>
  </cols>
  <sheetData>
    <row r="1" spans="1:41" ht="22.95" customHeight="1" x14ac:dyDescent="0.35">
      <c r="A1" s="5" t="s">
        <v>41</v>
      </c>
      <c r="B1" s="5"/>
      <c r="C1" s="5"/>
      <c r="D1" s="5"/>
    </row>
    <row r="2" spans="1:41" ht="22.95" customHeight="1" x14ac:dyDescent="0.35">
      <c r="A2" s="3"/>
      <c r="B2" s="3"/>
      <c r="C2" s="3"/>
      <c r="D2" s="3"/>
    </row>
    <row r="3" spans="1:41" ht="22.95" customHeight="1" x14ac:dyDescent="0.35">
      <c r="A3" s="14" t="s">
        <v>40</v>
      </c>
      <c r="B3" s="14"/>
      <c r="C3" s="5" t="s">
        <v>37</v>
      </c>
      <c r="D3" s="5"/>
    </row>
    <row r="5" spans="1:41" ht="15.6" x14ac:dyDescent="0.3">
      <c r="C5" s="15" t="s">
        <v>46</v>
      </c>
      <c r="D5" s="16"/>
      <c r="E5" s="17"/>
      <c r="F5" s="18">
        <v>43191</v>
      </c>
      <c r="G5" s="19"/>
      <c r="H5" s="20"/>
      <c r="I5" s="18">
        <v>43221</v>
      </c>
      <c r="J5" s="19"/>
      <c r="K5" s="20"/>
      <c r="L5" s="18">
        <v>43252</v>
      </c>
      <c r="M5" s="19"/>
      <c r="N5" s="20"/>
      <c r="O5" s="13">
        <v>43282</v>
      </c>
      <c r="P5" s="13"/>
      <c r="Q5" s="13"/>
      <c r="R5" s="13">
        <v>43313</v>
      </c>
      <c r="S5" s="13"/>
      <c r="T5" s="13"/>
      <c r="U5" s="13">
        <v>43344</v>
      </c>
      <c r="V5" s="13"/>
      <c r="W5" s="13"/>
      <c r="X5" s="13">
        <v>43374</v>
      </c>
      <c r="Y5" s="13"/>
      <c r="Z5" s="13"/>
      <c r="AA5" s="13">
        <v>43405</v>
      </c>
      <c r="AB5" s="13"/>
      <c r="AC5" s="13"/>
      <c r="AD5" s="13">
        <v>43435</v>
      </c>
      <c r="AE5" s="13"/>
      <c r="AF5" s="13"/>
      <c r="AG5" s="13">
        <v>43466</v>
      </c>
      <c r="AH5" s="13"/>
      <c r="AI5" s="13"/>
      <c r="AJ5" s="13">
        <v>43497</v>
      </c>
      <c r="AK5" s="13"/>
      <c r="AL5" s="13"/>
      <c r="AM5" s="13">
        <v>43525</v>
      </c>
      <c r="AN5" s="13"/>
      <c r="AO5" s="13"/>
    </row>
    <row r="6" spans="1:41" ht="28.8" x14ac:dyDescent="0.3">
      <c r="A6" s="6" t="s">
        <v>38</v>
      </c>
      <c r="B6" s="6" t="s">
        <v>39</v>
      </c>
      <c r="C6" s="6" t="s">
        <v>44</v>
      </c>
      <c r="D6" s="6" t="s">
        <v>45</v>
      </c>
      <c r="E6" s="6" t="s">
        <v>33</v>
      </c>
      <c r="F6" s="8" t="s">
        <v>44</v>
      </c>
      <c r="G6" s="8" t="s">
        <v>45</v>
      </c>
      <c r="H6" s="8" t="s">
        <v>33</v>
      </c>
      <c r="I6" s="8" t="s">
        <v>44</v>
      </c>
      <c r="J6" s="8" t="s">
        <v>45</v>
      </c>
      <c r="K6" s="8" t="s">
        <v>33</v>
      </c>
      <c r="L6" s="8" t="s">
        <v>44</v>
      </c>
      <c r="M6" s="8" t="s">
        <v>45</v>
      </c>
      <c r="N6" s="8" t="s">
        <v>33</v>
      </c>
      <c r="O6" s="8" t="s">
        <v>44</v>
      </c>
      <c r="P6" s="8" t="s">
        <v>45</v>
      </c>
      <c r="Q6" s="8" t="s">
        <v>33</v>
      </c>
      <c r="R6" s="8" t="s">
        <v>44</v>
      </c>
      <c r="S6" s="8" t="s">
        <v>45</v>
      </c>
      <c r="T6" s="8" t="s">
        <v>33</v>
      </c>
      <c r="U6" s="8" t="s">
        <v>44</v>
      </c>
      <c r="V6" s="8" t="s">
        <v>45</v>
      </c>
      <c r="W6" s="8" t="s">
        <v>33</v>
      </c>
      <c r="X6" s="8" t="s">
        <v>44</v>
      </c>
      <c r="Y6" s="8" t="s">
        <v>45</v>
      </c>
      <c r="Z6" s="8" t="s">
        <v>33</v>
      </c>
      <c r="AA6" s="8" t="s">
        <v>44</v>
      </c>
      <c r="AB6" s="8" t="s">
        <v>45</v>
      </c>
      <c r="AC6" s="8" t="s">
        <v>33</v>
      </c>
      <c r="AD6" s="8" t="s">
        <v>44</v>
      </c>
      <c r="AE6" s="8" t="s">
        <v>45</v>
      </c>
      <c r="AF6" s="8" t="s">
        <v>33</v>
      </c>
      <c r="AG6" s="8" t="s">
        <v>44</v>
      </c>
      <c r="AH6" s="8" t="s">
        <v>45</v>
      </c>
      <c r="AI6" s="8" t="s">
        <v>33</v>
      </c>
      <c r="AJ6" s="8" t="s">
        <v>44</v>
      </c>
      <c r="AK6" s="8" t="s">
        <v>45</v>
      </c>
      <c r="AL6" s="8" t="s">
        <v>33</v>
      </c>
      <c r="AM6" s="8" t="s">
        <v>44</v>
      </c>
      <c r="AN6" s="8" t="s">
        <v>45</v>
      </c>
      <c r="AO6" s="8" t="s">
        <v>33</v>
      </c>
    </row>
    <row r="7" spans="1:41" x14ac:dyDescent="0.3">
      <c r="A7" s="1">
        <v>1</v>
      </c>
      <c r="B7" s="1" t="s">
        <v>0</v>
      </c>
      <c r="C7" s="9">
        <f>F7+I7+L7+O7+R7+U7+X7+AA7+AD7+AG7+AJ7+AM7</f>
        <v>2677.1247490619999</v>
      </c>
      <c r="D7" s="9">
        <f t="shared" ref="D7:E22" si="0">G7+J7+M7+P7+S7+V7+Y7+AB7+AE7+AH7+AK7+AN7</f>
        <v>733.51945890242519</v>
      </c>
      <c r="E7" s="9">
        <f t="shared" si="0"/>
        <v>3410.6442079644253</v>
      </c>
      <c r="F7" s="10">
        <v>209.53994779999999</v>
      </c>
      <c r="G7" s="10">
        <v>-20.9</v>
      </c>
      <c r="H7" s="10">
        <f>F7+G7</f>
        <v>188.63994779999999</v>
      </c>
      <c r="I7" s="10">
        <v>196.8792378</v>
      </c>
      <c r="J7" s="10">
        <v>-20.9</v>
      </c>
      <c r="K7" s="10">
        <f>I7+J7</f>
        <v>175.97923779999999</v>
      </c>
      <c r="L7" s="10">
        <v>218.18860079999999</v>
      </c>
      <c r="M7" s="10">
        <v>298.02757136083005</v>
      </c>
      <c r="N7" s="10">
        <f>L7+M7</f>
        <v>516.21617216083007</v>
      </c>
      <c r="O7" s="10">
        <v>217.7880078</v>
      </c>
      <c r="P7" s="10">
        <v>0</v>
      </c>
      <c r="Q7" s="10">
        <f>O7+P7</f>
        <v>217.7880078</v>
      </c>
      <c r="R7" s="10">
        <v>225.781523021</v>
      </c>
      <c r="S7" s="10">
        <v>72</v>
      </c>
      <c r="T7" s="10">
        <f>R7+S7</f>
        <v>297.781523021</v>
      </c>
      <c r="U7" s="10">
        <v>220.94253560000001</v>
      </c>
      <c r="V7" s="10">
        <v>0</v>
      </c>
      <c r="W7" s="10">
        <f>U7+V7</f>
        <v>220.94253560000001</v>
      </c>
      <c r="X7" s="10">
        <v>226.0383995</v>
      </c>
      <c r="Y7" s="10">
        <v>178.80524450364493</v>
      </c>
      <c r="Z7" s="10">
        <f>X7+Y7</f>
        <v>404.84364400364495</v>
      </c>
      <c r="AA7" s="10">
        <v>265.5782044</v>
      </c>
      <c r="AB7" s="10">
        <v>0</v>
      </c>
      <c r="AC7" s="10">
        <f>AA7+AB7</f>
        <v>265.5782044</v>
      </c>
      <c r="AD7" s="11">
        <v>233.14937380000001</v>
      </c>
      <c r="AE7" s="10">
        <v>107.28314670218698</v>
      </c>
      <c r="AF7" s="10">
        <f>AD7+AE7</f>
        <v>340.432520502187</v>
      </c>
      <c r="AG7" s="10">
        <v>226.75121290000001</v>
      </c>
      <c r="AH7" s="10">
        <v>0</v>
      </c>
      <c r="AI7" s="10">
        <f>AG7+AH7</f>
        <v>226.75121290000001</v>
      </c>
      <c r="AJ7" s="10">
        <v>167.36890584099999</v>
      </c>
      <c r="AK7" s="10">
        <v>0</v>
      </c>
      <c r="AL7" s="10">
        <f>AJ7+AK7</f>
        <v>167.36890584099999</v>
      </c>
      <c r="AM7" s="10">
        <v>269.11879979999998</v>
      </c>
      <c r="AN7" s="10">
        <v>119.2034963357633</v>
      </c>
      <c r="AO7" s="10">
        <f>AM7+AN7</f>
        <v>388.32229613576328</v>
      </c>
    </row>
    <row r="8" spans="1:41" x14ac:dyDescent="0.3">
      <c r="A8" s="1">
        <v>2</v>
      </c>
      <c r="B8" s="1" t="s">
        <v>1</v>
      </c>
      <c r="C8" s="9">
        <f t="shared" ref="C8:E44" si="1">F8+I8+L8+O8+R8+U8+X8+AA8+AD8+AG8+AJ8+AM8</f>
        <v>1252.6698469160001</v>
      </c>
      <c r="D8" s="9">
        <f t="shared" si="0"/>
        <v>559.49529014853738</v>
      </c>
      <c r="E8" s="9">
        <f t="shared" si="0"/>
        <v>1812.1651370645377</v>
      </c>
      <c r="F8" s="10">
        <v>100.0167996</v>
      </c>
      <c r="G8" s="10">
        <v>-15.9</v>
      </c>
      <c r="H8" s="10">
        <f t="shared" ref="H8:H44" si="2">F8+G8</f>
        <v>84.116799599999993</v>
      </c>
      <c r="I8" s="10">
        <v>85.830965399999997</v>
      </c>
      <c r="J8" s="10">
        <v>-15.9</v>
      </c>
      <c r="K8" s="10">
        <f t="shared" ref="K8:K44" si="3">I8+J8</f>
        <v>69.930965399999991</v>
      </c>
      <c r="L8" s="10">
        <v>120.3761358</v>
      </c>
      <c r="M8" s="10">
        <v>227.25204149000282</v>
      </c>
      <c r="N8" s="10">
        <f t="shared" ref="N8:N44" si="4">L8+M8</f>
        <v>347.62817729000284</v>
      </c>
      <c r="O8" s="10">
        <v>108.2997529</v>
      </c>
      <c r="P8" s="10">
        <v>0</v>
      </c>
      <c r="Q8" s="10">
        <f t="shared" ref="Q8:Q44" si="5">O8+P8</f>
        <v>108.2997529</v>
      </c>
      <c r="R8" s="10">
        <v>103.986185991</v>
      </c>
      <c r="S8" s="10">
        <v>55</v>
      </c>
      <c r="T8" s="10">
        <f t="shared" ref="T8:T44" si="6">R8+S8</f>
        <v>158.98618599100001</v>
      </c>
      <c r="U8" s="10">
        <v>102.9907702</v>
      </c>
      <c r="V8" s="10">
        <v>0</v>
      </c>
      <c r="W8" s="10">
        <f t="shared" ref="W8:W44" si="7">U8+V8</f>
        <v>102.9907702</v>
      </c>
      <c r="X8" s="10">
        <v>94.861840999999998</v>
      </c>
      <c r="Y8" s="10">
        <v>136.34260970229465</v>
      </c>
      <c r="Z8" s="10">
        <f t="shared" ref="Z8:Z44" si="8">X8+Y8</f>
        <v>231.20445070229465</v>
      </c>
      <c r="AA8" s="10">
        <v>124.6440379</v>
      </c>
      <c r="AB8" s="10">
        <v>0</v>
      </c>
      <c r="AC8" s="10">
        <f t="shared" ref="AC8:AC44" si="9">AA8+AB8</f>
        <v>124.6440379</v>
      </c>
      <c r="AD8" s="11">
        <v>115.79503920000001</v>
      </c>
      <c r="AE8" s="10">
        <v>81.805565821376803</v>
      </c>
      <c r="AF8" s="10">
        <f t="shared" ref="AF8:AF44" si="10">AD8+AE8</f>
        <v>197.60060502137679</v>
      </c>
      <c r="AG8" s="10">
        <v>104.6438089</v>
      </c>
      <c r="AH8" s="10">
        <v>0</v>
      </c>
      <c r="AI8" s="10">
        <f t="shared" ref="AI8:AI44" si="11">AG8+AH8</f>
        <v>104.6438089</v>
      </c>
      <c r="AJ8" s="10">
        <v>100.176648125</v>
      </c>
      <c r="AK8" s="10">
        <v>0</v>
      </c>
      <c r="AL8" s="10">
        <f t="shared" ref="AL8:AL44" si="12">AJ8+AK8</f>
        <v>100.176648125</v>
      </c>
      <c r="AM8" s="10">
        <v>91.047861900000001</v>
      </c>
      <c r="AN8" s="10">
        <v>90.895073134863111</v>
      </c>
      <c r="AO8" s="10">
        <f t="shared" ref="AO8:AO44" si="13">AM8+AN8</f>
        <v>181.94293503486313</v>
      </c>
    </row>
    <row r="9" spans="1:41" x14ac:dyDescent="0.3">
      <c r="A9" s="1">
        <v>3</v>
      </c>
      <c r="B9" s="1" t="s">
        <v>2</v>
      </c>
      <c r="C9" s="9">
        <f t="shared" si="1"/>
        <v>5817.1688338419999</v>
      </c>
      <c r="D9" s="9">
        <f t="shared" si="0"/>
        <v>2225.8672273588213</v>
      </c>
      <c r="E9" s="9">
        <f t="shared" si="0"/>
        <v>8043.0360612008208</v>
      </c>
      <c r="F9" s="10">
        <v>516.8904599</v>
      </c>
      <c r="G9" s="10">
        <v>-63.3</v>
      </c>
      <c r="H9" s="10">
        <f t="shared" si="2"/>
        <v>453.59045989999998</v>
      </c>
      <c r="I9" s="10">
        <v>382.57053630000001</v>
      </c>
      <c r="J9" s="10">
        <v>-63.3</v>
      </c>
      <c r="K9" s="10">
        <f t="shared" si="3"/>
        <v>319.2705363</v>
      </c>
      <c r="L9" s="10">
        <v>472.63009060000002</v>
      </c>
      <c r="M9" s="10">
        <v>904.8919426793359</v>
      </c>
      <c r="N9" s="10">
        <f t="shared" si="4"/>
        <v>1377.522033279336</v>
      </c>
      <c r="O9" s="10">
        <v>503.5001097</v>
      </c>
      <c r="P9" s="10">
        <v>0</v>
      </c>
      <c r="Q9" s="10">
        <f t="shared" si="5"/>
        <v>503.5001097</v>
      </c>
      <c r="R9" s="10">
        <v>474.05291137399996</v>
      </c>
      <c r="S9" s="10">
        <v>217</v>
      </c>
      <c r="T9" s="10">
        <f t="shared" si="6"/>
        <v>691.0529113739999</v>
      </c>
      <c r="U9" s="10">
        <v>533.6120118</v>
      </c>
      <c r="V9" s="10">
        <v>0</v>
      </c>
      <c r="W9" s="10">
        <f t="shared" si="7"/>
        <v>533.6120118</v>
      </c>
      <c r="X9" s="10">
        <v>499.61086039999998</v>
      </c>
      <c r="Y9" s="10">
        <v>542.9008608880082</v>
      </c>
      <c r="Z9" s="10">
        <f t="shared" si="8"/>
        <v>1042.5117212880082</v>
      </c>
      <c r="AA9" s="10">
        <v>445.9062022</v>
      </c>
      <c r="AB9" s="10">
        <v>0</v>
      </c>
      <c r="AC9" s="10">
        <f t="shared" si="9"/>
        <v>445.9062022</v>
      </c>
      <c r="AD9" s="11">
        <v>510.33039200000002</v>
      </c>
      <c r="AE9" s="10">
        <v>325.74051653280492</v>
      </c>
      <c r="AF9" s="10">
        <f t="shared" si="10"/>
        <v>836.07090853280488</v>
      </c>
      <c r="AG9" s="10">
        <v>486.33155490000001</v>
      </c>
      <c r="AH9" s="10">
        <v>0</v>
      </c>
      <c r="AI9" s="10">
        <f t="shared" si="11"/>
        <v>486.33155490000001</v>
      </c>
      <c r="AJ9" s="10">
        <v>512.90779756799998</v>
      </c>
      <c r="AK9" s="10">
        <v>0</v>
      </c>
      <c r="AL9" s="10">
        <f t="shared" si="12"/>
        <v>512.90779756799998</v>
      </c>
      <c r="AM9" s="10">
        <v>478.82590709999999</v>
      </c>
      <c r="AN9" s="10">
        <v>361.93390725867209</v>
      </c>
      <c r="AO9" s="10">
        <f t="shared" si="13"/>
        <v>840.75981435867209</v>
      </c>
    </row>
    <row r="10" spans="1:41" x14ac:dyDescent="0.3">
      <c r="A10" s="1">
        <v>4</v>
      </c>
      <c r="B10" s="1" t="s">
        <v>3</v>
      </c>
      <c r="C10" s="9">
        <f t="shared" si="1"/>
        <v>809.01708406199998</v>
      </c>
      <c r="D10" s="9">
        <f t="shared" si="0"/>
        <v>224.47811866934421</v>
      </c>
      <c r="E10" s="9">
        <f t="shared" si="0"/>
        <v>1033.4952027313443</v>
      </c>
      <c r="F10" s="10">
        <v>67.186871300000007</v>
      </c>
      <c r="G10" s="10">
        <v>-6.4</v>
      </c>
      <c r="H10" s="10">
        <f t="shared" si="2"/>
        <v>60.786871300000008</v>
      </c>
      <c r="I10" s="10">
        <v>52.478190400000003</v>
      </c>
      <c r="J10" s="10">
        <v>-6.4</v>
      </c>
      <c r="K10" s="10">
        <f t="shared" si="3"/>
        <v>46.078190400000004</v>
      </c>
      <c r="L10" s="10">
        <v>63.274460599999998</v>
      </c>
      <c r="M10" s="10">
        <v>91.222863326257354</v>
      </c>
      <c r="N10" s="10">
        <f t="shared" si="4"/>
        <v>154.49732392625737</v>
      </c>
      <c r="O10" s="10">
        <v>68.843989899999997</v>
      </c>
      <c r="P10" s="10">
        <v>0</v>
      </c>
      <c r="Q10" s="10">
        <f t="shared" si="5"/>
        <v>68.843989899999997</v>
      </c>
      <c r="R10" s="10">
        <v>72.287204008000003</v>
      </c>
      <c r="S10" s="10">
        <v>22</v>
      </c>
      <c r="T10" s="10">
        <f t="shared" si="6"/>
        <v>94.287204008000003</v>
      </c>
      <c r="U10" s="10">
        <v>63.708973899999997</v>
      </c>
      <c r="V10" s="10">
        <v>0</v>
      </c>
      <c r="W10" s="10">
        <f t="shared" si="7"/>
        <v>63.708973899999997</v>
      </c>
      <c r="X10" s="10">
        <v>66.834337599999998</v>
      </c>
      <c r="Y10" s="10">
        <v>54.730259710185372</v>
      </c>
      <c r="Z10" s="10">
        <f t="shared" si="8"/>
        <v>121.56459731018538</v>
      </c>
      <c r="AA10" s="10">
        <v>73.344067100000004</v>
      </c>
      <c r="AB10" s="10">
        <v>0</v>
      </c>
      <c r="AC10" s="10">
        <f t="shared" si="9"/>
        <v>73.344067100000004</v>
      </c>
      <c r="AD10" s="11">
        <v>75.2340284</v>
      </c>
      <c r="AE10" s="10">
        <v>32.838155826111226</v>
      </c>
      <c r="AF10" s="10">
        <f t="shared" si="10"/>
        <v>108.07218422611123</v>
      </c>
      <c r="AG10" s="10">
        <v>70.578254599999994</v>
      </c>
      <c r="AH10" s="10">
        <v>0</v>
      </c>
      <c r="AI10" s="10">
        <f t="shared" si="11"/>
        <v>70.578254599999994</v>
      </c>
      <c r="AJ10" s="10">
        <v>68.690290554000001</v>
      </c>
      <c r="AK10" s="10">
        <v>0</v>
      </c>
      <c r="AL10" s="10">
        <f t="shared" si="12"/>
        <v>68.690290554000001</v>
      </c>
      <c r="AM10" s="10">
        <v>66.556415700000002</v>
      </c>
      <c r="AN10" s="10">
        <v>36.48683980679025</v>
      </c>
      <c r="AO10" s="10">
        <f t="shared" si="13"/>
        <v>103.04325550679025</v>
      </c>
    </row>
    <row r="11" spans="1:41" x14ac:dyDescent="0.3">
      <c r="A11" s="1">
        <v>5</v>
      </c>
      <c r="B11" s="1" t="s">
        <v>4</v>
      </c>
      <c r="C11" s="9">
        <f t="shared" si="1"/>
        <v>223.61767550900004</v>
      </c>
      <c r="D11" s="9">
        <f t="shared" si="0"/>
        <v>762.68202712709842</v>
      </c>
      <c r="E11" s="9">
        <f t="shared" si="0"/>
        <v>986.29970263609857</v>
      </c>
      <c r="F11" s="10">
        <v>-10.3877931</v>
      </c>
      <c r="G11" s="10">
        <v>-21.7</v>
      </c>
      <c r="H11" s="10">
        <f t="shared" si="2"/>
        <v>-32.087793099999999</v>
      </c>
      <c r="I11" s="10">
        <v>-5.5165236999999996</v>
      </c>
      <c r="J11" s="10">
        <v>-21.7</v>
      </c>
      <c r="K11" s="10">
        <f t="shared" si="3"/>
        <v>-27.2165237</v>
      </c>
      <c r="L11" s="10">
        <v>17.001900599999999</v>
      </c>
      <c r="M11" s="10">
        <v>310.21554404606866</v>
      </c>
      <c r="N11" s="10">
        <f t="shared" si="4"/>
        <v>327.21744464606866</v>
      </c>
      <c r="O11" s="10">
        <v>3.589928</v>
      </c>
      <c r="P11" s="10">
        <v>0</v>
      </c>
      <c r="Q11" s="10">
        <f t="shared" si="5"/>
        <v>3.589928</v>
      </c>
      <c r="R11" s="10">
        <v>9.6009885000000003E-2</v>
      </c>
      <c r="S11" s="10">
        <v>74</v>
      </c>
      <c r="T11" s="10">
        <f t="shared" si="6"/>
        <v>74.096009885000001</v>
      </c>
      <c r="U11" s="10">
        <v>20.5066223</v>
      </c>
      <c r="V11" s="10">
        <v>0</v>
      </c>
      <c r="W11" s="10">
        <f t="shared" si="7"/>
        <v>20.5066223</v>
      </c>
      <c r="X11" s="10">
        <v>5.8788182999999998</v>
      </c>
      <c r="Y11" s="10">
        <v>186.11756606516025</v>
      </c>
      <c r="Z11" s="10">
        <f t="shared" si="8"/>
        <v>191.99638436516025</v>
      </c>
      <c r="AA11" s="10">
        <v>66.856517100000005</v>
      </c>
      <c r="AB11" s="10">
        <v>0</v>
      </c>
      <c r="AC11" s="10">
        <f t="shared" si="9"/>
        <v>66.856517100000005</v>
      </c>
      <c r="AD11" s="11">
        <v>101.0666406</v>
      </c>
      <c r="AE11" s="10">
        <v>111.67053963909613</v>
      </c>
      <c r="AF11" s="10">
        <f t="shared" si="10"/>
        <v>212.73718023909612</v>
      </c>
      <c r="AG11" s="10">
        <v>40.966471200000001</v>
      </c>
      <c r="AH11" s="10">
        <v>0</v>
      </c>
      <c r="AI11" s="10">
        <f t="shared" si="11"/>
        <v>40.966471200000001</v>
      </c>
      <c r="AJ11" s="10">
        <v>-48.008395975999989</v>
      </c>
      <c r="AK11" s="10">
        <v>0</v>
      </c>
      <c r="AL11" s="10">
        <f t="shared" si="12"/>
        <v>-48.008395975999989</v>
      </c>
      <c r="AM11" s="10">
        <v>31.5674803</v>
      </c>
      <c r="AN11" s="10">
        <v>124.07837737677347</v>
      </c>
      <c r="AO11" s="10">
        <f t="shared" si="13"/>
        <v>155.64585767677346</v>
      </c>
    </row>
    <row r="12" spans="1:41" x14ac:dyDescent="0.3">
      <c r="A12" s="1">
        <v>6</v>
      </c>
      <c r="B12" s="1" t="s">
        <v>5</v>
      </c>
      <c r="C12" s="9">
        <f t="shared" si="1"/>
        <v>3876.6462728740003</v>
      </c>
      <c r="D12" s="9">
        <f t="shared" si="0"/>
        <v>2343.0393801407149</v>
      </c>
      <c r="E12" s="9">
        <f t="shared" si="0"/>
        <v>6219.6856530147152</v>
      </c>
      <c r="F12" s="10">
        <v>375.41894550000001</v>
      </c>
      <c r="G12" s="10">
        <v>-66.7</v>
      </c>
      <c r="H12" s="10">
        <f t="shared" si="2"/>
        <v>308.71894550000002</v>
      </c>
      <c r="I12" s="10">
        <v>312.4327255</v>
      </c>
      <c r="J12" s="10">
        <v>-66.7</v>
      </c>
      <c r="K12" s="10">
        <f t="shared" si="3"/>
        <v>245.73272550000002</v>
      </c>
      <c r="L12" s="10">
        <v>309.65032710000003</v>
      </c>
      <c r="M12" s="10">
        <v>952.33949774301732</v>
      </c>
      <c r="N12" s="10">
        <f t="shared" si="4"/>
        <v>1261.9898248430172</v>
      </c>
      <c r="O12" s="10">
        <v>401.4700484</v>
      </c>
      <c r="P12" s="10">
        <v>0</v>
      </c>
      <c r="Q12" s="10">
        <f t="shared" si="5"/>
        <v>401.4700484</v>
      </c>
      <c r="R12" s="10">
        <v>229.155581746</v>
      </c>
      <c r="S12" s="10">
        <v>229</v>
      </c>
      <c r="T12" s="10">
        <f t="shared" si="6"/>
        <v>458.155581746</v>
      </c>
      <c r="U12" s="10">
        <v>210.13513270000001</v>
      </c>
      <c r="V12" s="10">
        <v>0</v>
      </c>
      <c r="W12" s="10">
        <f t="shared" si="7"/>
        <v>210.13513270000001</v>
      </c>
      <c r="X12" s="10">
        <v>282.25140649999997</v>
      </c>
      <c r="Y12" s="10">
        <v>571.36759517545465</v>
      </c>
      <c r="Z12" s="10">
        <f t="shared" si="8"/>
        <v>853.61900167545468</v>
      </c>
      <c r="AA12" s="10">
        <v>314.27547449999997</v>
      </c>
      <c r="AB12" s="10">
        <v>0</v>
      </c>
      <c r="AC12" s="10">
        <f t="shared" si="9"/>
        <v>314.27547449999997</v>
      </c>
      <c r="AD12" s="11">
        <v>411.39369310000001</v>
      </c>
      <c r="AE12" s="10">
        <v>342.82055710527277</v>
      </c>
      <c r="AF12" s="10">
        <f t="shared" si="10"/>
        <v>754.21425020527272</v>
      </c>
      <c r="AG12" s="10">
        <v>397.3997177</v>
      </c>
      <c r="AH12" s="10">
        <v>0</v>
      </c>
      <c r="AI12" s="10">
        <f t="shared" si="11"/>
        <v>397.3997177</v>
      </c>
      <c r="AJ12" s="10">
        <v>364.233887928</v>
      </c>
      <c r="AK12" s="10">
        <v>0</v>
      </c>
      <c r="AL12" s="10">
        <f t="shared" si="12"/>
        <v>364.233887928</v>
      </c>
      <c r="AM12" s="10">
        <v>268.82933220000001</v>
      </c>
      <c r="AN12" s="10">
        <v>380.91173011696981</v>
      </c>
      <c r="AO12" s="10">
        <f t="shared" si="13"/>
        <v>649.74106231696987</v>
      </c>
    </row>
    <row r="13" spans="1:41" x14ac:dyDescent="0.3">
      <c r="A13" s="1">
        <v>7</v>
      </c>
      <c r="B13" s="1" t="s">
        <v>6</v>
      </c>
      <c r="C13" s="9">
        <f t="shared" si="1"/>
        <v>5879.0774269520007</v>
      </c>
      <c r="D13" s="9">
        <f t="shared" si="0"/>
        <v>2581.6840727896151</v>
      </c>
      <c r="E13" s="9">
        <f t="shared" si="0"/>
        <v>8460.7614997416149</v>
      </c>
      <c r="F13" s="10">
        <v>743.89105170000005</v>
      </c>
      <c r="G13" s="10">
        <v>-73.5</v>
      </c>
      <c r="H13" s="10">
        <f t="shared" si="2"/>
        <v>670.39105170000005</v>
      </c>
      <c r="I13" s="10">
        <v>367.34040579999998</v>
      </c>
      <c r="J13" s="10">
        <v>-73.5</v>
      </c>
      <c r="K13" s="10">
        <f t="shared" si="3"/>
        <v>293.84040579999998</v>
      </c>
      <c r="L13" s="10">
        <v>414.06963029999997</v>
      </c>
      <c r="M13" s="10">
        <v>1049.4806163808146</v>
      </c>
      <c r="N13" s="10">
        <f t="shared" si="4"/>
        <v>1463.5502466808146</v>
      </c>
      <c r="O13" s="10">
        <v>569.44201210000006</v>
      </c>
      <c r="P13" s="10">
        <v>0</v>
      </c>
      <c r="Q13" s="10">
        <f t="shared" si="5"/>
        <v>569.44201210000006</v>
      </c>
      <c r="R13" s="10">
        <v>418.97609787600004</v>
      </c>
      <c r="S13" s="10">
        <v>252</v>
      </c>
      <c r="T13" s="10">
        <f t="shared" si="6"/>
        <v>670.97609787600004</v>
      </c>
      <c r="U13" s="10">
        <v>471.90966259999999</v>
      </c>
      <c r="V13" s="10">
        <v>0</v>
      </c>
      <c r="W13" s="10">
        <f t="shared" si="7"/>
        <v>471.90966259999999</v>
      </c>
      <c r="X13" s="10">
        <v>529.50808010000003</v>
      </c>
      <c r="Y13" s="10">
        <v>629.64858370976492</v>
      </c>
      <c r="Z13" s="10">
        <f t="shared" si="8"/>
        <v>1159.156663809765</v>
      </c>
      <c r="AA13" s="10">
        <v>558.74748099999999</v>
      </c>
      <c r="AB13" s="10">
        <v>0</v>
      </c>
      <c r="AC13" s="10">
        <f t="shared" si="9"/>
        <v>558.74748099999999</v>
      </c>
      <c r="AD13" s="11">
        <v>361.20231610000002</v>
      </c>
      <c r="AE13" s="10">
        <v>377.78915022585903</v>
      </c>
      <c r="AF13" s="10">
        <f t="shared" si="10"/>
        <v>738.99146632585905</v>
      </c>
      <c r="AG13" s="10">
        <v>420.6209753</v>
      </c>
      <c r="AH13" s="10">
        <v>0</v>
      </c>
      <c r="AI13" s="10">
        <f t="shared" si="11"/>
        <v>420.6209753</v>
      </c>
      <c r="AJ13" s="10">
        <v>633.63846017599997</v>
      </c>
      <c r="AK13" s="10">
        <v>0</v>
      </c>
      <c r="AL13" s="10">
        <f t="shared" si="12"/>
        <v>633.63846017599997</v>
      </c>
      <c r="AM13" s="10">
        <v>389.73125390000001</v>
      </c>
      <c r="AN13" s="10">
        <v>419.76572247317665</v>
      </c>
      <c r="AO13" s="10">
        <f t="shared" si="13"/>
        <v>809.49697637317672</v>
      </c>
    </row>
    <row r="14" spans="1:41" x14ac:dyDescent="0.3">
      <c r="A14" s="1">
        <v>8</v>
      </c>
      <c r="B14" s="1" t="s">
        <v>7</v>
      </c>
      <c r="C14" s="9">
        <f t="shared" si="1"/>
        <v>9392.2118413459993</v>
      </c>
      <c r="D14" s="9">
        <f t="shared" si="0"/>
        <v>2638.7411983954707</v>
      </c>
      <c r="E14" s="9">
        <f t="shared" si="0"/>
        <v>12030.953039741471</v>
      </c>
      <c r="F14" s="10">
        <v>723.68056279999996</v>
      </c>
      <c r="G14" s="10">
        <v>-75.099999999999994</v>
      </c>
      <c r="H14" s="10">
        <f t="shared" si="2"/>
        <v>648.58056279999994</v>
      </c>
      <c r="I14" s="10">
        <v>599.11643379999998</v>
      </c>
      <c r="J14" s="10">
        <v>-75.099999999999994</v>
      </c>
      <c r="K14" s="10">
        <f t="shared" si="3"/>
        <v>524.01643379999996</v>
      </c>
      <c r="L14" s="10">
        <v>843.31279649999999</v>
      </c>
      <c r="M14" s="10">
        <v>1072.895505214394</v>
      </c>
      <c r="N14" s="10">
        <f t="shared" si="4"/>
        <v>1916.2083017143941</v>
      </c>
      <c r="O14" s="10">
        <v>816.23480459999996</v>
      </c>
      <c r="P14" s="10">
        <v>0</v>
      </c>
      <c r="Q14" s="10">
        <f t="shared" si="5"/>
        <v>816.23480459999996</v>
      </c>
      <c r="R14" s="10">
        <v>758.63776398799996</v>
      </c>
      <c r="S14" s="10">
        <v>257</v>
      </c>
      <c r="T14" s="10">
        <f t="shared" si="6"/>
        <v>1015.637763988</v>
      </c>
      <c r="U14" s="10">
        <v>739.33325869999999</v>
      </c>
      <c r="V14" s="10">
        <v>0</v>
      </c>
      <c r="W14" s="10">
        <f t="shared" si="7"/>
        <v>739.33325869999999</v>
      </c>
      <c r="X14" s="10">
        <v>885.43748300000004</v>
      </c>
      <c r="Y14" s="10">
        <v>643.69662934459279</v>
      </c>
      <c r="Z14" s="10">
        <f t="shared" si="8"/>
        <v>1529.1341123445927</v>
      </c>
      <c r="AA14" s="10">
        <v>873.42415770000002</v>
      </c>
      <c r="AB14" s="10">
        <v>0</v>
      </c>
      <c r="AC14" s="10">
        <f t="shared" si="9"/>
        <v>873.42415770000002</v>
      </c>
      <c r="AD14" s="11">
        <v>793.6544821</v>
      </c>
      <c r="AE14" s="10">
        <v>386.21797760675565</v>
      </c>
      <c r="AF14" s="10">
        <f t="shared" si="10"/>
        <v>1179.8724597067558</v>
      </c>
      <c r="AG14" s="10">
        <v>798.93176570000003</v>
      </c>
      <c r="AH14" s="10">
        <v>0</v>
      </c>
      <c r="AI14" s="10">
        <f t="shared" si="11"/>
        <v>798.93176570000003</v>
      </c>
      <c r="AJ14" s="10">
        <v>864.40074255800016</v>
      </c>
      <c r="AK14" s="10">
        <v>0</v>
      </c>
      <c r="AL14" s="10">
        <f t="shared" si="12"/>
        <v>864.40074255800016</v>
      </c>
      <c r="AM14" s="10">
        <v>696.04758990000005</v>
      </c>
      <c r="AN14" s="10">
        <v>429.13108622972845</v>
      </c>
      <c r="AO14" s="10">
        <f t="shared" si="13"/>
        <v>1125.1786761297285</v>
      </c>
    </row>
    <row r="15" spans="1:41" x14ac:dyDescent="0.3">
      <c r="A15" s="1">
        <v>9</v>
      </c>
      <c r="B15" s="1" t="s">
        <v>8</v>
      </c>
      <c r="C15" s="9">
        <f t="shared" si="1"/>
        <v>21231.125339708</v>
      </c>
      <c r="D15" s="9">
        <f t="shared" si="0"/>
        <v>5131.4644688744629</v>
      </c>
      <c r="E15" s="9">
        <f t="shared" si="0"/>
        <v>26362.589808582459</v>
      </c>
      <c r="F15" s="10">
        <v>1686.7533992000001</v>
      </c>
      <c r="G15" s="10">
        <v>-146</v>
      </c>
      <c r="H15" s="10">
        <f t="shared" si="2"/>
        <v>1540.7533992000001</v>
      </c>
      <c r="I15" s="10">
        <v>1624.6411031</v>
      </c>
      <c r="J15" s="10">
        <v>-146</v>
      </c>
      <c r="K15" s="10">
        <f t="shared" si="3"/>
        <v>1478.6411031</v>
      </c>
      <c r="L15" s="10">
        <v>1856.1465846999999</v>
      </c>
      <c r="M15" s="10">
        <v>2085.8659776853442</v>
      </c>
      <c r="N15" s="10">
        <f t="shared" si="4"/>
        <v>3942.0125623853442</v>
      </c>
      <c r="O15" s="10">
        <v>1865.6780974000001</v>
      </c>
      <c r="P15" s="10">
        <v>0</v>
      </c>
      <c r="Q15" s="10">
        <f t="shared" si="5"/>
        <v>1865.6780974000001</v>
      </c>
      <c r="R15" s="10">
        <v>1604.0379839079999</v>
      </c>
      <c r="S15" s="10">
        <v>501</v>
      </c>
      <c r="T15" s="10">
        <f t="shared" si="6"/>
        <v>2105.0379839079997</v>
      </c>
      <c r="U15" s="10">
        <v>1603.5904843999999</v>
      </c>
      <c r="V15" s="10">
        <v>0</v>
      </c>
      <c r="W15" s="10">
        <f t="shared" si="7"/>
        <v>1603.5904843999999</v>
      </c>
      <c r="X15" s="10">
        <v>1711.4685635000001</v>
      </c>
      <c r="Y15" s="10">
        <v>1251.4405108187289</v>
      </c>
      <c r="Z15" s="10">
        <f t="shared" si="8"/>
        <v>2962.9090743187289</v>
      </c>
      <c r="AA15" s="10">
        <v>1881.7312592999999</v>
      </c>
      <c r="AB15" s="10">
        <v>0</v>
      </c>
      <c r="AC15" s="10">
        <f t="shared" si="9"/>
        <v>1881.7312592999999</v>
      </c>
      <c r="AD15" s="11">
        <v>1995.0490571</v>
      </c>
      <c r="AE15" s="10">
        <v>750.86430649123747</v>
      </c>
      <c r="AF15" s="10">
        <f t="shared" si="10"/>
        <v>2745.9133635912376</v>
      </c>
      <c r="AG15" s="10">
        <v>1831.132357</v>
      </c>
      <c r="AH15" s="10">
        <v>0</v>
      </c>
      <c r="AI15" s="10">
        <f t="shared" si="11"/>
        <v>1831.132357</v>
      </c>
      <c r="AJ15" s="10">
        <v>1843.5621702999999</v>
      </c>
      <c r="AK15" s="10">
        <v>0</v>
      </c>
      <c r="AL15" s="10">
        <f t="shared" si="12"/>
        <v>1843.5621702999999</v>
      </c>
      <c r="AM15" s="10">
        <v>1727.3342798000001</v>
      </c>
      <c r="AN15" s="10">
        <v>834.29367387915272</v>
      </c>
      <c r="AO15" s="10">
        <f t="shared" si="13"/>
        <v>2561.6279536791526</v>
      </c>
    </row>
    <row r="16" spans="1:41" x14ac:dyDescent="0.3">
      <c r="A16" s="1">
        <v>10</v>
      </c>
      <c r="B16" s="1" t="s">
        <v>9</v>
      </c>
      <c r="C16" s="9">
        <f t="shared" si="1"/>
        <v>8368.0580214790007</v>
      </c>
      <c r="D16" s="9">
        <f t="shared" si="0"/>
        <v>1940.9010364948899</v>
      </c>
      <c r="E16" s="9">
        <f t="shared" si="0"/>
        <v>10308.959057973889</v>
      </c>
      <c r="F16" s="10">
        <v>598.092804</v>
      </c>
      <c r="G16" s="10">
        <v>-55.2</v>
      </c>
      <c r="H16" s="10">
        <f t="shared" si="2"/>
        <v>542.89280399999996</v>
      </c>
      <c r="I16" s="10">
        <v>618.24941939999997</v>
      </c>
      <c r="J16" s="10">
        <v>-55.2</v>
      </c>
      <c r="K16" s="10">
        <f t="shared" si="3"/>
        <v>563.04941939999992</v>
      </c>
      <c r="L16" s="10">
        <v>719.08491170000002</v>
      </c>
      <c r="M16" s="10">
        <v>789.13934205015164</v>
      </c>
      <c r="N16" s="10">
        <f t="shared" si="4"/>
        <v>1508.2242537501515</v>
      </c>
      <c r="O16" s="10">
        <v>737.12092729999995</v>
      </c>
      <c r="P16" s="10">
        <v>0</v>
      </c>
      <c r="Q16" s="10">
        <f t="shared" si="5"/>
        <v>737.12092729999995</v>
      </c>
      <c r="R16" s="10">
        <v>704.90557275200001</v>
      </c>
      <c r="S16" s="10">
        <v>189</v>
      </c>
      <c r="T16" s="10">
        <f t="shared" si="6"/>
        <v>893.90557275200001</v>
      </c>
      <c r="U16" s="10">
        <v>665.88629149999997</v>
      </c>
      <c r="V16" s="10">
        <v>0</v>
      </c>
      <c r="W16" s="10">
        <f t="shared" si="7"/>
        <v>665.88629149999997</v>
      </c>
      <c r="X16" s="10">
        <v>771.14614779999999</v>
      </c>
      <c r="Y16" s="10">
        <v>473.45368872561971</v>
      </c>
      <c r="Z16" s="10">
        <f t="shared" si="8"/>
        <v>1244.5998365256196</v>
      </c>
      <c r="AA16" s="10">
        <v>709.58957329999998</v>
      </c>
      <c r="AB16" s="10">
        <v>0</v>
      </c>
      <c r="AC16" s="10">
        <f t="shared" si="9"/>
        <v>709.58957329999998</v>
      </c>
      <c r="AD16" s="11">
        <v>706.18896459999996</v>
      </c>
      <c r="AE16" s="10">
        <v>284.07221323537186</v>
      </c>
      <c r="AF16" s="10">
        <f t="shared" si="10"/>
        <v>990.26117783537188</v>
      </c>
      <c r="AG16" s="10">
        <v>740.33485059999998</v>
      </c>
      <c r="AH16" s="10">
        <v>0</v>
      </c>
      <c r="AI16" s="10">
        <f t="shared" si="11"/>
        <v>740.33485059999998</v>
      </c>
      <c r="AJ16" s="10">
        <v>702.67945722699994</v>
      </c>
      <c r="AK16" s="10">
        <v>0</v>
      </c>
      <c r="AL16" s="10">
        <f t="shared" si="12"/>
        <v>702.67945722699994</v>
      </c>
      <c r="AM16" s="10">
        <v>694.77910129999998</v>
      </c>
      <c r="AN16" s="10">
        <v>315.63579248374651</v>
      </c>
      <c r="AO16" s="10">
        <f t="shared" si="13"/>
        <v>1010.4148937837465</v>
      </c>
    </row>
    <row r="17" spans="1:41" x14ac:dyDescent="0.3">
      <c r="A17" s="1">
        <v>11</v>
      </c>
      <c r="B17" s="1" t="s">
        <v>10</v>
      </c>
      <c r="C17" s="9">
        <f t="shared" si="1"/>
        <v>184.90095112099999</v>
      </c>
      <c r="D17" s="9">
        <f t="shared" si="0"/>
        <v>38.019380610021216</v>
      </c>
      <c r="E17" s="9">
        <f t="shared" si="0"/>
        <v>222.92033173102124</v>
      </c>
      <c r="F17" s="10">
        <v>12.109443799999999</v>
      </c>
      <c r="G17" s="10">
        <v>-1.1000000000000001</v>
      </c>
      <c r="H17" s="10">
        <f t="shared" si="2"/>
        <v>11.0094438</v>
      </c>
      <c r="I17" s="10">
        <v>11.9994817</v>
      </c>
      <c r="J17" s="10">
        <v>-1.1000000000000001</v>
      </c>
      <c r="K17" s="10">
        <f t="shared" si="3"/>
        <v>10.899481700000001</v>
      </c>
      <c r="L17" s="10">
        <v>15.334343499999999</v>
      </c>
      <c r="M17" s="10">
        <v>15.347754001067267</v>
      </c>
      <c r="N17" s="10">
        <f t="shared" si="4"/>
        <v>30.682097501067268</v>
      </c>
      <c r="O17" s="10">
        <v>19.7864869</v>
      </c>
      <c r="P17" s="10">
        <v>0</v>
      </c>
      <c r="Q17" s="10">
        <f t="shared" si="5"/>
        <v>19.7864869</v>
      </c>
      <c r="R17" s="10">
        <v>18.856835753999999</v>
      </c>
      <c r="S17" s="10">
        <v>4</v>
      </c>
      <c r="T17" s="10">
        <f t="shared" si="6"/>
        <v>22.856835753999999</v>
      </c>
      <c r="U17" s="10">
        <v>11.970586300000001</v>
      </c>
      <c r="V17" s="10">
        <v>0</v>
      </c>
      <c r="W17" s="10">
        <f t="shared" si="7"/>
        <v>11.970586300000001</v>
      </c>
      <c r="X17" s="10">
        <v>16.669685300000001</v>
      </c>
      <c r="Y17" s="10">
        <v>9.2080705627738002</v>
      </c>
      <c r="Z17" s="10">
        <f t="shared" si="8"/>
        <v>25.877755862773803</v>
      </c>
      <c r="AA17" s="10">
        <v>14.3465653</v>
      </c>
      <c r="AB17" s="10">
        <v>0</v>
      </c>
      <c r="AC17" s="10">
        <f t="shared" si="9"/>
        <v>14.3465653</v>
      </c>
      <c r="AD17" s="11">
        <v>13.8239678</v>
      </c>
      <c r="AE17" s="10">
        <v>5.5248423376642801</v>
      </c>
      <c r="AF17" s="10">
        <f t="shared" si="10"/>
        <v>19.34881013766428</v>
      </c>
      <c r="AG17" s="10">
        <v>14.868077</v>
      </c>
      <c r="AH17" s="10">
        <v>0</v>
      </c>
      <c r="AI17" s="10">
        <f t="shared" si="11"/>
        <v>14.868077</v>
      </c>
      <c r="AJ17" s="10">
        <v>16.289463367</v>
      </c>
      <c r="AK17" s="10">
        <v>0</v>
      </c>
      <c r="AL17" s="10">
        <f t="shared" si="12"/>
        <v>16.289463367</v>
      </c>
      <c r="AM17" s="10">
        <v>18.846014400000001</v>
      </c>
      <c r="AN17" s="10">
        <v>6.1387137085158674</v>
      </c>
      <c r="AO17" s="10">
        <f t="shared" si="13"/>
        <v>24.984728108515867</v>
      </c>
    </row>
    <row r="18" spans="1:41" x14ac:dyDescent="0.3">
      <c r="A18" s="1">
        <v>12</v>
      </c>
      <c r="B18" s="1" t="s">
        <v>11</v>
      </c>
      <c r="C18" s="9">
        <f t="shared" si="1"/>
        <v>357.95592773100003</v>
      </c>
      <c r="D18" s="9">
        <f t="shared" si="0"/>
        <v>39.580014070198658</v>
      </c>
      <c r="E18" s="9">
        <f t="shared" si="0"/>
        <v>397.53594180119865</v>
      </c>
      <c r="F18" s="10">
        <v>30.389395499999999</v>
      </c>
      <c r="G18" s="10">
        <v>-1.1000000000000001</v>
      </c>
      <c r="H18" s="10">
        <f t="shared" si="2"/>
        <v>29.289395499999998</v>
      </c>
      <c r="I18" s="10">
        <v>25.5360376</v>
      </c>
      <c r="J18" s="10">
        <v>-1.1000000000000001</v>
      </c>
      <c r="K18" s="10">
        <f t="shared" si="3"/>
        <v>24.436037599999999</v>
      </c>
      <c r="L18" s="10">
        <v>33.390836899999996</v>
      </c>
      <c r="M18" s="10">
        <v>16.009063444498519</v>
      </c>
      <c r="N18" s="10">
        <f t="shared" si="4"/>
        <v>49.399900344498519</v>
      </c>
      <c r="O18" s="10">
        <v>24.558019000000002</v>
      </c>
      <c r="P18" s="10">
        <v>0</v>
      </c>
      <c r="Q18" s="10">
        <f t="shared" si="5"/>
        <v>24.558019000000002</v>
      </c>
      <c r="R18" s="10">
        <v>30.589216601999997</v>
      </c>
      <c r="S18" s="10">
        <v>4</v>
      </c>
      <c r="T18" s="10">
        <f t="shared" si="6"/>
        <v>34.589216601999993</v>
      </c>
      <c r="U18" s="10">
        <v>28.509262</v>
      </c>
      <c r="V18" s="10">
        <v>0</v>
      </c>
      <c r="W18" s="10">
        <f t="shared" si="7"/>
        <v>28.509262</v>
      </c>
      <c r="X18" s="10">
        <v>30.6768748</v>
      </c>
      <c r="Y18" s="10">
        <v>9.604831158397122</v>
      </c>
      <c r="Z18" s="10">
        <f t="shared" si="8"/>
        <v>40.281705958397126</v>
      </c>
      <c r="AA18" s="10">
        <v>29.581922299999999</v>
      </c>
      <c r="AB18" s="10">
        <v>0</v>
      </c>
      <c r="AC18" s="10">
        <f t="shared" si="9"/>
        <v>29.581922299999999</v>
      </c>
      <c r="AD18" s="11">
        <v>25.232676099999999</v>
      </c>
      <c r="AE18" s="10">
        <v>5.762898695038273</v>
      </c>
      <c r="AF18" s="10">
        <f t="shared" si="10"/>
        <v>30.995574795038273</v>
      </c>
      <c r="AG18" s="10">
        <v>28.728016499999999</v>
      </c>
      <c r="AH18" s="10">
        <v>0</v>
      </c>
      <c r="AI18" s="10">
        <f t="shared" si="11"/>
        <v>28.728016499999999</v>
      </c>
      <c r="AJ18" s="10">
        <v>34.811960329000001</v>
      </c>
      <c r="AK18" s="10">
        <v>0</v>
      </c>
      <c r="AL18" s="10">
        <f t="shared" si="12"/>
        <v>34.811960329000001</v>
      </c>
      <c r="AM18" s="10">
        <v>35.9517101</v>
      </c>
      <c r="AN18" s="10">
        <v>6.4032207722647483</v>
      </c>
      <c r="AO18" s="10">
        <f t="shared" si="13"/>
        <v>42.354930872264745</v>
      </c>
    </row>
    <row r="19" spans="1:41" x14ac:dyDescent="0.3">
      <c r="A19" s="1">
        <v>13</v>
      </c>
      <c r="B19" s="1" t="s">
        <v>12</v>
      </c>
      <c r="C19" s="9">
        <f t="shared" si="1"/>
        <v>331.41016838300004</v>
      </c>
      <c r="D19" s="9">
        <f t="shared" si="0"/>
        <v>39.590343332335593</v>
      </c>
      <c r="E19" s="9">
        <f t="shared" si="0"/>
        <v>371.00051171533568</v>
      </c>
      <c r="F19" s="10">
        <v>24.557978500000001</v>
      </c>
      <c r="G19" s="10">
        <v>-1.1000000000000001</v>
      </c>
      <c r="H19" s="10">
        <f t="shared" si="2"/>
        <v>23.457978499999999</v>
      </c>
      <c r="I19" s="10">
        <v>24.532824099999999</v>
      </c>
      <c r="J19" s="10">
        <v>-1.1000000000000001</v>
      </c>
      <c r="K19" s="10">
        <f t="shared" si="3"/>
        <v>23.432824099999998</v>
      </c>
      <c r="L19" s="10">
        <v>26.5167231</v>
      </c>
      <c r="M19" s="10">
        <v>16.013440409858504</v>
      </c>
      <c r="N19" s="10">
        <f t="shared" si="4"/>
        <v>42.530163509858504</v>
      </c>
      <c r="O19" s="10">
        <v>27.2504089</v>
      </c>
      <c r="P19" s="10">
        <v>0</v>
      </c>
      <c r="Q19" s="10">
        <f t="shared" si="5"/>
        <v>27.2504089</v>
      </c>
      <c r="R19" s="10">
        <v>33.449704608999994</v>
      </c>
      <c r="S19" s="10">
        <v>4</v>
      </c>
      <c r="T19" s="10">
        <f t="shared" si="6"/>
        <v>37.449704608999994</v>
      </c>
      <c r="U19" s="10">
        <v>23.2554199</v>
      </c>
      <c r="V19" s="10">
        <v>0</v>
      </c>
      <c r="W19" s="10">
        <f t="shared" si="7"/>
        <v>23.2554199</v>
      </c>
      <c r="X19" s="10">
        <v>26.736149300000001</v>
      </c>
      <c r="Y19" s="10">
        <v>9.6074571716810677</v>
      </c>
      <c r="Z19" s="10">
        <f t="shared" si="8"/>
        <v>36.343606471681071</v>
      </c>
      <c r="AA19" s="10">
        <v>26.1881466</v>
      </c>
      <c r="AB19" s="10">
        <v>0</v>
      </c>
      <c r="AC19" s="10">
        <f t="shared" si="9"/>
        <v>26.1881466</v>
      </c>
      <c r="AD19" s="11">
        <v>30.020207599999999</v>
      </c>
      <c r="AE19" s="10">
        <v>5.7644743030086412</v>
      </c>
      <c r="AF19" s="10">
        <f t="shared" si="10"/>
        <v>35.784681903008639</v>
      </c>
      <c r="AG19" s="10">
        <v>23.520914000000001</v>
      </c>
      <c r="AH19" s="10">
        <v>0</v>
      </c>
      <c r="AI19" s="10">
        <f t="shared" si="11"/>
        <v>23.520914000000001</v>
      </c>
      <c r="AJ19" s="10">
        <v>28.366080574000001</v>
      </c>
      <c r="AK19" s="10">
        <v>0</v>
      </c>
      <c r="AL19" s="10">
        <f t="shared" si="12"/>
        <v>28.366080574000001</v>
      </c>
      <c r="AM19" s="10">
        <v>37.015611200000002</v>
      </c>
      <c r="AN19" s="10">
        <v>6.4049714477873794</v>
      </c>
      <c r="AO19" s="10">
        <f t="shared" si="13"/>
        <v>43.420582647787384</v>
      </c>
    </row>
    <row r="20" spans="1:41" x14ac:dyDescent="0.3">
      <c r="A20" s="1">
        <v>14</v>
      </c>
      <c r="B20" s="1" t="s">
        <v>13</v>
      </c>
      <c r="C20" s="9">
        <f t="shared" si="1"/>
        <v>457.47240760200009</v>
      </c>
      <c r="D20" s="9">
        <f t="shared" si="0"/>
        <v>53.21311618663303</v>
      </c>
      <c r="E20" s="9">
        <f t="shared" si="0"/>
        <v>510.68552378863313</v>
      </c>
      <c r="F20" s="10">
        <v>36.9061369</v>
      </c>
      <c r="G20" s="10">
        <v>-1.5</v>
      </c>
      <c r="H20" s="10">
        <f t="shared" si="2"/>
        <v>35.4061369</v>
      </c>
      <c r="I20" s="10">
        <v>31.9977245</v>
      </c>
      <c r="J20" s="10">
        <v>-1.5</v>
      </c>
      <c r="K20" s="10">
        <f t="shared" si="3"/>
        <v>30.4977245</v>
      </c>
      <c r="L20" s="10">
        <v>35.299252899999999</v>
      </c>
      <c r="M20" s="10">
        <v>21.701263125494943</v>
      </c>
      <c r="N20" s="10">
        <f t="shared" si="4"/>
        <v>57.000516025494946</v>
      </c>
      <c r="O20" s="10">
        <v>47.873457000000002</v>
      </c>
      <c r="P20" s="10">
        <v>0</v>
      </c>
      <c r="Q20" s="10">
        <f t="shared" si="5"/>
        <v>47.873457000000002</v>
      </c>
      <c r="R20" s="10">
        <v>32.864740626999996</v>
      </c>
      <c r="S20" s="10">
        <v>5</v>
      </c>
      <c r="T20" s="10">
        <f t="shared" si="6"/>
        <v>37.864740626999996</v>
      </c>
      <c r="U20" s="10">
        <v>28.3226841</v>
      </c>
      <c r="V20" s="10">
        <v>0</v>
      </c>
      <c r="W20" s="10">
        <f t="shared" si="7"/>
        <v>28.3226841</v>
      </c>
      <c r="X20" s="10">
        <v>32.691600800000003</v>
      </c>
      <c r="Y20" s="10">
        <v>13.019935174031509</v>
      </c>
      <c r="Z20" s="10">
        <f t="shared" si="8"/>
        <v>45.711535974031513</v>
      </c>
      <c r="AA20" s="10">
        <v>37.398642899999999</v>
      </c>
      <c r="AB20" s="10">
        <v>0</v>
      </c>
      <c r="AC20" s="10">
        <f t="shared" si="9"/>
        <v>37.398642899999999</v>
      </c>
      <c r="AD20" s="11">
        <v>42.3639145</v>
      </c>
      <c r="AE20" s="10">
        <v>7.8119611044189083</v>
      </c>
      <c r="AF20" s="10">
        <f t="shared" si="10"/>
        <v>50.175875604418906</v>
      </c>
      <c r="AG20" s="10">
        <v>40.855912099999998</v>
      </c>
      <c r="AH20" s="10">
        <v>0</v>
      </c>
      <c r="AI20" s="10">
        <f t="shared" si="11"/>
        <v>40.855912099999998</v>
      </c>
      <c r="AJ20" s="10">
        <v>42.911170175000009</v>
      </c>
      <c r="AK20" s="10">
        <v>0</v>
      </c>
      <c r="AL20" s="10">
        <f t="shared" si="12"/>
        <v>42.911170175000009</v>
      </c>
      <c r="AM20" s="10">
        <v>47.987171099999998</v>
      </c>
      <c r="AN20" s="10">
        <v>8.6799567826876736</v>
      </c>
      <c r="AO20" s="10">
        <f t="shared" si="13"/>
        <v>56.667127882687673</v>
      </c>
    </row>
    <row r="21" spans="1:41" x14ac:dyDescent="0.3">
      <c r="A21" s="1">
        <v>15</v>
      </c>
      <c r="B21" s="1" t="s">
        <v>14</v>
      </c>
      <c r="C21" s="9">
        <f t="shared" si="1"/>
        <v>316.02334632600002</v>
      </c>
      <c r="D21" s="9">
        <f t="shared" si="0"/>
        <v>29.275727289775542</v>
      </c>
      <c r="E21" s="9">
        <f t="shared" si="0"/>
        <v>345.29907361577557</v>
      </c>
      <c r="F21" s="10">
        <v>23.128081300000002</v>
      </c>
      <c r="G21" s="10">
        <v>-0.8</v>
      </c>
      <c r="H21" s="10">
        <f t="shared" si="2"/>
        <v>22.328081300000001</v>
      </c>
      <c r="I21" s="10">
        <v>24.197879499999999</v>
      </c>
      <c r="J21" s="10">
        <v>-0.8</v>
      </c>
      <c r="K21" s="10">
        <f t="shared" si="3"/>
        <v>23.397879499999998</v>
      </c>
      <c r="L21" s="10">
        <v>24.226699199999999</v>
      </c>
      <c r="M21" s="10">
        <v>11.81217894504635</v>
      </c>
      <c r="N21" s="10">
        <f t="shared" si="4"/>
        <v>36.038878145046347</v>
      </c>
      <c r="O21" s="10">
        <v>28.545005</v>
      </c>
      <c r="P21" s="10">
        <v>0</v>
      </c>
      <c r="Q21" s="10">
        <f t="shared" si="5"/>
        <v>28.545005</v>
      </c>
      <c r="R21" s="10">
        <v>30.013113324000003</v>
      </c>
      <c r="S21" s="10">
        <v>3</v>
      </c>
      <c r="T21" s="10">
        <f t="shared" si="6"/>
        <v>33.013113324000003</v>
      </c>
      <c r="U21" s="10">
        <v>22.881715499999999</v>
      </c>
      <c r="V21" s="10">
        <v>0</v>
      </c>
      <c r="W21" s="10">
        <f t="shared" si="7"/>
        <v>22.881715499999999</v>
      </c>
      <c r="X21" s="10">
        <v>25.426774500000001</v>
      </c>
      <c r="Y21" s="10">
        <v>7.0868595638511147</v>
      </c>
      <c r="Z21" s="10">
        <f t="shared" si="8"/>
        <v>32.513634063851114</v>
      </c>
      <c r="AA21" s="10">
        <v>27.147472700000002</v>
      </c>
      <c r="AB21" s="10">
        <v>0</v>
      </c>
      <c r="AC21" s="10">
        <f t="shared" si="9"/>
        <v>27.147472700000002</v>
      </c>
      <c r="AD21" s="11">
        <v>25.364398699999999</v>
      </c>
      <c r="AE21" s="10">
        <v>4.2521157383106694</v>
      </c>
      <c r="AF21" s="10">
        <f t="shared" si="10"/>
        <v>29.616514438310666</v>
      </c>
      <c r="AG21" s="10">
        <v>29.813217699999999</v>
      </c>
      <c r="AH21" s="10">
        <v>0</v>
      </c>
      <c r="AI21" s="10">
        <f t="shared" si="11"/>
        <v>29.813217699999999</v>
      </c>
      <c r="AJ21" s="10">
        <v>24.215895001999996</v>
      </c>
      <c r="AK21" s="10">
        <v>0</v>
      </c>
      <c r="AL21" s="10">
        <f t="shared" si="12"/>
        <v>24.215895001999996</v>
      </c>
      <c r="AM21" s="10">
        <v>31.063093899999998</v>
      </c>
      <c r="AN21" s="10">
        <v>4.7245730425674104</v>
      </c>
      <c r="AO21" s="10">
        <f t="shared" si="13"/>
        <v>35.787666942567412</v>
      </c>
    </row>
    <row r="22" spans="1:41" x14ac:dyDescent="0.3">
      <c r="A22" s="1">
        <v>16</v>
      </c>
      <c r="B22" s="1" t="s">
        <v>15</v>
      </c>
      <c r="C22" s="9">
        <f t="shared" si="1"/>
        <v>553.81525094799997</v>
      </c>
      <c r="D22" s="9">
        <f t="shared" si="0"/>
        <v>121.38569893210872</v>
      </c>
      <c r="E22" s="9">
        <f t="shared" si="0"/>
        <v>675.20094988010874</v>
      </c>
      <c r="F22" s="10">
        <v>44.636197099999997</v>
      </c>
      <c r="G22" s="10">
        <v>-3.5</v>
      </c>
      <c r="H22" s="10">
        <f t="shared" si="2"/>
        <v>41.136197099999997</v>
      </c>
      <c r="I22" s="10">
        <v>43.721854899999997</v>
      </c>
      <c r="J22" s="10">
        <v>-3.5</v>
      </c>
      <c r="K22" s="10">
        <f t="shared" si="3"/>
        <v>40.221854899999997</v>
      </c>
      <c r="L22" s="10">
        <v>43.366260099999998</v>
      </c>
      <c r="M22" s="10">
        <v>49.317769833923052</v>
      </c>
      <c r="N22" s="10">
        <f t="shared" si="4"/>
        <v>92.684029933923057</v>
      </c>
      <c r="O22" s="10">
        <v>49.666583099999997</v>
      </c>
      <c r="P22" s="10">
        <v>0</v>
      </c>
      <c r="Q22" s="10">
        <f t="shared" si="5"/>
        <v>49.666583099999997</v>
      </c>
      <c r="R22" s="10">
        <v>44.374459049999999</v>
      </c>
      <c r="S22" s="10">
        <v>12</v>
      </c>
      <c r="T22" s="10">
        <f t="shared" si="6"/>
        <v>56.374459049999999</v>
      </c>
      <c r="U22" s="10">
        <v>38.920671499999997</v>
      </c>
      <c r="V22" s="10">
        <v>0</v>
      </c>
      <c r="W22" s="10">
        <f t="shared" si="7"/>
        <v>38.920671499999997</v>
      </c>
      <c r="X22" s="10">
        <v>44.712282799999997</v>
      </c>
      <c r="Y22" s="10">
        <v>29.588792249199557</v>
      </c>
      <c r="Z22" s="10">
        <f t="shared" si="8"/>
        <v>74.301075049199554</v>
      </c>
      <c r="AA22" s="10">
        <v>47.256680299999999</v>
      </c>
      <c r="AB22" s="10">
        <v>0</v>
      </c>
      <c r="AC22" s="10">
        <f t="shared" si="9"/>
        <v>47.256680299999999</v>
      </c>
      <c r="AD22" s="11">
        <v>48.2490332</v>
      </c>
      <c r="AE22" s="10">
        <v>17.753275349519736</v>
      </c>
      <c r="AF22" s="10">
        <f t="shared" si="10"/>
        <v>66.002308549519739</v>
      </c>
      <c r="AG22" s="10">
        <v>48.659557300000003</v>
      </c>
      <c r="AH22" s="10">
        <v>0</v>
      </c>
      <c r="AI22" s="10">
        <f t="shared" si="11"/>
        <v>48.659557300000003</v>
      </c>
      <c r="AJ22" s="10">
        <v>45.016901797999999</v>
      </c>
      <c r="AK22" s="10">
        <v>0</v>
      </c>
      <c r="AL22" s="10">
        <f t="shared" si="12"/>
        <v>45.016901797999999</v>
      </c>
      <c r="AM22" s="10">
        <v>55.234769800000002</v>
      </c>
      <c r="AN22" s="10">
        <v>19.725861499466372</v>
      </c>
      <c r="AO22" s="10">
        <f t="shared" si="13"/>
        <v>74.960631299466371</v>
      </c>
    </row>
    <row r="23" spans="1:41" x14ac:dyDescent="0.3">
      <c r="A23" s="1">
        <v>17</v>
      </c>
      <c r="B23" s="1" t="s">
        <v>16</v>
      </c>
      <c r="C23" s="9">
        <f t="shared" si="1"/>
        <v>417.84695276300005</v>
      </c>
      <c r="D23" s="9">
        <f t="shared" si="1"/>
        <v>98.273809909144589</v>
      </c>
      <c r="E23" s="9">
        <f t="shared" si="1"/>
        <v>516.12076267214456</v>
      </c>
      <c r="F23" s="10">
        <v>29.1903738</v>
      </c>
      <c r="G23" s="10">
        <v>-2.8</v>
      </c>
      <c r="H23" s="10">
        <f t="shared" si="2"/>
        <v>26.390373799999999</v>
      </c>
      <c r="I23" s="10">
        <v>28.219856100000001</v>
      </c>
      <c r="J23" s="10">
        <v>-2.8</v>
      </c>
      <c r="K23" s="10">
        <f t="shared" si="3"/>
        <v>25.419856100000001</v>
      </c>
      <c r="L23" s="10">
        <v>35.041460899999997</v>
      </c>
      <c r="M23" s="10">
        <v>39.778486472236168</v>
      </c>
      <c r="N23" s="10">
        <f t="shared" si="4"/>
        <v>74.819947372236157</v>
      </c>
      <c r="O23" s="10">
        <v>38.480698199999999</v>
      </c>
      <c r="P23" s="10">
        <v>0</v>
      </c>
      <c r="Q23" s="10">
        <f t="shared" si="5"/>
        <v>38.480698199999999</v>
      </c>
      <c r="R23" s="10">
        <v>39.302702655000004</v>
      </c>
      <c r="S23" s="10">
        <v>10</v>
      </c>
      <c r="T23" s="10">
        <f t="shared" si="6"/>
        <v>49.302702655000004</v>
      </c>
      <c r="U23" s="10">
        <v>34.427440400000002</v>
      </c>
      <c r="V23" s="10">
        <v>0</v>
      </c>
      <c r="W23" s="10">
        <f t="shared" si="7"/>
        <v>34.427440400000002</v>
      </c>
      <c r="X23" s="10">
        <v>38.211430200000002</v>
      </c>
      <c r="Y23" s="10">
        <v>23.865583869224302</v>
      </c>
      <c r="Z23" s="10">
        <f t="shared" si="8"/>
        <v>62.077014069224305</v>
      </c>
      <c r="AA23" s="10">
        <v>38.504388400000003</v>
      </c>
      <c r="AB23" s="10">
        <v>0</v>
      </c>
      <c r="AC23" s="10">
        <f t="shared" si="9"/>
        <v>38.504388400000003</v>
      </c>
      <c r="AD23" s="11">
        <v>42.322012000000001</v>
      </c>
      <c r="AE23" s="10">
        <v>14.319350321534582</v>
      </c>
      <c r="AF23" s="10">
        <f t="shared" si="10"/>
        <v>56.641362321534586</v>
      </c>
      <c r="AG23" s="10">
        <v>31.943895300000001</v>
      </c>
      <c r="AH23" s="10">
        <v>0</v>
      </c>
      <c r="AI23" s="10">
        <f t="shared" si="11"/>
        <v>31.943895300000001</v>
      </c>
      <c r="AJ23" s="10">
        <v>32.599800607999995</v>
      </c>
      <c r="AK23" s="10">
        <v>0</v>
      </c>
      <c r="AL23" s="10">
        <f t="shared" si="12"/>
        <v>32.599800607999995</v>
      </c>
      <c r="AM23" s="10">
        <v>29.602894200000001</v>
      </c>
      <c r="AN23" s="10">
        <v>15.910389246149537</v>
      </c>
      <c r="AO23" s="10">
        <f t="shared" si="13"/>
        <v>45.513283446149536</v>
      </c>
    </row>
    <row r="24" spans="1:41" x14ac:dyDescent="0.3">
      <c r="A24" s="1">
        <v>18</v>
      </c>
      <c r="B24" s="1" t="s">
        <v>17</v>
      </c>
      <c r="C24" s="9">
        <f t="shared" si="1"/>
        <v>3867.3183022619996</v>
      </c>
      <c r="D24" s="9">
        <f t="shared" si="1"/>
        <v>920.82569314992054</v>
      </c>
      <c r="E24" s="9">
        <f t="shared" si="1"/>
        <v>4788.1439954119214</v>
      </c>
      <c r="F24" s="10">
        <v>299.189345</v>
      </c>
      <c r="G24" s="10">
        <v>-26.2</v>
      </c>
      <c r="H24" s="10">
        <f t="shared" si="2"/>
        <v>272.98934500000001</v>
      </c>
      <c r="I24" s="10">
        <v>254.34499460000001</v>
      </c>
      <c r="J24" s="10">
        <v>-26.2</v>
      </c>
      <c r="K24" s="10">
        <f t="shared" si="3"/>
        <v>228.14499460000002</v>
      </c>
      <c r="L24" s="10">
        <v>358.35141240000002</v>
      </c>
      <c r="M24" s="10">
        <v>374.26180231631412</v>
      </c>
      <c r="N24" s="10">
        <f t="shared" si="4"/>
        <v>732.61321471631413</v>
      </c>
      <c r="O24" s="10">
        <v>346.36626419999999</v>
      </c>
      <c r="P24" s="10">
        <v>0</v>
      </c>
      <c r="Q24" s="10">
        <f t="shared" si="5"/>
        <v>346.36626419999999</v>
      </c>
      <c r="R24" s="10">
        <v>324.78099373200001</v>
      </c>
      <c r="S24" s="10">
        <v>90</v>
      </c>
      <c r="T24" s="10">
        <f t="shared" si="6"/>
        <v>414.78099373200001</v>
      </c>
      <c r="U24" s="10">
        <v>294.71196079999999</v>
      </c>
      <c r="V24" s="10">
        <v>0</v>
      </c>
      <c r="W24" s="10">
        <f t="shared" si="7"/>
        <v>294.71196079999999</v>
      </c>
      <c r="X24" s="10">
        <v>309.47921860000002</v>
      </c>
      <c r="Y24" s="10">
        <v>224.54289301482635</v>
      </c>
      <c r="Z24" s="10">
        <f t="shared" si="8"/>
        <v>534.02211161482637</v>
      </c>
      <c r="AA24" s="10">
        <v>356.39016040000001</v>
      </c>
      <c r="AB24" s="10">
        <v>0</v>
      </c>
      <c r="AC24" s="10">
        <f t="shared" si="9"/>
        <v>356.39016040000001</v>
      </c>
      <c r="AD24" s="11">
        <v>341.68647809999999</v>
      </c>
      <c r="AE24" s="10">
        <v>134.72573580889582</v>
      </c>
      <c r="AF24" s="10">
        <f t="shared" si="10"/>
        <v>476.41221390889581</v>
      </c>
      <c r="AG24" s="10">
        <v>305.77012109999998</v>
      </c>
      <c r="AH24" s="10">
        <v>0</v>
      </c>
      <c r="AI24" s="10">
        <f t="shared" si="11"/>
        <v>305.77012109999998</v>
      </c>
      <c r="AJ24" s="10">
        <v>334.66667203000009</v>
      </c>
      <c r="AK24" s="10">
        <v>0</v>
      </c>
      <c r="AL24" s="10">
        <f t="shared" si="12"/>
        <v>334.66667203000009</v>
      </c>
      <c r="AM24" s="10">
        <v>341.58068129999998</v>
      </c>
      <c r="AN24" s="10">
        <v>149.69526200988423</v>
      </c>
      <c r="AO24" s="10">
        <f t="shared" si="13"/>
        <v>491.27594330988421</v>
      </c>
    </row>
    <row r="25" spans="1:41" x14ac:dyDescent="0.3">
      <c r="A25" s="1">
        <v>19</v>
      </c>
      <c r="B25" s="1" t="s">
        <v>18</v>
      </c>
      <c r="C25" s="9">
        <f t="shared" si="1"/>
        <v>9216.8759958709979</v>
      </c>
      <c r="D25" s="9">
        <f t="shared" si="1"/>
        <v>3089.5669041040846</v>
      </c>
      <c r="E25" s="9">
        <f t="shared" si="1"/>
        <v>12306.442899975083</v>
      </c>
      <c r="F25" s="10">
        <v>657.49946379999994</v>
      </c>
      <c r="G25" s="10">
        <v>-87.9</v>
      </c>
      <c r="H25" s="10">
        <f t="shared" si="2"/>
        <v>569.59946379999997</v>
      </c>
      <c r="I25" s="10">
        <v>728.08618179999996</v>
      </c>
      <c r="J25" s="10">
        <v>-87.9</v>
      </c>
      <c r="K25" s="10">
        <f t="shared" si="3"/>
        <v>640.18618179999999</v>
      </c>
      <c r="L25" s="10">
        <v>819.73387260000004</v>
      </c>
      <c r="M25" s="10">
        <v>1256.1334083252343</v>
      </c>
      <c r="N25" s="10">
        <f t="shared" si="4"/>
        <v>2075.8672809252344</v>
      </c>
      <c r="O25" s="10">
        <v>896.46973890000004</v>
      </c>
      <c r="P25" s="10">
        <v>0</v>
      </c>
      <c r="Q25" s="10">
        <f t="shared" si="5"/>
        <v>896.46973890000004</v>
      </c>
      <c r="R25" s="10">
        <v>731.22086485099999</v>
      </c>
      <c r="S25" s="10">
        <v>301</v>
      </c>
      <c r="T25" s="10">
        <f t="shared" si="6"/>
        <v>1032.220864851</v>
      </c>
      <c r="U25" s="10">
        <v>730.49241930000005</v>
      </c>
      <c r="V25" s="10">
        <v>0</v>
      </c>
      <c r="W25" s="10">
        <f t="shared" si="7"/>
        <v>730.49241930000005</v>
      </c>
      <c r="X25" s="10">
        <v>799.32471499999997</v>
      </c>
      <c r="Y25" s="10">
        <v>753.63242460831646</v>
      </c>
      <c r="Z25" s="10">
        <f t="shared" si="8"/>
        <v>1552.9571396083165</v>
      </c>
      <c r="AA25" s="10">
        <v>774.90204819999997</v>
      </c>
      <c r="AB25" s="10">
        <v>0</v>
      </c>
      <c r="AC25" s="10">
        <f t="shared" si="9"/>
        <v>774.90204819999997</v>
      </c>
      <c r="AD25" s="11">
        <v>701.09851319999996</v>
      </c>
      <c r="AE25" s="10">
        <v>452.17945476498983</v>
      </c>
      <c r="AF25" s="10">
        <f t="shared" si="10"/>
        <v>1153.2779679649898</v>
      </c>
      <c r="AG25" s="10">
        <v>854.35663079999995</v>
      </c>
      <c r="AH25" s="10">
        <v>0</v>
      </c>
      <c r="AI25" s="10">
        <f t="shared" si="11"/>
        <v>854.35663079999995</v>
      </c>
      <c r="AJ25" s="10">
        <v>818.22061361999999</v>
      </c>
      <c r="AK25" s="10">
        <v>0</v>
      </c>
      <c r="AL25" s="10">
        <f t="shared" si="12"/>
        <v>818.22061361999999</v>
      </c>
      <c r="AM25" s="10">
        <v>705.47093380000001</v>
      </c>
      <c r="AN25" s="10">
        <v>502.42161640554434</v>
      </c>
      <c r="AO25" s="10">
        <f t="shared" si="13"/>
        <v>1207.8925502055445</v>
      </c>
    </row>
    <row r="26" spans="1:41" x14ac:dyDescent="0.3">
      <c r="A26" s="1">
        <v>20</v>
      </c>
      <c r="B26" s="1" t="s">
        <v>19</v>
      </c>
      <c r="C26" s="9">
        <f t="shared" si="1"/>
        <v>2080.1395649420001</v>
      </c>
      <c r="D26" s="9">
        <f t="shared" si="1"/>
        <v>985.74054601862781</v>
      </c>
      <c r="E26" s="9">
        <f t="shared" si="1"/>
        <v>3065.8801109606279</v>
      </c>
      <c r="F26" s="10">
        <v>101.176828</v>
      </c>
      <c r="G26" s="10">
        <v>-28.1</v>
      </c>
      <c r="H26" s="10">
        <f t="shared" si="2"/>
        <v>73.076828000000006</v>
      </c>
      <c r="I26" s="10">
        <v>141.8986262</v>
      </c>
      <c r="J26" s="10">
        <v>-28.1</v>
      </c>
      <c r="K26" s="10">
        <f t="shared" si="3"/>
        <v>113.7986262</v>
      </c>
      <c r="L26" s="10">
        <v>161.14899779999999</v>
      </c>
      <c r="M26" s="10">
        <v>400.83686013979701</v>
      </c>
      <c r="N26" s="10">
        <f t="shared" si="4"/>
        <v>561.98585793979703</v>
      </c>
      <c r="O26" s="10">
        <v>184.62940209999999</v>
      </c>
      <c r="P26" s="10">
        <v>0</v>
      </c>
      <c r="Q26" s="10">
        <f t="shared" si="5"/>
        <v>184.62940209999999</v>
      </c>
      <c r="R26" s="10">
        <v>164.76536815</v>
      </c>
      <c r="S26" s="10">
        <v>96</v>
      </c>
      <c r="T26" s="10">
        <f t="shared" si="6"/>
        <v>260.76536814999997</v>
      </c>
      <c r="U26" s="10">
        <v>183.5921324</v>
      </c>
      <c r="V26" s="10">
        <v>0</v>
      </c>
      <c r="W26" s="10">
        <f t="shared" si="7"/>
        <v>183.5921324</v>
      </c>
      <c r="X26" s="10">
        <v>151.07031749999999</v>
      </c>
      <c r="Y26" s="10">
        <v>240.48692024066068</v>
      </c>
      <c r="Z26" s="10">
        <f t="shared" si="8"/>
        <v>391.55723774066064</v>
      </c>
      <c r="AA26" s="10">
        <v>211.7142455</v>
      </c>
      <c r="AB26" s="10">
        <v>0</v>
      </c>
      <c r="AC26" s="10">
        <f t="shared" si="9"/>
        <v>211.7142455</v>
      </c>
      <c r="AD26" s="11">
        <v>213.48962520000001</v>
      </c>
      <c r="AE26" s="10">
        <v>144.2921521443964</v>
      </c>
      <c r="AF26" s="10">
        <f t="shared" si="10"/>
        <v>357.7817773443964</v>
      </c>
      <c r="AG26" s="10">
        <v>186.25058670000001</v>
      </c>
      <c r="AH26" s="10">
        <v>0</v>
      </c>
      <c r="AI26" s="10">
        <f t="shared" si="11"/>
        <v>186.25058670000001</v>
      </c>
      <c r="AJ26" s="10">
        <v>212.752169092</v>
      </c>
      <c r="AK26" s="10">
        <v>0</v>
      </c>
      <c r="AL26" s="10">
        <f t="shared" si="12"/>
        <v>212.752169092</v>
      </c>
      <c r="AM26" s="10">
        <v>167.6512663</v>
      </c>
      <c r="AN26" s="10">
        <v>160.3246134937738</v>
      </c>
      <c r="AO26" s="10">
        <f t="shared" si="13"/>
        <v>327.9758797937738</v>
      </c>
    </row>
    <row r="27" spans="1:41" x14ac:dyDescent="0.3">
      <c r="A27" s="1">
        <v>21</v>
      </c>
      <c r="B27" s="1" t="s">
        <v>20</v>
      </c>
      <c r="C27" s="9">
        <f t="shared" si="1"/>
        <v>3581.4668703060001</v>
      </c>
      <c r="D27" s="9">
        <f t="shared" si="1"/>
        <v>1698.2632196894083</v>
      </c>
      <c r="E27" s="9">
        <f t="shared" si="1"/>
        <v>5279.730089995408</v>
      </c>
      <c r="F27" s="10">
        <v>369.98295630000001</v>
      </c>
      <c r="G27" s="10">
        <v>-48.2</v>
      </c>
      <c r="H27" s="10">
        <f t="shared" si="2"/>
        <v>321.78295630000002</v>
      </c>
      <c r="I27" s="10">
        <v>217.19751260000001</v>
      </c>
      <c r="J27" s="10">
        <v>-48.2</v>
      </c>
      <c r="K27" s="10">
        <f t="shared" si="3"/>
        <v>168.99751259999999</v>
      </c>
      <c r="L27" s="10">
        <v>293.14099440000001</v>
      </c>
      <c r="M27" s="10">
        <v>689.22635377795768</v>
      </c>
      <c r="N27" s="10">
        <f t="shared" si="4"/>
        <v>982.36734817795764</v>
      </c>
      <c r="O27" s="10">
        <v>390.35509739999998</v>
      </c>
      <c r="P27" s="10">
        <v>0</v>
      </c>
      <c r="Q27" s="10">
        <f t="shared" si="5"/>
        <v>390.35509739999998</v>
      </c>
      <c r="R27" s="10">
        <v>307.08670928499998</v>
      </c>
      <c r="S27" s="10">
        <v>166</v>
      </c>
      <c r="T27" s="10">
        <f t="shared" si="6"/>
        <v>473.08670928499998</v>
      </c>
      <c r="U27" s="10">
        <v>286.17156469999998</v>
      </c>
      <c r="V27" s="10">
        <v>0</v>
      </c>
      <c r="W27" s="10">
        <f t="shared" si="7"/>
        <v>286.17156469999998</v>
      </c>
      <c r="X27" s="10">
        <v>323.20942930000001</v>
      </c>
      <c r="Y27" s="10">
        <v>414.45744084328697</v>
      </c>
      <c r="Z27" s="10">
        <f t="shared" si="8"/>
        <v>737.66687014328704</v>
      </c>
      <c r="AA27" s="10">
        <v>300.28312319999998</v>
      </c>
      <c r="AB27" s="10">
        <v>0</v>
      </c>
      <c r="AC27" s="10">
        <f t="shared" si="9"/>
        <v>300.28312319999998</v>
      </c>
      <c r="AD27" s="11">
        <v>206.77485709999999</v>
      </c>
      <c r="AE27" s="10">
        <v>248.67446450597225</v>
      </c>
      <c r="AF27" s="10">
        <f t="shared" si="10"/>
        <v>455.44932160597227</v>
      </c>
      <c r="AG27" s="10">
        <v>287.80086419999998</v>
      </c>
      <c r="AH27" s="10">
        <v>0</v>
      </c>
      <c r="AI27" s="10">
        <f t="shared" si="11"/>
        <v>287.80086419999998</v>
      </c>
      <c r="AJ27" s="10">
        <v>260.39733152100001</v>
      </c>
      <c r="AK27" s="10">
        <v>0</v>
      </c>
      <c r="AL27" s="10">
        <f t="shared" si="12"/>
        <v>260.39733152100001</v>
      </c>
      <c r="AM27" s="10">
        <v>339.06643029999998</v>
      </c>
      <c r="AN27" s="10">
        <v>276.30496056219135</v>
      </c>
      <c r="AO27" s="10">
        <f t="shared" si="13"/>
        <v>615.37139086219133</v>
      </c>
    </row>
    <row r="28" spans="1:41" x14ac:dyDescent="0.3">
      <c r="A28" s="1">
        <v>22</v>
      </c>
      <c r="B28" s="1" t="s">
        <v>34</v>
      </c>
      <c r="C28" s="9">
        <f t="shared" si="1"/>
        <v>1926.469038686</v>
      </c>
      <c r="D28" s="9">
        <f t="shared" si="1"/>
        <v>1131.2054505895856</v>
      </c>
      <c r="E28" s="9">
        <f t="shared" si="1"/>
        <v>3057.674489275586</v>
      </c>
      <c r="F28" s="10">
        <v>159.3114377</v>
      </c>
      <c r="G28" s="10">
        <v>-32.200000000000003</v>
      </c>
      <c r="H28" s="10">
        <f t="shared" si="2"/>
        <v>127.1114377</v>
      </c>
      <c r="I28" s="10">
        <v>122.4988156</v>
      </c>
      <c r="J28" s="10">
        <v>-32.200000000000003</v>
      </c>
      <c r="K28" s="10">
        <f t="shared" si="3"/>
        <v>90.298815599999998</v>
      </c>
      <c r="L28" s="10">
        <v>147.78695519999999</v>
      </c>
      <c r="M28" s="10">
        <v>460.01905933357659</v>
      </c>
      <c r="N28" s="10">
        <f t="shared" si="4"/>
        <v>607.80601453357656</v>
      </c>
      <c r="O28" s="10">
        <v>206.79301749999999</v>
      </c>
      <c r="P28" s="10">
        <v>0</v>
      </c>
      <c r="Q28" s="10">
        <f t="shared" si="5"/>
        <v>206.79301749999999</v>
      </c>
      <c r="R28" s="10">
        <v>161.30944133200001</v>
      </c>
      <c r="S28" s="10">
        <v>110</v>
      </c>
      <c r="T28" s="10">
        <f t="shared" si="6"/>
        <v>271.30944133200001</v>
      </c>
      <c r="U28" s="10">
        <v>150.5533877</v>
      </c>
      <c r="V28" s="10">
        <v>0</v>
      </c>
      <c r="W28" s="10">
        <f t="shared" si="7"/>
        <v>150.5533877</v>
      </c>
      <c r="X28" s="10">
        <v>215.45853719999999</v>
      </c>
      <c r="Y28" s="10">
        <v>275.99399614235688</v>
      </c>
      <c r="Z28" s="10">
        <f t="shared" si="8"/>
        <v>491.4525333423569</v>
      </c>
      <c r="AA28" s="10">
        <v>193.20866240000001</v>
      </c>
      <c r="AB28" s="10">
        <v>0</v>
      </c>
      <c r="AC28" s="10">
        <f t="shared" si="9"/>
        <v>193.20866240000001</v>
      </c>
      <c r="AD28" s="11">
        <v>178.99901919999999</v>
      </c>
      <c r="AE28" s="10">
        <v>165.59639768541413</v>
      </c>
      <c r="AF28" s="10">
        <f t="shared" si="10"/>
        <v>344.59541688541412</v>
      </c>
      <c r="AG28" s="10">
        <v>65.846236700000006</v>
      </c>
      <c r="AH28" s="10">
        <v>0</v>
      </c>
      <c r="AI28" s="10">
        <f t="shared" si="11"/>
        <v>65.846236700000006</v>
      </c>
      <c r="AJ28" s="10">
        <v>184.53317075399997</v>
      </c>
      <c r="AK28" s="10">
        <v>0</v>
      </c>
      <c r="AL28" s="10">
        <f t="shared" si="12"/>
        <v>184.53317075399997</v>
      </c>
      <c r="AM28" s="10">
        <v>140.1703574</v>
      </c>
      <c r="AN28" s="10">
        <v>183.99599742823793</v>
      </c>
      <c r="AO28" s="10">
        <f t="shared" si="13"/>
        <v>324.1663548282379</v>
      </c>
    </row>
    <row r="29" spans="1:41" x14ac:dyDescent="0.3">
      <c r="A29" s="1">
        <v>23</v>
      </c>
      <c r="B29" s="1" t="s">
        <v>21</v>
      </c>
      <c r="C29" s="9">
        <f t="shared" si="1"/>
        <v>8931.9876180840001</v>
      </c>
      <c r="D29" s="9">
        <f t="shared" si="1"/>
        <v>2357.7903592738721</v>
      </c>
      <c r="E29" s="9">
        <f t="shared" si="1"/>
        <v>11289.777977357873</v>
      </c>
      <c r="F29" s="10">
        <v>774.56308560000002</v>
      </c>
      <c r="G29" s="10">
        <v>-67.099999999999994</v>
      </c>
      <c r="H29" s="10">
        <f t="shared" si="2"/>
        <v>707.4630856</v>
      </c>
      <c r="I29" s="10">
        <v>575.6689963</v>
      </c>
      <c r="J29" s="10">
        <v>-67.099999999999994</v>
      </c>
      <c r="K29" s="10">
        <f t="shared" si="3"/>
        <v>508.56899629999998</v>
      </c>
      <c r="L29" s="10">
        <v>736.51957930000003</v>
      </c>
      <c r="M29" s="10">
        <v>958.50539137369378</v>
      </c>
      <c r="N29" s="10">
        <f t="shared" si="4"/>
        <v>1695.0249706736938</v>
      </c>
      <c r="O29" s="10">
        <v>805.16405689999999</v>
      </c>
      <c r="P29" s="10">
        <v>0</v>
      </c>
      <c r="Q29" s="10">
        <f t="shared" si="5"/>
        <v>805.16405689999999</v>
      </c>
      <c r="R29" s="10">
        <v>703.84233927000002</v>
      </c>
      <c r="S29" s="10">
        <v>230</v>
      </c>
      <c r="T29" s="10">
        <f t="shared" si="6"/>
        <v>933.84233927000002</v>
      </c>
      <c r="U29" s="10">
        <v>698.62828520000005</v>
      </c>
      <c r="V29" s="10">
        <v>0</v>
      </c>
      <c r="W29" s="10">
        <f t="shared" si="7"/>
        <v>698.62828520000005</v>
      </c>
      <c r="X29" s="10">
        <v>733.25933339999995</v>
      </c>
      <c r="Y29" s="10">
        <v>575.06689760302004</v>
      </c>
      <c r="Z29" s="10">
        <f t="shared" si="8"/>
        <v>1308.32623100302</v>
      </c>
      <c r="AA29" s="10">
        <v>849.75125419999995</v>
      </c>
      <c r="AB29" s="10">
        <v>0</v>
      </c>
      <c r="AC29" s="10">
        <f t="shared" si="9"/>
        <v>849.75125419999995</v>
      </c>
      <c r="AD29" s="11">
        <v>790.42520950000005</v>
      </c>
      <c r="AE29" s="10">
        <v>345.04013856181206</v>
      </c>
      <c r="AF29" s="10">
        <f t="shared" si="10"/>
        <v>1135.4653480618122</v>
      </c>
      <c r="AG29" s="10">
        <v>751.48030740000002</v>
      </c>
      <c r="AH29" s="10">
        <v>0</v>
      </c>
      <c r="AI29" s="10">
        <f t="shared" si="11"/>
        <v>751.48030740000002</v>
      </c>
      <c r="AJ29" s="10">
        <v>753.47611931400002</v>
      </c>
      <c r="AK29" s="10">
        <v>0</v>
      </c>
      <c r="AL29" s="10">
        <f t="shared" si="12"/>
        <v>753.47611931400002</v>
      </c>
      <c r="AM29" s="10">
        <v>759.20905170000003</v>
      </c>
      <c r="AN29" s="10">
        <v>383.37793173534669</v>
      </c>
      <c r="AO29" s="10">
        <f t="shared" si="13"/>
        <v>1142.5869834353466</v>
      </c>
    </row>
    <row r="30" spans="1:41" x14ac:dyDescent="0.3">
      <c r="A30" s="1">
        <v>24</v>
      </c>
      <c r="B30" s="1" t="s">
        <v>35</v>
      </c>
      <c r="C30" s="9">
        <f t="shared" si="1"/>
        <v>6805.2068760980001</v>
      </c>
      <c r="D30" s="9">
        <f t="shared" si="1"/>
        <v>4438.4745233571857</v>
      </c>
      <c r="E30" s="9">
        <f t="shared" si="1"/>
        <v>11243.681399455187</v>
      </c>
      <c r="F30" s="10">
        <v>552.91035120000004</v>
      </c>
      <c r="G30" s="10">
        <v>-126.3</v>
      </c>
      <c r="H30" s="10">
        <f t="shared" si="2"/>
        <v>426.61035120000003</v>
      </c>
      <c r="I30" s="10">
        <v>473.26235220000001</v>
      </c>
      <c r="J30" s="10">
        <v>-126.3</v>
      </c>
      <c r="K30" s="10">
        <f t="shared" si="3"/>
        <v>346.9623522</v>
      </c>
      <c r="L30" s="10">
        <v>615.05731040000001</v>
      </c>
      <c r="M30" s="10">
        <v>1804.3345634855007</v>
      </c>
      <c r="N30" s="10">
        <f t="shared" si="4"/>
        <v>2419.3918738855009</v>
      </c>
      <c r="O30" s="10">
        <v>739.15783180000005</v>
      </c>
      <c r="P30" s="10">
        <v>0</v>
      </c>
      <c r="Q30" s="10">
        <f t="shared" si="5"/>
        <v>739.15783180000005</v>
      </c>
      <c r="R30" s="10">
        <v>588.56336899799999</v>
      </c>
      <c r="S30" s="10">
        <v>433</v>
      </c>
      <c r="T30" s="10">
        <f t="shared" si="6"/>
        <v>1021.563368998</v>
      </c>
      <c r="U30" s="10">
        <v>695.06265570000005</v>
      </c>
      <c r="V30" s="10">
        <v>0</v>
      </c>
      <c r="W30" s="10">
        <f t="shared" si="7"/>
        <v>695.06265570000005</v>
      </c>
      <c r="X30" s="10">
        <v>522.61937769999997</v>
      </c>
      <c r="Y30" s="10">
        <v>1082.5323352375081</v>
      </c>
      <c r="Z30" s="10">
        <f t="shared" si="8"/>
        <v>1605.1517129375079</v>
      </c>
      <c r="AA30" s="10">
        <v>586.60114520000002</v>
      </c>
      <c r="AB30" s="10">
        <v>0</v>
      </c>
      <c r="AC30" s="10">
        <f t="shared" si="9"/>
        <v>586.60114520000002</v>
      </c>
      <c r="AD30" s="11">
        <v>554.82329549999997</v>
      </c>
      <c r="AE30" s="10">
        <v>649.51940114250488</v>
      </c>
      <c r="AF30" s="10">
        <f t="shared" si="10"/>
        <v>1204.342696642505</v>
      </c>
      <c r="AG30" s="10">
        <v>426.1356998</v>
      </c>
      <c r="AH30" s="10">
        <v>0</v>
      </c>
      <c r="AI30" s="10">
        <f t="shared" si="11"/>
        <v>426.1356998</v>
      </c>
      <c r="AJ30" s="10">
        <v>627.64914539999995</v>
      </c>
      <c r="AK30" s="10">
        <v>0</v>
      </c>
      <c r="AL30" s="10">
        <f t="shared" si="12"/>
        <v>627.64914539999995</v>
      </c>
      <c r="AM30" s="10">
        <v>423.36434220000001</v>
      </c>
      <c r="AN30" s="10">
        <v>721.68822349167203</v>
      </c>
      <c r="AO30" s="10">
        <f t="shared" si="13"/>
        <v>1145.052565691672</v>
      </c>
    </row>
    <row r="31" spans="1:41" x14ac:dyDescent="0.3">
      <c r="A31" s="1">
        <v>25</v>
      </c>
      <c r="B31" s="1" t="s">
        <v>22</v>
      </c>
      <c r="C31" s="9">
        <f t="shared" si="1"/>
        <v>14.419482520999999</v>
      </c>
      <c r="D31" s="9">
        <f t="shared" si="1"/>
        <v>99.776381688949982</v>
      </c>
      <c r="E31" s="9">
        <f t="shared" si="1"/>
        <v>114.19586420994999</v>
      </c>
      <c r="F31" s="10">
        <v>0.36049439999999999</v>
      </c>
      <c r="G31" s="10">
        <v>-2.8</v>
      </c>
      <c r="H31" s="10">
        <f t="shared" si="2"/>
        <v>-2.4395055999999999</v>
      </c>
      <c r="I31" s="10">
        <v>-3.6727903999999998</v>
      </c>
      <c r="J31" s="10">
        <v>-2.8</v>
      </c>
      <c r="K31" s="10">
        <f t="shared" si="3"/>
        <v>-6.4727903999999992</v>
      </c>
      <c r="L31" s="10">
        <v>2.9973727999999999</v>
      </c>
      <c r="M31" s="10">
        <v>40.415192612898835</v>
      </c>
      <c r="N31" s="10">
        <f t="shared" si="4"/>
        <v>43.412565412898836</v>
      </c>
      <c r="O31" s="10">
        <v>-2.9138513000000001</v>
      </c>
      <c r="P31" s="10">
        <v>0</v>
      </c>
      <c r="Q31" s="10">
        <f t="shared" si="5"/>
        <v>-2.9138513000000001</v>
      </c>
      <c r="R31" s="10">
        <v>6.2507040299999996</v>
      </c>
      <c r="S31" s="10">
        <v>10</v>
      </c>
      <c r="T31" s="10">
        <f t="shared" si="6"/>
        <v>16.250704030000001</v>
      </c>
      <c r="U31" s="10">
        <v>3.2153896</v>
      </c>
      <c r="V31" s="10">
        <v>0</v>
      </c>
      <c r="W31" s="10">
        <f t="shared" si="7"/>
        <v>3.2153896</v>
      </c>
      <c r="X31" s="10">
        <v>2.2065682999999998</v>
      </c>
      <c r="Y31" s="10">
        <v>24.247583415904916</v>
      </c>
      <c r="Z31" s="10">
        <f t="shared" si="8"/>
        <v>26.454151715904917</v>
      </c>
      <c r="AA31" s="10">
        <v>0.52958620000000001</v>
      </c>
      <c r="AB31" s="10">
        <v>0</v>
      </c>
      <c r="AC31" s="10">
        <f t="shared" si="9"/>
        <v>0.52958620000000001</v>
      </c>
      <c r="AD31" s="11">
        <v>2.3489040999999999</v>
      </c>
      <c r="AE31" s="10">
        <v>14.548550049542948</v>
      </c>
      <c r="AF31" s="10">
        <f t="shared" si="10"/>
        <v>16.897454149542948</v>
      </c>
      <c r="AG31" s="10">
        <v>-1.8765489</v>
      </c>
      <c r="AH31" s="10">
        <v>0</v>
      </c>
      <c r="AI31" s="10">
        <f t="shared" si="11"/>
        <v>-1.8765489</v>
      </c>
      <c r="AJ31" s="10">
        <v>0.33689839099999896</v>
      </c>
      <c r="AK31" s="10">
        <v>0</v>
      </c>
      <c r="AL31" s="10">
        <f t="shared" si="12"/>
        <v>0.33689839099999896</v>
      </c>
      <c r="AM31" s="10">
        <v>4.6367552999999999</v>
      </c>
      <c r="AN31" s="10">
        <v>16.165055610603275</v>
      </c>
      <c r="AO31" s="10">
        <f t="shared" si="13"/>
        <v>20.801810910603276</v>
      </c>
    </row>
    <row r="32" spans="1:41" x14ac:dyDescent="0.3">
      <c r="A32" s="1">
        <v>26</v>
      </c>
      <c r="B32" s="1" t="s">
        <v>23</v>
      </c>
      <c r="C32" s="9">
        <f t="shared" si="1"/>
        <v>25.683568014000006</v>
      </c>
      <c r="D32" s="9">
        <f t="shared" si="1"/>
        <v>118.2891382883264</v>
      </c>
      <c r="E32" s="9">
        <f t="shared" si="1"/>
        <v>143.9727063023264</v>
      </c>
      <c r="F32" s="10">
        <v>2.9451320999999999</v>
      </c>
      <c r="G32" s="10">
        <v>-3.4</v>
      </c>
      <c r="H32" s="10">
        <f t="shared" si="2"/>
        <v>-0.45486789999999999</v>
      </c>
      <c r="I32" s="10">
        <v>1.8138943999999999</v>
      </c>
      <c r="J32" s="10">
        <v>-3.4</v>
      </c>
      <c r="K32" s="10">
        <f t="shared" si="3"/>
        <v>-1.5861056</v>
      </c>
      <c r="L32" s="10">
        <v>11.6252076</v>
      </c>
      <c r="M32" s="10">
        <v>47.920871241008612</v>
      </c>
      <c r="N32" s="10">
        <f t="shared" si="4"/>
        <v>59.546078841008608</v>
      </c>
      <c r="O32" s="10">
        <v>0.7214933</v>
      </c>
      <c r="P32" s="10">
        <v>0</v>
      </c>
      <c r="Q32" s="10">
        <f t="shared" si="5"/>
        <v>0.7214933</v>
      </c>
      <c r="R32" s="10">
        <v>5.5398056759999994</v>
      </c>
      <c r="S32" s="10">
        <v>12</v>
      </c>
      <c r="T32" s="10">
        <f t="shared" si="6"/>
        <v>17.539805676</v>
      </c>
      <c r="U32" s="10">
        <v>-4.6933208000000004</v>
      </c>
      <c r="V32" s="10">
        <v>0</v>
      </c>
      <c r="W32" s="10">
        <f t="shared" si="7"/>
        <v>-4.6933208000000004</v>
      </c>
      <c r="X32" s="10">
        <v>15.500992500000001</v>
      </c>
      <c r="Y32" s="10">
        <v>28.75070605028726</v>
      </c>
      <c r="Z32" s="10">
        <f t="shared" si="8"/>
        <v>44.251698550287259</v>
      </c>
      <c r="AA32" s="10">
        <v>4.5640846000000002</v>
      </c>
      <c r="AB32" s="10">
        <v>0</v>
      </c>
      <c r="AC32" s="10">
        <f t="shared" si="9"/>
        <v>4.5640846000000002</v>
      </c>
      <c r="AD32" s="11">
        <v>1.0589122</v>
      </c>
      <c r="AE32" s="10">
        <v>17.250423630172353</v>
      </c>
      <c r="AF32" s="10">
        <f t="shared" si="10"/>
        <v>18.309335830172351</v>
      </c>
      <c r="AG32" s="10">
        <v>-10.1543078</v>
      </c>
      <c r="AH32" s="10">
        <v>0</v>
      </c>
      <c r="AI32" s="10">
        <f t="shared" si="11"/>
        <v>-10.1543078</v>
      </c>
      <c r="AJ32" s="10">
        <v>-0.30014056199999845</v>
      </c>
      <c r="AK32" s="10">
        <v>0</v>
      </c>
      <c r="AL32" s="10">
        <f t="shared" si="12"/>
        <v>-0.30014056199999845</v>
      </c>
      <c r="AM32" s="10">
        <v>-2.9381851999999999</v>
      </c>
      <c r="AN32" s="10">
        <v>19.167137366858171</v>
      </c>
      <c r="AO32" s="10">
        <f t="shared" si="13"/>
        <v>16.228952166858171</v>
      </c>
    </row>
    <row r="33" spans="1:41" x14ac:dyDescent="0.3">
      <c r="A33" s="1">
        <v>27</v>
      </c>
      <c r="B33" s="1" t="s">
        <v>36</v>
      </c>
      <c r="C33" s="9">
        <f t="shared" si="1"/>
        <v>19063.704177591</v>
      </c>
      <c r="D33" s="9">
        <f t="shared" si="1"/>
        <v>9305.512484129762</v>
      </c>
      <c r="E33" s="9">
        <f t="shared" si="1"/>
        <v>28369.216661720759</v>
      </c>
      <c r="F33" s="10">
        <v>1616.1902801000001</v>
      </c>
      <c r="G33" s="10">
        <v>-264.8</v>
      </c>
      <c r="H33" s="10">
        <f t="shared" si="2"/>
        <v>1351.3902801000002</v>
      </c>
      <c r="I33" s="10">
        <v>1120.5262600000001</v>
      </c>
      <c r="J33" s="10">
        <v>-264.8</v>
      </c>
      <c r="K33" s="10">
        <f t="shared" si="3"/>
        <v>855.72626000000014</v>
      </c>
      <c r="L33" s="10">
        <v>1479.4520141</v>
      </c>
      <c r="M33" s="10">
        <v>3783.2362617037279</v>
      </c>
      <c r="N33" s="10">
        <f t="shared" si="4"/>
        <v>5262.6882758037282</v>
      </c>
      <c r="O33" s="10">
        <v>1670.0955481000001</v>
      </c>
      <c r="P33" s="10">
        <v>0</v>
      </c>
      <c r="Q33" s="10">
        <f t="shared" si="5"/>
        <v>1670.0955481000001</v>
      </c>
      <c r="R33" s="10">
        <v>1527.8025954669999</v>
      </c>
      <c r="S33" s="10">
        <v>907</v>
      </c>
      <c r="T33" s="10">
        <f t="shared" si="6"/>
        <v>2434.8025954670002</v>
      </c>
      <c r="U33" s="10">
        <v>1512.3526512000001</v>
      </c>
      <c r="V33" s="10">
        <v>0</v>
      </c>
      <c r="W33" s="10">
        <f t="shared" si="7"/>
        <v>1512.3526512000001</v>
      </c>
      <c r="X33" s="10">
        <v>1786.5537234999999</v>
      </c>
      <c r="Y33" s="10">
        <v>2269.7983334232499</v>
      </c>
      <c r="Z33" s="10">
        <f t="shared" si="8"/>
        <v>4056.3520569232496</v>
      </c>
      <c r="AA33" s="10">
        <v>1613.2561063000001</v>
      </c>
      <c r="AB33" s="10">
        <v>0</v>
      </c>
      <c r="AC33" s="10">
        <f t="shared" si="9"/>
        <v>1613.2561063000001</v>
      </c>
      <c r="AD33" s="11">
        <v>1711.0775997000001</v>
      </c>
      <c r="AE33" s="10">
        <v>1361.8790000539502</v>
      </c>
      <c r="AF33" s="10">
        <f t="shared" si="10"/>
        <v>3072.9565997539503</v>
      </c>
      <c r="AG33" s="10">
        <v>1716.9328912000001</v>
      </c>
      <c r="AH33" s="10">
        <v>0</v>
      </c>
      <c r="AI33" s="10">
        <f t="shared" si="11"/>
        <v>1716.9328912000001</v>
      </c>
      <c r="AJ33" s="10">
        <v>2075.8668362239996</v>
      </c>
      <c r="AK33" s="10">
        <v>0</v>
      </c>
      <c r="AL33" s="10">
        <f t="shared" si="12"/>
        <v>2075.8668362239996</v>
      </c>
      <c r="AM33" s="10">
        <v>1233.5976717000001</v>
      </c>
      <c r="AN33" s="10">
        <v>1513.1988889488334</v>
      </c>
      <c r="AO33" s="10">
        <f t="shared" si="13"/>
        <v>2746.7965606488333</v>
      </c>
    </row>
    <row r="34" spans="1:41" x14ac:dyDescent="0.3">
      <c r="A34" s="1">
        <v>29</v>
      </c>
      <c r="B34" s="1" t="s">
        <v>24</v>
      </c>
      <c r="C34" s="9">
        <f t="shared" si="1"/>
        <v>13600.065881335</v>
      </c>
      <c r="D34" s="9">
        <f t="shared" si="1"/>
        <v>5558.0628580844877</v>
      </c>
      <c r="E34" s="9">
        <f t="shared" si="1"/>
        <v>19158.128739419488</v>
      </c>
      <c r="F34" s="10">
        <v>1207.9146982</v>
      </c>
      <c r="G34" s="10">
        <v>-158.19999999999999</v>
      </c>
      <c r="H34" s="10">
        <f t="shared" si="2"/>
        <v>1049.7146981999999</v>
      </c>
      <c r="I34" s="10">
        <v>986.57662970000001</v>
      </c>
      <c r="J34" s="10">
        <v>-158.19999999999999</v>
      </c>
      <c r="K34" s="10">
        <f t="shared" si="3"/>
        <v>828.37662969999997</v>
      </c>
      <c r="L34" s="10">
        <v>1168.4572123</v>
      </c>
      <c r="M34" s="10">
        <v>2260.0241787972946</v>
      </c>
      <c r="N34" s="10">
        <f t="shared" si="4"/>
        <v>3428.4813910972944</v>
      </c>
      <c r="O34" s="10">
        <v>1186.4872353999999</v>
      </c>
      <c r="P34" s="10">
        <v>0</v>
      </c>
      <c r="Q34" s="10">
        <f t="shared" si="5"/>
        <v>1186.4872353999999</v>
      </c>
      <c r="R34" s="10">
        <v>1070.8719045760001</v>
      </c>
      <c r="S34" s="10">
        <v>541</v>
      </c>
      <c r="T34" s="10">
        <f t="shared" si="6"/>
        <v>1611.8719045760001</v>
      </c>
      <c r="U34" s="10">
        <v>1112.3654977000001</v>
      </c>
      <c r="V34" s="10">
        <v>0</v>
      </c>
      <c r="W34" s="10">
        <f t="shared" si="7"/>
        <v>1112.3654977000001</v>
      </c>
      <c r="X34" s="10">
        <v>1166.5877998000001</v>
      </c>
      <c r="Y34" s="10">
        <v>1355.9288290972911</v>
      </c>
      <c r="Z34" s="10">
        <f t="shared" si="8"/>
        <v>2522.5166288972914</v>
      </c>
      <c r="AA34" s="10">
        <v>1272.2736324</v>
      </c>
      <c r="AB34" s="10">
        <v>0</v>
      </c>
      <c r="AC34" s="10">
        <f t="shared" si="9"/>
        <v>1272.2736324</v>
      </c>
      <c r="AD34" s="11">
        <v>1038.1210530000001</v>
      </c>
      <c r="AE34" s="10">
        <v>813.55729745837471</v>
      </c>
      <c r="AF34" s="10">
        <f t="shared" si="10"/>
        <v>1851.6783504583748</v>
      </c>
      <c r="AG34" s="10">
        <v>1111.6379457999999</v>
      </c>
      <c r="AH34" s="10">
        <v>0</v>
      </c>
      <c r="AI34" s="10">
        <f t="shared" si="11"/>
        <v>1111.6379457999999</v>
      </c>
      <c r="AJ34" s="10">
        <v>1212.7174977590003</v>
      </c>
      <c r="AK34" s="10">
        <v>0</v>
      </c>
      <c r="AL34" s="10">
        <f t="shared" si="12"/>
        <v>1212.7174977590003</v>
      </c>
      <c r="AM34" s="10">
        <v>1066.0547747000001</v>
      </c>
      <c r="AN34" s="10">
        <v>903.95255273152736</v>
      </c>
      <c r="AO34" s="10">
        <f t="shared" si="13"/>
        <v>1970.0073274315273</v>
      </c>
    </row>
    <row r="35" spans="1:41" x14ac:dyDescent="0.3">
      <c r="A35" s="1">
        <v>30</v>
      </c>
      <c r="B35" s="1" t="s">
        <v>25</v>
      </c>
      <c r="C35" s="9">
        <f t="shared" si="1"/>
        <v>753.64862302500001</v>
      </c>
      <c r="D35" s="9">
        <f t="shared" si="1"/>
        <v>335.88636914599851</v>
      </c>
      <c r="E35" s="9">
        <f t="shared" si="1"/>
        <v>1089.5349921709985</v>
      </c>
      <c r="F35" s="10">
        <v>50.057986700000001</v>
      </c>
      <c r="G35" s="10">
        <v>-9.5</v>
      </c>
      <c r="H35" s="10">
        <f t="shared" si="2"/>
        <v>40.557986700000001</v>
      </c>
      <c r="I35" s="10">
        <v>55.480597099999997</v>
      </c>
      <c r="J35" s="10">
        <v>-9.5</v>
      </c>
      <c r="K35" s="10">
        <f t="shared" si="3"/>
        <v>45.980597099999997</v>
      </c>
      <c r="L35" s="10">
        <v>66.100689799999998</v>
      </c>
      <c r="M35" s="10">
        <v>136.39749567066437</v>
      </c>
      <c r="N35" s="10">
        <f t="shared" si="4"/>
        <v>202.49818547066437</v>
      </c>
      <c r="O35" s="10">
        <v>58.220916199999998</v>
      </c>
      <c r="P35" s="10">
        <v>0</v>
      </c>
      <c r="Q35" s="10">
        <f t="shared" si="5"/>
        <v>58.220916199999998</v>
      </c>
      <c r="R35" s="10">
        <v>48.389647614999994</v>
      </c>
      <c r="S35" s="10">
        <v>33</v>
      </c>
      <c r="T35" s="10">
        <f t="shared" si="6"/>
        <v>81.389647615000001</v>
      </c>
      <c r="U35" s="10">
        <v>59.497632699999997</v>
      </c>
      <c r="V35" s="10">
        <v>0</v>
      </c>
      <c r="W35" s="10">
        <f t="shared" si="7"/>
        <v>59.497632699999997</v>
      </c>
      <c r="X35" s="10">
        <v>75.496622900000006</v>
      </c>
      <c r="Y35" s="10">
        <v>81.833326533235649</v>
      </c>
      <c r="Z35" s="10">
        <f t="shared" si="8"/>
        <v>157.32994943323564</v>
      </c>
      <c r="AA35" s="10">
        <v>61.336976999999997</v>
      </c>
      <c r="AB35" s="10">
        <v>0</v>
      </c>
      <c r="AC35" s="10">
        <f t="shared" si="9"/>
        <v>61.336976999999997</v>
      </c>
      <c r="AD35" s="11">
        <v>50.936084800000003</v>
      </c>
      <c r="AE35" s="10">
        <v>49.099995919941399</v>
      </c>
      <c r="AF35" s="10">
        <f t="shared" si="10"/>
        <v>100.0360807199414</v>
      </c>
      <c r="AG35" s="10">
        <v>68.453214500000001</v>
      </c>
      <c r="AH35" s="10">
        <v>0</v>
      </c>
      <c r="AI35" s="10">
        <f t="shared" si="11"/>
        <v>68.453214500000001</v>
      </c>
      <c r="AJ35" s="10">
        <v>93.795463210000008</v>
      </c>
      <c r="AK35" s="10">
        <v>0</v>
      </c>
      <c r="AL35" s="10">
        <f t="shared" si="12"/>
        <v>93.795463210000008</v>
      </c>
      <c r="AM35" s="10">
        <v>65.882790499999999</v>
      </c>
      <c r="AN35" s="10">
        <v>54.555551022157104</v>
      </c>
      <c r="AO35" s="10">
        <f t="shared" si="13"/>
        <v>120.4383415221571</v>
      </c>
    </row>
    <row r="36" spans="1:41" x14ac:dyDescent="0.3">
      <c r="A36" s="1">
        <v>31</v>
      </c>
      <c r="B36" s="1" t="s">
        <v>26</v>
      </c>
      <c r="C36" s="9">
        <f t="shared" si="1"/>
        <v>10.658656511</v>
      </c>
      <c r="D36" s="9">
        <f t="shared" si="1"/>
        <v>0</v>
      </c>
      <c r="E36" s="9">
        <f t="shared" si="1"/>
        <v>10.658656511</v>
      </c>
      <c r="F36" s="10">
        <v>0.52274949999999998</v>
      </c>
      <c r="G36" s="10">
        <v>0</v>
      </c>
      <c r="H36" s="10">
        <f t="shared" si="2"/>
        <v>0.52274949999999998</v>
      </c>
      <c r="I36" s="10">
        <v>0.66573300000000002</v>
      </c>
      <c r="J36" s="10">
        <v>0</v>
      </c>
      <c r="K36" s="10">
        <f t="shared" si="3"/>
        <v>0.66573300000000002</v>
      </c>
      <c r="L36" s="10">
        <v>0.77840299999999996</v>
      </c>
      <c r="M36" s="10">
        <v>0</v>
      </c>
      <c r="N36" s="10">
        <f t="shared" si="4"/>
        <v>0.77840299999999996</v>
      </c>
      <c r="O36" s="10">
        <v>1.8161044</v>
      </c>
      <c r="P36" s="10">
        <v>0</v>
      </c>
      <c r="Q36" s="10">
        <f t="shared" si="5"/>
        <v>1.8161044</v>
      </c>
      <c r="R36" s="10">
        <v>0.63099316799999994</v>
      </c>
      <c r="S36" s="10">
        <v>0</v>
      </c>
      <c r="T36" s="10">
        <f t="shared" si="6"/>
        <v>0.63099316799999994</v>
      </c>
      <c r="U36" s="10">
        <v>0.47528890000000001</v>
      </c>
      <c r="V36" s="10">
        <v>0</v>
      </c>
      <c r="W36" s="10">
        <f t="shared" si="7"/>
        <v>0.47528890000000001</v>
      </c>
      <c r="X36" s="10">
        <v>1.6380037999999999</v>
      </c>
      <c r="Y36" s="10">
        <v>0</v>
      </c>
      <c r="Z36" s="10">
        <f t="shared" si="8"/>
        <v>1.6380037999999999</v>
      </c>
      <c r="AA36" s="10">
        <v>0.54545529999999998</v>
      </c>
      <c r="AB36" s="10">
        <v>0</v>
      </c>
      <c r="AC36" s="10">
        <f t="shared" si="9"/>
        <v>0.54545529999999998</v>
      </c>
      <c r="AD36" s="11">
        <v>0.45443729999999999</v>
      </c>
      <c r="AE36" s="10">
        <v>0</v>
      </c>
      <c r="AF36" s="10">
        <f t="shared" si="10"/>
        <v>0.45443729999999999</v>
      </c>
      <c r="AG36" s="10">
        <v>0.7441084</v>
      </c>
      <c r="AH36" s="10">
        <v>0</v>
      </c>
      <c r="AI36" s="10">
        <f t="shared" si="11"/>
        <v>0.7441084</v>
      </c>
      <c r="AJ36" s="10">
        <v>1.2559489429999999</v>
      </c>
      <c r="AK36" s="10">
        <v>0</v>
      </c>
      <c r="AL36" s="10">
        <f t="shared" si="12"/>
        <v>1.2559489429999999</v>
      </c>
      <c r="AM36" s="10">
        <v>1.1314308</v>
      </c>
      <c r="AN36" s="10">
        <v>0</v>
      </c>
      <c r="AO36" s="10">
        <f t="shared" si="13"/>
        <v>1.1314308</v>
      </c>
    </row>
    <row r="37" spans="1:41" x14ac:dyDescent="0.3">
      <c r="A37" s="1">
        <v>32</v>
      </c>
      <c r="B37" s="1" t="s">
        <v>27</v>
      </c>
      <c r="C37" s="9">
        <f t="shared" si="1"/>
        <v>10114.960167044001</v>
      </c>
      <c r="D37" s="9">
        <f t="shared" si="1"/>
        <v>2586.9762890286993</v>
      </c>
      <c r="E37" s="9">
        <f t="shared" si="1"/>
        <v>12701.936456072701</v>
      </c>
      <c r="F37" s="10">
        <v>802.0735383</v>
      </c>
      <c r="G37" s="10">
        <v>-73.599999999999994</v>
      </c>
      <c r="H37" s="10">
        <f t="shared" si="2"/>
        <v>728.47353829999997</v>
      </c>
      <c r="I37" s="10">
        <v>785.97253660000001</v>
      </c>
      <c r="J37" s="10">
        <v>-73.599999999999994</v>
      </c>
      <c r="K37" s="10">
        <f t="shared" si="3"/>
        <v>712.37253659999999</v>
      </c>
      <c r="L37" s="10">
        <v>879.89429159999997</v>
      </c>
      <c r="M37" s="10">
        <v>1051.8079113907909</v>
      </c>
      <c r="N37" s="10">
        <f t="shared" si="4"/>
        <v>1931.7022029907907</v>
      </c>
      <c r="O37" s="10">
        <v>848.43876479999994</v>
      </c>
      <c r="P37" s="10">
        <v>0</v>
      </c>
      <c r="Q37" s="10">
        <f t="shared" si="5"/>
        <v>848.43876479999994</v>
      </c>
      <c r="R37" s="10">
        <v>746.20919619400001</v>
      </c>
      <c r="S37" s="10">
        <v>252</v>
      </c>
      <c r="T37" s="10">
        <f t="shared" si="6"/>
        <v>998.20919619400001</v>
      </c>
      <c r="U37" s="10">
        <v>651.89515960000006</v>
      </c>
      <c r="V37" s="10">
        <v>0</v>
      </c>
      <c r="W37" s="10">
        <f t="shared" si="7"/>
        <v>651.89515960000006</v>
      </c>
      <c r="X37" s="10">
        <v>1068.4303854</v>
      </c>
      <c r="Y37" s="10">
        <v>631.04487248731255</v>
      </c>
      <c r="Z37" s="10">
        <f t="shared" si="8"/>
        <v>1699.4752578873126</v>
      </c>
      <c r="AA37" s="10">
        <v>1014.3351074</v>
      </c>
      <c r="AB37" s="10">
        <v>0</v>
      </c>
      <c r="AC37" s="10">
        <f t="shared" si="9"/>
        <v>1014.3351074</v>
      </c>
      <c r="AD37" s="11">
        <v>816.8573629</v>
      </c>
      <c r="AE37" s="10">
        <v>378.62692349238756</v>
      </c>
      <c r="AF37" s="10">
        <f t="shared" si="10"/>
        <v>1195.4842863923875</v>
      </c>
      <c r="AG37" s="10">
        <v>862.29908150000006</v>
      </c>
      <c r="AH37" s="10">
        <v>0</v>
      </c>
      <c r="AI37" s="10">
        <f t="shared" si="11"/>
        <v>862.29908150000006</v>
      </c>
      <c r="AJ37" s="10">
        <v>845.72093125000004</v>
      </c>
      <c r="AK37" s="10">
        <v>0</v>
      </c>
      <c r="AL37" s="10">
        <f t="shared" si="12"/>
        <v>845.72093125000004</v>
      </c>
      <c r="AM37" s="10">
        <v>792.83381150000002</v>
      </c>
      <c r="AN37" s="10">
        <v>420.69658165820846</v>
      </c>
      <c r="AO37" s="10">
        <f t="shared" si="13"/>
        <v>1213.5303931582084</v>
      </c>
    </row>
    <row r="38" spans="1:41" x14ac:dyDescent="0.3">
      <c r="A38" s="1">
        <v>33</v>
      </c>
      <c r="B38" s="1" t="s">
        <v>28</v>
      </c>
      <c r="C38" s="9">
        <f t="shared" si="1"/>
        <v>12425.945465444</v>
      </c>
      <c r="D38" s="9">
        <f t="shared" si="1"/>
        <v>4581.501722063831</v>
      </c>
      <c r="E38" s="9">
        <f t="shared" si="1"/>
        <v>17007.447187507834</v>
      </c>
      <c r="F38" s="10">
        <v>1086.2477051999999</v>
      </c>
      <c r="G38" s="10">
        <v>-130.4</v>
      </c>
      <c r="H38" s="10">
        <f t="shared" si="2"/>
        <v>955.84770519999995</v>
      </c>
      <c r="I38" s="10">
        <v>925.51955729999997</v>
      </c>
      <c r="J38" s="10">
        <v>-130.4</v>
      </c>
      <c r="K38" s="10">
        <f t="shared" si="3"/>
        <v>795.1195573</v>
      </c>
      <c r="L38" s="10">
        <v>1052.8042716</v>
      </c>
      <c r="M38" s="10">
        <v>1862.4837988543259</v>
      </c>
      <c r="N38" s="10">
        <f t="shared" si="4"/>
        <v>2915.2880704543259</v>
      </c>
      <c r="O38" s="10">
        <v>1116.1659775000001</v>
      </c>
      <c r="P38" s="10">
        <v>0</v>
      </c>
      <c r="Q38" s="10">
        <f t="shared" si="5"/>
        <v>1116.1659775000001</v>
      </c>
      <c r="R38" s="10">
        <v>1145.768339445</v>
      </c>
      <c r="S38" s="10">
        <v>447</v>
      </c>
      <c r="T38" s="10">
        <f t="shared" si="6"/>
        <v>1592.768339445</v>
      </c>
      <c r="U38" s="10">
        <v>1037.7778510000001</v>
      </c>
      <c r="V38" s="10">
        <v>0</v>
      </c>
      <c r="W38" s="10">
        <f t="shared" si="7"/>
        <v>1037.7778510000001</v>
      </c>
      <c r="X38" s="10">
        <v>996.60695169999997</v>
      </c>
      <c r="Y38" s="10">
        <v>1117.4196720041939</v>
      </c>
      <c r="Z38" s="10">
        <f t="shared" si="8"/>
        <v>2114.0266237041938</v>
      </c>
      <c r="AA38" s="10">
        <v>1043.2862153999999</v>
      </c>
      <c r="AB38" s="10">
        <v>0</v>
      </c>
      <c r="AC38" s="10">
        <f t="shared" si="9"/>
        <v>1043.2862153999999</v>
      </c>
      <c r="AD38" s="11">
        <v>992.69307149999997</v>
      </c>
      <c r="AE38" s="10">
        <v>670.45180320251632</v>
      </c>
      <c r="AF38" s="10">
        <f t="shared" si="10"/>
        <v>1663.1448747025163</v>
      </c>
      <c r="AG38" s="10">
        <v>1047.3721694000001</v>
      </c>
      <c r="AH38" s="10">
        <v>0</v>
      </c>
      <c r="AI38" s="10">
        <f t="shared" si="11"/>
        <v>1047.3721694000001</v>
      </c>
      <c r="AJ38" s="10">
        <v>966.41225369899996</v>
      </c>
      <c r="AK38" s="10">
        <v>0</v>
      </c>
      <c r="AL38" s="10">
        <f t="shared" si="12"/>
        <v>966.41225369899996</v>
      </c>
      <c r="AM38" s="10">
        <v>1015.2911017</v>
      </c>
      <c r="AN38" s="10">
        <v>744.94644800279582</v>
      </c>
      <c r="AO38" s="10">
        <f t="shared" si="13"/>
        <v>1760.2375497027958</v>
      </c>
    </row>
    <row r="39" spans="1:41" x14ac:dyDescent="0.3">
      <c r="A39" s="1">
        <v>34</v>
      </c>
      <c r="B39" s="1" t="s">
        <v>29</v>
      </c>
      <c r="C39" s="9">
        <f t="shared" si="1"/>
        <v>374.12604059799997</v>
      </c>
      <c r="D39" s="9">
        <f t="shared" si="1"/>
        <v>168.03376952729573</v>
      </c>
      <c r="E39" s="9">
        <f t="shared" si="1"/>
        <v>542.15981012529562</v>
      </c>
      <c r="F39" s="10">
        <v>32.120434899999999</v>
      </c>
      <c r="G39" s="10">
        <v>-4.8</v>
      </c>
      <c r="H39" s="10">
        <f t="shared" si="2"/>
        <v>27.320434899999999</v>
      </c>
      <c r="I39" s="10">
        <v>26.073067999999999</v>
      </c>
      <c r="J39" s="10">
        <v>-4.8</v>
      </c>
      <c r="K39" s="10">
        <f t="shared" si="3"/>
        <v>21.273067999999999</v>
      </c>
      <c r="L39" s="10">
        <v>39.4267629</v>
      </c>
      <c r="M39" s="10">
        <v>68.491379233684924</v>
      </c>
      <c r="N39" s="10">
        <f t="shared" si="4"/>
        <v>107.91814213368492</v>
      </c>
      <c r="O39" s="10">
        <v>31.1114672</v>
      </c>
      <c r="P39" s="10">
        <v>0</v>
      </c>
      <c r="Q39" s="10">
        <f t="shared" si="5"/>
        <v>31.1114672</v>
      </c>
      <c r="R39" s="10">
        <v>33.909049829000004</v>
      </c>
      <c r="S39" s="10">
        <v>16</v>
      </c>
      <c r="T39" s="10">
        <f t="shared" si="6"/>
        <v>49.909049829000004</v>
      </c>
      <c r="U39" s="10">
        <v>34.798457399999997</v>
      </c>
      <c r="V39" s="10">
        <v>0</v>
      </c>
      <c r="W39" s="10">
        <f t="shared" si="7"/>
        <v>34.798457399999997</v>
      </c>
      <c r="X39" s="10">
        <v>18.443863799999999</v>
      </c>
      <c r="Y39" s="10">
        <v>41.092231011887115</v>
      </c>
      <c r="Z39" s="10">
        <f t="shared" si="8"/>
        <v>59.536094811887111</v>
      </c>
      <c r="AA39" s="10">
        <v>38.641548899999997</v>
      </c>
      <c r="AB39" s="10">
        <v>0</v>
      </c>
      <c r="AC39" s="10">
        <f t="shared" si="9"/>
        <v>38.641548899999997</v>
      </c>
      <c r="AD39" s="11">
        <v>31.687132500000001</v>
      </c>
      <c r="AE39" s="10">
        <v>24.655338607132272</v>
      </c>
      <c r="AF39" s="10">
        <f t="shared" si="10"/>
        <v>56.342471107132269</v>
      </c>
      <c r="AG39" s="10">
        <v>28.9540267</v>
      </c>
      <c r="AH39" s="10">
        <v>0</v>
      </c>
      <c r="AI39" s="10">
        <f t="shared" si="11"/>
        <v>28.9540267</v>
      </c>
      <c r="AJ39" s="10">
        <v>26.637616369</v>
      </c>
      <c r="AK39" s="10">
        <v>0</v>
      </c>
      <c r="AL39" s="10">
        <f t="shared" si="12"/>
        <v>26.637616369</v>
      </c>
      <c r="AM39" s="10">
        <v>32.322612100000001</v>
      </c>
      <c r="AN39" s="10">
        <v>27.394820674591415</v>
      </c>
      <c r="AO39" s="10">
        <f t="shared" si="13"/>
        <v>59.717432774591416</v>
      </c>
    </row>
    <row r="40" spans="1:41" x14ac:dyDescent="0.3">
      <c r="A40" s="1">
        <v>35</v>
      </c>
      <c r="B40" s="4" t="s">
        <v>42</v>
      </c>
      <c r="C40" s="9">
        <f t="shared" si="1"/>
        <v>177.62315323199999</v>
      </c>
      <c r="D40" s="9">
        <f t="shared" si="1"/>
        <v>15.987717122549281</v>
      </c>
      <c r="E40" s="9">
        <f t="shared" si="1"/>
        <v>193.61087035454929</v>
      </c>
      <c r="F40" s="10">
        <v>16.353559600000001</v>
      </c>
      <c r="G40" s="10">
        <v>-0.5</v>
      </c>
      <c r="H40" s="10">
        <f t="shared" si="2"/>
        <v>15.853559600000001</v>
      </c>
      <c r="I40" s="10">
        <v>12.587619500000001</v>
      </c>
      <c r="J40" s="10">
        <v>-0.5</v>
      </c>
      <c r="K40" s="10">
        <f t="shared" si="3"/>
        <v>12.087619500000001</v>
      </c>
      <c r="L40" s="10">
        <v>14.5082247</v>
      </c>
      <c r="M40" s="10">
        <v>6.3509588391698166</v>
      </c>
      <c r="N40" s="10">
        <f t="shared" si="4"/>
        <v>20.859183539169816</v>
      </c>
      <c r="O40" s="10">
        <v>11.323342999999999</v>
      </c>
      <c r="P40" s="10">
        <v>0</v>
      </c>
      <c r="Q40" s="10">
        <f t="shared" si="5"/>
        <v>11.323342999999999</v>
      </c>
      <c r="R40" s="10">
        <v>13.933164380000001</v>
      </c>
      <c r="S40" s="10">
        <v>2</v>
      </c>
      <c r="T40" s="10">
        <f t="shared" si="6"/>
        <v>15.933164380000001</v>
      </c>
      <c r="U40" s="10">
        <v>10.771842299999999</v>
      </c>
      <c r="V40" s="10">
        <v>0</v>
      </c>
      <c r="W40" s="10">
        <f t="shared" si="7"/>
        <v>10.771842299999999</v>
      </c>
      <c r="X40" s="10">
        <v>14.546164299999999</v>
      </c>
      <c r="Y40" s="10">
        <v>3.8103345367850574</v>
      </c>
      <c r="Z40" s="10">
        <f t="shared" si="8"/>
        <v>18.356498836785057</v>
      </c>
      <c r="AA40" s="10">
        <v>13.3198706</v>
      </c>
      <c r="AB40" s="10">
        <v>0</v>
      </c>
      <c r="AC40" s="10">
        <f t="shared" si="9"/>
        <v>13.3198706</v>
      </c>
      <c r="AD40" s="11">
        <v>12.670973399999999</v>
      </c>
      <c r="AE40" s="10">
        <v>2.286200722071035</v>
      </c>
      <c r="AF40" s="10">
        <f t="shared" si="10"/>
        <v>14.957174122071034</v>
      </c>
      <c r="AG40" s="10">
        <v>17.386079200000001</v>
      </c>
      <c r="AH40" s="10">
        <v>0</v>
      </c>
      <c r="AI40" s="10">
        <f t="shared" si="11"/>
        <v>17.386079200000001</v>
      </c>
      <c r="AJ40" s="10">
        <v>19.164750152</v>
      </c>
      <c r="AK40" s="10">
        <v>0</v>
      </c>
      <c r="AL40" s="10">
        <f t="shared" si="12"/>
        <v>19.164750152</v>
      </c>
      <c r="AM40" s="10">
        <v>21.057562099999998</v>
      </c>
      <c r="AN40" s="10">
        <v>2.5402230245233719</v>
      </c>
      <c r="AO40" s="10">
        <f t="shared" si="13"/>
        <v>23.597785124523369</v>
      </c>
    </row>
    <row r="41" spans="1:41" x14ac:dyDescent="0.3">
      <c r="A41" s="1">
        <v>36</v>
      </c>
      <c r="B41" s="1" t="s">
        <v>30</v>
      </c>
      <c r="C41" s="9">
        <f t="shared" si="1"/>
        <v>10169.036255117002</v>
      </c>
      <c r="D41" s="9">
        <f t="shared" si="1"/>
        <v>2478.058339479086</v>
      </c>
      <c r="E41" s="9">
        <f t="shared" si="1"/>
        <v>12647.09459459609</v>
      </c>
      <c r="F41" s="10">
        <v>786.10694880000005</v>
      </c>
      <c r="G41" s="10">
        <v>-70.5</v>
      </c>
      <c r="H41" s="10">
        <f t="shared" si="2"/>
        <v>715.60694880000005</v>
      </c>
      <c r="I41" s="10">
        <v>825.6715173</v>
      </c>
      <c r="J41" s="10">
        <v>-70.5</v>
      </c>
      <c r="K41" s="10">
        <f t="shared" si="3"/>
        <v>755.1715173</v>
      </c>
      <c r="L41" s="10">
        <v>818.73600469999997</v>
      </c>
      <c r="M41" s="10">
        <v>1007.2647854838367</v>
      </c>
      <c r="N41" s="10">
        <f t="shared" si="4"/>
        <v>1826.0007901838367</v>
      </c>
      <c r="O41" s="10">
        <v>894.09660099999996</v>
      </c>
      <c r="P41" s="10">
        <v>0</v>
      </c>
      <c r="Q41" s="10">
        <f t="shared" si="5"/>
        <v>894.09660099999996</v>
      </c>
      <c r="R41" s="10">
        <v>858.07154240900002</v>
      </c>
      <c r="S41" s="10">
        <v>242</v>
      </c>
      <c r="T41" s="10">
        <f t="shared" si="6"/>
        <v>1100.0715424089999</v>
      </c>
      <c r="U41" s="10">
        <v>868.1562424</v>
      </c>
      <c r="V41" s="10">
        <v>0</v>
      </c>
      <c r="W41" s="10">
        <f t="shared" si="7"/>
        <v>868.1562424</v>
      </c>
      <c r="X41" s="10">
        <v>844.8563795</v>
      </c>
      <c r="Y41" s="10">
        <v>604.32068558613946</v>
      </c>
      <c r="Z41" s="10">
        <f t="shared" si="8"/>
        <v>1449.1770650861395</v>
      </c>
      <c r="AA41" s="10">
        <v>927.38428580000004</v>
      </c>
      <c r="AB41" s="10">
        <v>0</v>
      </c>
      <c r="AC41" s="10">
        <f t="shared" si="9"/>
        <v>927.38428580000004</v>
      </c>
      <c r="AD41" s="11">
        <v>827.16396880000002</v>
      </c>
      <c r="AE41" s="10">
        <v>362.59241135168367</v>
      </c>
      <c r="AF41" s="10">
        <f t="shared" si="10"/>
        <v>1189.7563801516837</v>
      </c>
      <c r="AG41" s="10">
        <v>794.80948520000004</v>
      </c>
      <c r="AH41" s="10">
        <v>0</v>
      </c>
      <c r="AI41" s="10">
        <f t="shared" si="11"/>
        <v>794.80948520000004</v>
      </c>
      <c r="AJ41" s="10">
        <v>934.76418490800017</v>
      </c>
      <c r="AK41" s="10">
        <v>0</v>
      </c>
      <c r="AL41" s="10">
        <f t="shared" si="12"/>
        <v>934.76418490800017</v>
      </c>
      <c r="AM41" s="10">
        <v>789.21909430000005</v>
      </c>
      <c r="AN41" s="10">
        <v>402.88045705742633</v>
      </c>
      <c r="AO41" s="10">
        <f t="shared" si="13"/>
        <v>1192.0995513574264</v>
      </c>
    </row>
    <row r="42" spans="1:41" x14ac:dyDescent="0.3">
      <c r="A42" s="1">
        <v>37</v>
      </c>
      <c r="B42" s="1" t="s">
        <v>31</v>
      </c>
      <c r="C42" s="9">
        <f t="shared" si="1"/>
        <v>9662.5443258099986</v>
      </c>
      <c r="D42" s="9">
        <f t="shared" si="1"/>
        <v>2068.8378660267363</v>
      </c>
      <c r="E42" s="9">
        <f t="shared" si="1"/>
        <v>11731.382191836734</v>
      </c>
      <c r="F42" s="10">
        <v>825.77196509999999</v>
      </c>
      <c r="G42" s="10">
        <v>-58.9</v>
      </c>
      <c r="H42" s="10">
        <f t="shared" si="2"/>
        <v>766.87196510000001</v>
      </c>
      <c r="I42" s="10">
        <v>655.59429620000003</v>
      </c>
      <c r="J42" s="10">
        <v>-58.9</v>
      </c>
      <c r="K42" s="10">
        <f t="shared" si="3"/>
        <v>596.69429620000005</v>
      </c>
      <c r="L42" s="10">
        <v>748.62715349999996</v>
      </c>
      <c r="M42" s="10">
        <v>840.97886921218674</v>
      </c>
      <c r="N42" s="10">
        <f t="shared" si="4"/>
        <v>1589.6060227121866</v>
      </c>
      <c r="O42" s="10">
        <v>836.72319640000001</v>
      </c>
      <c r="P42" s="10">
        <v>0</v>
      </c>
      <c r="Q42" s="10">
        <f t="shared" si="5"/>
        <v>836.72319640000001</v>
      </c>
      <c r="R42" s="10">
        <v>721.91041049</v>
      </c>
      <c r="S42" s="10">
        <v>202</v>
      </c>
      <c r="T42" s="10">
        <f t="shared" si="6"/>
        <v>923.91041049</v>
      </c>
      <c r="U42" s="10">
        <v>807.60157260000005</v>
      </c>
      <c r="V42" s="10">
        <v>0</v>
      </c>
      <c r="W42" s="10">
        <f t="shared" si="7"/>
        <v>807.60157260000005</v>
      </c>
      <c r="X42" s="10">
        <v>773.88608639999995</v>
      </c>
      <c r="Y42" s="10">
        <v>504.55543977112495</v>
      </c>
      <c r="Z42" s="10">
        <f t="shared" si="8"/>
        <v>1278.4415261711249</v>
      </c>
      <c r="AA42" s="10">
        <v>907.34587139999996</v>
      </c>
      <c r="AB42" s="10">
        <v>0</v>
      </c>
      <c r="AC42" s="10">
        <f t="shared" si="9"/>
        <v>907.34587139999996</v>
      </c>
      <c r="AD42" s="11">
        <v>789.94332480000003</v>
      </c>
      <c r="AE42" s="10">
        <v>302.73326386267496</v>
      </c>
      <c r="AF42" s="10">
        <f t="shared" si="10"/>
        <v>1092.6765886626749</v>
      </c>
      <c r="AG42" s="10">
        <v>826.77106920000006</v>
      </c>
      <c r="AH42" s="10">
        <v>0</v>
      </c>
      <c r="AI42" s="10">
        <f t="shared" si="11"/>
        <v>826.77106920000006</v>
      </c>
      <c r="AJ42" s="10">
        <v>944.73972001999994</v>
      </c>
      <c r="AK42" s="10">
        <v>0</v>
      </c>
      <c r="AL42" s="10">
        <f t="shared" si="12"/>
        <v>944.73972001999994</v>
      </c>
      <c r="AM42" s="10">
        <v>823.62965970000005</v>
      </c>
      <c r="AN42" s="10">
        <v>336.37029318074997</v>
      </c>
      <c r="AO42" s="10">
        <f t="shared" si="13"/>
        <v>1159.99995288075</v>
      </c>
    </row>
    <row r="43" spans="1:41" x14ac:dyDescent="0.3">
      <c r="A43" s="1">
        <v>38</v>
      </c>
      <c r="B43" s="1" t="s">
        <v>43</v>
      </c>
      <c r="C43" s="9">
        <f t="shared" si="1"/>
        <v>0</v>
      </c>
      <c r="D43" s="9">
        <f t="shared" si="1"/>
        <v>0</v>
      </c>
      <c r="E43" s="9">
        <f t="shared" si="1"/>
        <v>0</v>
      </c>
      <c r="F43" s="10"/>
      <c r="G43" s="10">
        <v>0</v>
      </c>
      <c r="H43" s="10">
        <f t="shared" si="2"/>
        <v>0</v>
      </c>
      <c r="I43" s="10"/>
      <c r="J43" s="10">
        <v>0</v>
      </c>
      <c r="K43" s="10">
        <f t="shared" si="3"/>
        <v>0</v>
      </c>
      <c r="L43" s="10"/>
      <c r="M43" s="10">
        <v>0</v>
      </c>
      <c r="N43" s="10">
        <f t="shared" si="4"/>
        <v>0</v>
      </c>
      <c r="O43" s="10"/>
      <c r="P43" s="10">
        <v>0</v>
      </c>
      <c r="Q43" s="10">
        <f t="shared" si="5"/>
        <v>0</v>
      </c>
      <c r="R43" s="10"/>
      <c r="S43" s="10">
        <v>0</v>
      </c>
      <c r="T43" s="10">
        <f t="shared" si="6"/>
        <v>0</v>
      </c>
      <c r="U43" s="10"/>
      <c r="V43" s="10">
        <v>0</v>
      </c>
      <c r="W43" s="10">
        <f t="shared" si="7"/>
        <v>0</v>
      </c>
      <c r="X43" s="10"/>
      <c r="Y43" s="10">
        <v>0</v>
      </c>
      <c r="Z43" s="10">
        <f t="shared" si="8"/>
        <v>0</v>
      </c>
      <c r="AA43" s="10"/>
      <c r="AB43" s="10">
        <v>0</v>
      </c>
      <c r="AC43" s="10">
        <f t="shared" si="9"/>
        <v>0</v>
      </c>
      <c r="AD43" s="11"/>
      <c r="AE43" s="10">
        <v>0</v>
      </c>
      <c r="AF43" s="10">
        <f t="shared" si="10"/>
        <v>0</v>
      </c>
      <c r="AG43" s="10"/>
      <c r="AH43" s="10">
        <v>0</v>
      </c>
      <c r="AI43" s="10">
        <f t="shared" si="11"/>
        <v>0</v>
      </c>
      <c r="AJ43" s="10"/>
      <c r="AK43" s="10">
        <v>0</v>
      </c>
      <c r="AL43" s="10">
        <f t="shared" si="12"/>
        <v>0</v>
      </c>
      <c r="AM43" s="10"/>
      <c r="AN43" s="10">
        <v>0</v>
      </c>
      <c r="AO43" s="10">
        <f t="shared" si="13"/>
        <v>0</v>
      </c>
    </row>
    <row r="44" spans="1:41" x14ac:dyDescent="0.3">
      <c r="A44" s="1">
        <v>97</v>
      </c>
      <c r="B44" s="1" t="s">
        <v>32</v>
      </c>
      <c r="C44" s="9">
        <f t="shared" si="1"/>
        <v>0</v>
      </c>
      <c r="D44" s="9">
        <f t="shared" si="1"/>
        <v>0</v>
      </c>
      <c r="E44" s="9">
        <f t="shared" si="1"/>
        <v>0</v>
      </c>
      <c r="F44" s="10"/>
      <c r="G44" s="10">
        <v>0</v>
      </c>
      <c r="H44" s="10">
        <f t="shared" si="2"/>
        <v>0</v>
      </c>
      <c r="I44" s="10"/>
      <c r="J44" s="10">
        <v>0</v>
      </c>
      <c r="K44" s="10">
        <f t="shared" si="3"/>
        <v>0</v>
      </c>
      <c r="L44" s="10"/>
      <c r="M44" s="10">
        <v>0</v>
      </c>
      <c r="N44" s="10">
        <f t="shared" si="4"/>
        <v>0</v>
      </c>
      <c r="O44" s="10"/>
      <c r="P44" s="10">
        <v>0</v>
      </c>
      <c r="Q44" s="10">
        <f t="shared" si="5"/>
        <v>0</v>
      </c>
      <c r="R44" s="10"/>
      <c r="S44" s="10">
        <v>0</v>
      </c>
      <c r="T44" s="10">
        <f t="shared" si="6"/>
        <v>0</v>
      </c>
      <c r="U44" s="11"/>
      <c r="V44" s="10">
        <v>0</v>
      </c>
      <c r="W44" s="10">
        <f t="shared" si="7"/>
        <v>0</v>
      </c>
      <c r="X44" s="10"/>
      <c r="Y44" s="10">
        <v>0</v>
      </c>
      <c r="Z44" s="10">
        <f t="shared" si="8"/>
        <v>0</v>
      </c>
      <c r="AA44" s="10"/>
      <c r="AB44" s="10">
        <v>0</v>
      </c>
      <c r="AC44" s="10">
        <f t="shared" si="9"/>
        <v>0</v>
      </c>
      <c r="AD44" s="10"/>
      <c r="AE44" s="10">
        <v>0</v>
      </c>
      <c r="AF44" s="10">
        <f t="shared" si="10"/>
        <v>0</v>
      </c>
      <c r="AG44" s="10"/>
      <c r="AH44" s="10">
        <v>0</v>
      </c>
      <c r="AI44" s="10">
        <f t="shared" si="11"/>
        <v>0</v>
      </c>
      <c r="AJ44" s="10"/>
      <c r="AK44" s="10">
        <v>0</v>
      </c>
      <c r="AL44" s="10">
        <f t="shared" si="12"/>
        <v>0</v>
      </c>
      <c r="AM44" s="10"/>
      <c r="AN44" s="10">
        <v>0</v>
      </c>
      <c r="AO44" s="10">
        <f t="shared" si="13"/>
        <v>0</v>
      </c>
    </row>
    <row r="45" spans="1:41" x14ac:dyDescent="0.3">
      <c r="A45" s="2"/>
      <c r="B45" s="7" t="s">
        <v>47</v>
      </c>
      <c r="C45" s="12">
        <f>SUM(C7:C44)</f>
        <v>174948.022159115</v>
      </c>
      <c r="D45" s="12">
        <f>SUM(D7:D44)</f>
        <v>61500.000000000015</v>
      </c>
      <c r="E45" s="12">
        <f>SUM(E7:E44)</f>
        <v>236448.02215911503</v>
      </c>
      <c r="F45" s="12">
        <f t="shared" ref="F45:AO45" si="14">SUM(F7:F44)</f>
        <v>14553.299616099997</v>
      </c>
      <c r="G45" s="12">
        <f t="shared" si="14"/>
        <v>-1750.0000000000002</v>
      </c>
      <c r="H45" s="12">
        <f t="shared" si="14"/>
        <v>12803.299616099999</v>
      </c>
      <c r="I45" s="12">
        <f t="shared" si="14"/>
        <v>12329.994550199999</v>
      </c>
      <c r="J45" s="12">
        <f t="shared" si="14"/>
        <v>-1750.0000000000002</v>
      </c>
      <c r="K45" s="12">
        <f t="shared" si="14"/>
        <v>10579.994550199999</v>
      </c>
      <c r="L45" s="12">
        <f t="shared" si="14"/>
        <v>14662.057745999999</v>
      </c>
      <c r="M45" s="12">
        <f t="shared" si="14"/>
        <v>25000.000000000007</v>
      </c>
      <c r="N45" s="12">
        <f t="shared" si="14"/>
        <v>39662.057746000006</v>
      </c>
      <c r="O45" s="12">
        <f t="shared" si="14"/>
        <v>15749.350541</v>
      </c>
      <c r="P45" s="12">
        <f t="shared" si="14"/>
        <v>0</v>
      </c>
      <c r="Q45" s="12">
        <f t="shared" si="14"/>
        <v>15749.350541</v>
      </c>
      <c r="R45" s="12">
        <f t="shared" si="14"/>
        <v>13982.224046066998</v>
      </c>
      <c r="S45" s="12">
        <f t="shared" si="14"/>
        <v>6000</v>
      </c>
      <c r="T45" s="12">
        <f t="shared" si="14"/>
        <v>19982.224046067004</v>
      </c>
      <c r="U45" s="12">
        <f t="shared" si="14"/>
        <v>13954.330193800002</v>
      </c>
      <c r="V45" s="12">
        <f t="shared" si="14"/>
        <v>0</v>
      </c>
      <c r="W45" s="12">
        <f t="shared" si="14"/>
        <v>13954.330193800002</v>
      </c>
      <c r="X45" s="12">
        <f t="shared" si="14"/>
        <v>15107.335205999998</v>
      </c>
      <c r="Y45" s="12">
        <f t="shared" si="14"/>
        <v>15000.000000000002</v>
      </c>
      <c r="Z45" s="12">
        <f t="shared" si="14"/>
        <v>30107.335205999996</v>
      </c>
      <c r="AA45" s="12">
        <f t="shared" si="14"/>
        <v>15704.190173400002</v>
      </c>
      <c r="AB45" s="12">
        <f t="shared" si="14"/>
        <v>0</v>
      </c>
      <c r="AC45" s="12">
        <f t="shared" si="14"/>
        <v>15704.190173400002</v>
      </c>
      <c r="AD45" s="12">
        <f t="shared" si="14"/>
        <v>14792.750019699997</v>
      </c>
      <c r="AE45" s="12">
        <f t="shared" si="14"/>
        <v>9000</v>
      </c>
      <c r="AF45" s="12">
        <f t="shared" si="14"/>
        <v>23792.750019700004</v>
      </c>
      <c r="AG45" s="12">
        <f t="shared" si="14"/>
        <v>14677.050219799996</v>
      </c>
      <c r="AH45" s="12">
        <f t="shared" si="14"/>
        <v>0</v>
      </c>
      <c r="AI45" s="12">
        <f t="shared" si="14"/>
        <v>14677.050219799996</v>
      </c>
      <c r="AJ45" s="12">
        <f t="shared" si="14"/>
        <v>15746.668418248002</v>
      </c>
      <c r="AK45" s="12">
        <f t="shared" si="14"/>
        <v>0</v>
      </c>
      <c r="AL45" s="12">
        <f t="shared" si="14"/>
        <v>15746.668418248002</v>
      </c>
      <c r="AM45" s="12">
        <f t="shared" si="14"/>
        <v>13688.771428800006</v>
      </c>
      <c r="AN45" s="12">
        <f t="shared" si="14"/>
        <v>10000</v>
      </c>
      <c r="AO45" s="12">
        <f t="shared" si="14"/>
        <v>23688.771428800002</v>
      </c>
    </row>
  </sheetData>
  <sortState xmlns:xlrd2="http://schemas.microsoft.com/office/spreadsheetml/2017/richdata2" columnSort="1" ref="F1:AO45">
    <sortCondition ref="F4:AO4"/>
  </sortState>
  <mergeCells count="14">
    <mergeCell ref="A3:B3"/>
    <mergeCell ref="C5:E5"/>
    <mergeCell ref="F5:H5"/>
    <mergeCell ref="I5:K5"/>
    <mergeCell ref="L5:N5"/>
    <mergeCell ref="AD5:AF5"/>
    <mergeCell ref="AG5:AI5"/>
    <mergeCell ref="AJ5:AL5"/>
    <mergeCell ref="AM5:AO5"/>
    <mergeCell ref="O5:Q5"/>
    <mergeCell ref="R5:T5"/>
    <mergeCell ref="U5:W5"/>
    <mergeCell ref="X5:Z5"/>
    <mergeCell ref="AA5:A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settlement_2018_19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Krishan Pal Singh</cp:lastModifiedBy>
  <cp:revision/>
  <dcterms:created xsi:type="dcterms:W3CDTF">2019-11-01T02:37:37Z</dcterms:created>
  <dcterms:modified xsi:type="dcterms:W3CDTF">2024-08-03T02:16:00Z</dcterms:modified>
  <cp:category/>
  <dc:identifier/>
  <cp:contentStatus/>
  <dc:language/>
  <cp:version/>
</cp:coreProperties>
</file>