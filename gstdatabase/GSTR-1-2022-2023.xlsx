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1\"/>
    </mc:Choice>
  </mc:AlternateContent>
  <xr:revisionPtr revIDLastSave="0" documentId="13_ncr:1_{E866D7F8-886B-4F0A-9624-E9750D34BA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2" l="1"/>
  <c r="P48" i="2"/>
  <c r="BI48" i="2" l="1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G48" i="2" l="1"/>
  <c r="BF48" i="2"/>
  <c r="BJ47" i="2"/>
  <c r="BJ46" i="2"/>
  <c r="BJ45" i="2"/>
  <c r="BJ44" i="2"/>
  <c r="BJ43" i="2"/>
  <c r="BJ42" i="2"/>
  <c r="BJ41" i="2"/>
  <c r="BJ40" i="2"/>
  <c r="BJ39" i="2"/>
  <c r="BJ38" i="2"/>
  <c r="BJ37" i="2"/>
  <c r="BJ36" i="2"/>
  <c r="BJ35" i="2"/>
  <c r="BJ33" i="2"/>
  <c r="BJ32" i="2"/>
  <c r="BJ31" i="2"/>
  <c r="BJ30" i="2"/>
  <c r="BJ29" i="2"/>
  <c r="BJ28" i="2"/>
  <c r="BJ27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H48" i="2" l="1"/>
  <c r="BJ48" i="2"/>
  <c r="BE47" i="2"/>
  <c r="BE46" i="2"/>
  <c r="BE45" i="2"/>
  <c r="BE44" i="2"/>
  <c r="BE43" i="2"/>
  <c r="BE42" i="2"/>
  <c r="BE41" i="2"/>
  <c r="BE40" i="2"/>
  <c r="BE39" i="2"/>
  <c r="BE38" i="2"/>
  <c r="BE37" i="2"/>
  <c r="BE36" i="2"/>
  <c r="BE35" i="2"/>
  <c r="BE33" i="2"/>
  <c r="BE32" i="2"/>
  <c r="BE31" i="2"/>
  <c r="BE30" i="2"/>
  <c r="BE29" i="2"/>
  <c r="BE28" i="2"/>
  <c r="BE27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C47" i="2"/>
  <c r="BC46" i="2"/>
  <c r="BC45" i="2"/>
  <c r="BC44" i="2"/>
  <c r="BC43" i="2"/>
  <c r="BC42" i="2"/>
  <c r="BC41" i="2"/>
  <c r="BC40" i="2"/>
  <c r="BC39" i="2"/>
  <c r="BC38" i="2"/>
  <c r="BC37" i="2"/>
  <c r="BC36" i="2"/>
  <c r="BC35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D48" i="2"/>
  <c r="BB48" i="2"/>
  <c r="BA48" i="2"/>
  <c r="BE48" i="2" l="1"/>
  <c r="BC48" i="2"/>
  <c r="AX47" i="2" l="1"/>
  <c r="AX46" i="2"/>
  <c r="AX45" i="2"/>
  <c r="AX44" i="2"/>
  <c r="AX43" i="2"/>
  <c r="AX42" i="2"/>
  <c r="AX41" i="2"/>
  <c r="AX40" i="2"/>
  <c r="AX39" i="2"/>
  <c r="AX38" i="2"/>
  <c r="AX37" i="2"/>
  <c r="AX36" i="2"/>
  <c r="AX35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Y48" i="2"/>
  <c r="AW48" i="2"/>
  <c r="AV48" i="2"/>
  <c r="AZ48" i="2" l="1"/>
  <c r="AX48" i="2"/>
  <c r="AT48" i="2" l="1"/>
  <c r="AR48" i="2"/>
  <c r="AQ48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U10" i="2"/>
  <c r="AS10" i="2"/>
  <c r="AS48" i="2" l="1"/>
  <c r="AU48" i="2"/>
  <c r="AP11" i="2" l="1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10" i="2"/>
  <c r="AP10" i="2"/>
  <c r="AO48" i="2"/>
  <c r="AM48" i="2"/>
  <c r="AL48" i="2"/>
  <c r="AN48" i="2" l="1"/>
  <c r="AP48" i="2"/>
  <c r="AJ48" i="2" l="1"/>
  <c r="AH48" i="2"/>
  <c r="AG48" i="2"/>
  <c r="AE48" i="2"/>
  <c r="AC48" i="2"/>
  <c r="AB48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10" i="2"/>
  <c r="AK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F10" i="2"/>
  <c r="AD10" i="2"/>
  <c r="AI48" i="2" l="1"/>
  <c r="AF48" i="2"/>
  <c r="AK48" i="2"/>
  <c r="AD48" i="2"/>
  <c r="AA47" i="2" l="1"/>
  <c r="AA46" i="2"/>
  <c r="AA45" i="2"/>
  <c r="AA44" i="2"/>
  <c r="AA43" i="2"/>
  <c r="AA42" i="2"/>
  <c r="AA41" i="2"/>
  <c r="AA40" i="2"/>
  <c r="AA39" i="2"/>
  <c r="AA38" i="2"/>
  <c r="AA37" i="2"/>
  <c r="AA36" i="2"/>
  <c r="AA35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AA10" i="2"/>
  <c r="Y10" i="2"/>
  <c r="Z48" i="2" l="1"/>
  <c r="X48" i="2"/>
  <c r="W48" i="2"/>
  <c r="Y48" i="2" l="1"/>
  <c r="AA48" i="2"/>
  <c r="U48" i="2" l="1"/>
  <c r="S48" i="2"/>
  <c r="R48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V10" i="2"/>
  <c r="T10" i="2"/>
  <c r="T48" i="2" l="1"/>
  <c r="V48" i="2"/>
  <c r="N48" i="2" l="1"/>
  <c r="M48" i="2"/>
  <c r="L11" i="2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L10" i="2"/>
  <c r="J10" i="2"/>
  <c r="K48" i="2"/>
  <c r="I48" i="2"/>
  <c r="H48" i="2"/>
  <c r="L48" i="2" l="1"/>
  <c r="J48" i="2"/>
  <c r="D48" i="2"/>
  <c r="F48" i="2"/>
  <c r="E48" i="2" l="1"/>
  <c r="G48" i="2" l="1"/>
  <c r="G11" i="2" l="1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G10" i="2"/>
  <c r="E10" i="2"/>
  <c r="Q22" i="2" l="1"/>
  <c r="Q17" i="2"/>
  <c r="Q13" i="2"/>
  <c r="Q42" i="2"/>
  <c r="Q47" i="2"/>
  <c r="Q21" i="2"/>
  <c r="Q16" i="2"/>
  <c r="Q15" i="2"/>
  <c r="Q35" i="2"/>
  <c r="Q41" i="2"/>
  <c r="Q24" i="2"/>
  <c r="Q36" i="2"/>
  <c r="Q44" i="2"/>
  <c r="Q39" i="2"/>
  <c r="Q30" i="2"/>
  <c r="Q40" i="2"/>
  <c r="Q31" i="2"/>
  <c r="Q19" i="2"/>
  <c r="Q32" i="2"/>
  <c r="Q10" i="2"/>
  <c r="Q26" i="2"/>
  <c r="Q27" i="2"/>
  <c r="Q11" i="2"/>
  <c r="Q20" i="2"/>
  <c r="Q45" i="2"/>
  <c r="Q23" i="2"/>
  <c r="Q25" i="2"/>
  <c r="Q33" i="2"/>
  <c r="Q12" i="2"/>
  <c r="Q37" i="2"/>
  <c r="Q29" i="2"/>
  <c r="Q38" i="2"/>
  <c r="Q46" i="2"/>
  <c r="Q28" i="2"/>
  <c r="Q18" i="2"/>
  <c r="Q43" i="2"/>
  <c r="Q14" i="2"/>
  <c r="Q48" i="2" l="1"/>
  <c r="O48" i="2"/>
</calcChain>
</file>

<file path=xl/sharedStrings.xml><?xml version="1.0" encoding="utf-8"?>
<sst xmlns="http://schemas.openxmlformats.org/spreadsheetml/2006/main" count="151" uniqueCount="50">
  <si>
    <t>STATE WISE RETURN PERIOD WISE GSTR-1 FILING SUMMARY</t>
  </si>
  <si>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</si>
  <si>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</si>
  <si>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</si>
  <si>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</si>
  <si>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</si>
  <si>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</si>
  <si>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</si>
  <si>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</si>
  <si>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</si>
  <si>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</si>
  <si>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</si>
  <si>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</si>
  <si>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</si>
  <si>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</si>
  <si>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</si>
  <si>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</si>
  <si>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</si>
  <si>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</si>
  <si>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</si>
  <si>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</si>
  <si>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</si>
  <si>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</si>
  <si>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</si>
  <si>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</si>
  <si>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</si>
  <si>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</si>
  <si>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</si>
  <si>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</si>
  <si>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</si>
  <si>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</si>
  <si>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</si>
  <si>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</si>
  <si>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</si>
  <si>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</si>
  <si>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</si>
  <si>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</si>
  <si>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</si>
  <si>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</si>
  <si>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</si>
  <si>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</si>
  <si>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Grand Total</t>
  </si>
  <si>
    <t>-</t>
  </si>
  <si>
    <t>FINANCIAL YEAR 2022-2023</t>
  </si>
  <si>
    <t>Chhattisgarh</t>
  </si>
  <si>
    <t>Maharashtra</t>
  </si>
  <si>
    <t>Andaman and Nicobar Islands</t>
  </si>
  <si>
    <t>Gujarat</t>
  </si>
  <si>
    <t>Data Considered upto 31st Jul 2026</t>
  </si>
  <si>
    <t>Filing %age as on 31st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</si>
</sst>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0" fontId="0" fillId="0" borderId="1" xfId="1" applyNumberFormat="1" applyFont="1" applyFill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10" fontId="4" fillId="2" borderId="1" xfId="1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/>
    <xf numFmtId="166" fontId="0" fillId="0" borderId="1" xfId="0" applyNumberFormat="1" applyBorder="1"/>
    <xf numFmtId="166" fontId="0" fillId="0" borderId="1" xfId="7" applyNumberFormat="1" applyFont="1" applyBorder="1"/>
    <xf numFmtId="166" fontId="0" fillId="0" borderId="1" xfId="7" applyNumberFormat="1" applyFont="1" applyFill="1" applyBorder="1"/>
    <xf numFmtId="166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0" xfId="0" applyFont="1" applyFill="1"/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8">
    <cellStyle name="Comma" xfId="7" builtinId="3"/>
    <cellStyle name="Comma 2" xfId="2" xr:uid="{00000000-0005-0000-0000-000001000000}"/>
    <cellStyle name="Comma 2 2" xfId="3" xr:uid="{00000000-0005-0000-0000-000002000000}"/>
    <cellStyle name="Comma 3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8"/>
  <sheetViews>
    <sheetView tabSelected="1" zoomScale="55" zoomScaleNormal="55" workbookViewId="0">
      <selection activeCell="A46" sqref="A46"/>
    </sheetView>
  </sheetViews>
  <sheetFormatPr defaultColWidth="8.77734375" defaultRowHeight="14.4" x14ac:dyDescent="0.3"/>
  <cols>
    <col min="1" max="1" width="11.21875" customWidth="1"/>
    <col min="2" max="2" width="26.77734375" bestFit="1" customWidth="1"/>
    <col min="3" max="62" width="18.77734375" customWidth="1"/>
  </cols>
  <sheetData>
    <row r="1" spans="1:62" ht="15.6" customHeight="1" x14ac:dyDescent="0.3">
      <c r="A1" s="17" t="s">
        <v>0</v>
      </c>
      <c r="B1" s="17"/>
      <c r="C1" s="17"/>
      <c r="D1" s="17"/>
      <c r="E1" s="17"/>
    </row>
    <row r="2" spans="1:62" ht="15.6" x14ac:dyDescent="0.3">
      <c r="A2" s="1"/>
      <c r="B2" s="1"/>
      <c r="C2" s="1"/>
      <c r="D2" s="1"/>
      <c r="E2" s="1"/>
      <c r="F2" s="1"/>
      <c r="G2" s="1"/>
      <c r="H2" s="1"/>
    </row>
    <row r="3" spans="1:62" ht="15.6" x14ac:dyDescent="0.3">
      <c r="A3" s="21" t="s">
        <v>43</v>
      </c>
      <c r="B3" s="21"/>
      <c r="C3" s="1"/>
      <c r="D3" s="1"/>
      <c r="E3" s="1"/>
      <c r="F3" s="1"/>
      <c r="G3" s="1"/>
      <c r="H3" s="1"/>
    </row>
    <row r="4" spans="1:62" ht="15.6" x14ac:dyDescent="0.3">
      <c r="A4" s="1"/>
      <c r="B4" s="1"/>
      <c r="C4" s="1"/>
      <c r="D4" s="1"/>
      <c r="E4" s="1"/>
      <c r="F4" s="1"/>
      <c r="G4" s="1"/>
      <c r="H4" s="1"/>
    </row>
    <row r="5" spans="1:62" ht="15.6" x14ac:dyDescent="0.3">
      <c r="A5" s="17" t="s">
        <v>48</v>
      </c>
      <c r="B5" s="17"/>
      <c r="C5" s="1"/>
      <c r="BF5" s="12"/>
    </row>
    <row r="8" spans="1:62" s="13" customFormat="1" ht="15.6" x14ac:dyDescent="0.3">
      <c r="A8" s="22" t="s">
        <v>1</v>
      </c>
      <c r="B8" s="23" t="s">
        <v>2</v>
      </c>
      <c r="C8" s="18">
        <v>44652</v>
      </c>
      <c r="D8" s="19"/>
      <c r="E8" s="19"/>
      <c r="F8" s="19"/>
      <c r="G8" s="20"/>
      <c r="H8" s="18">
        <v>44682</v>
      </c>
      <c r="I8" s="19"/>
      <c r="J8" s="19"/>
      <c r="K8" s="19"/>
      <c r="L8" s="20"/>
      <c r="M8" s="18">
        <v>44713</v>
      </c>
      <c r="N8" s="19"/>
      <c r="O8" s="19"/>
      <c r="P8" s="19"/>
      <c r="Q8" s="20"/>
      <c r="R8" s="18">
        <v>44743</v>
      </c>
      <c r="S8" s="19"/>
      <c r="T8" s="19"/>
      <c r="U8" s="19"/>
      <c r="V8" s="20"/>
      <c r="W8" s="18">
        <v>44774</v>
      </c>
      <c r="X8" s="19"/>
      <c r="Y8" s="19"/>
      <c r="Z8" s="19"/>
      <c r="AA8" s="20"/>
      <c r="AB8" s="18">
        <v>44805</v>
      </c>
      <c r="AC8" s="19"/>
      <c r="AD8" s="19"/>
      <c r="AE8" s="19"/>
      <c r="AF8" s="20"/>
      <c r="AG8" s="18">
        <v>44835</v>
      </c>
      <c r="AH8" s="19"/>
      <c r="AI8" s="19"/>
      <c r="AJ8" s="19"/>
      <c r="AK8" s="20"/>
      <c r="AL8" s="18">
        <v>44866</v>
      </c>
      <c r="AM8" s="19"/>
      <c r="AN8" s="19"/>
      <c r="AO8" s="19"/>
      <c r="AP8" s="20"/>
      <c r="AQ8" s="18">
        <v>44896</v>
      </c>
      <c r="AR8" s="19"/>
      <c r="AS8" s="19"/>
      <c r="AT8" s="19"/>
      <c r="AU8" s="20"/>
      <c r="AV8" s="18">
        <v>44927</v>
      </c>
      <c r="AW8" s="19"/>
      <c r="AX8" s="19"/>
      <c r="AY8" s="19"/>
      <c r="AZ8" s="20"/>
      <c r="BA8" s="18">
        <v>44958</v>
      </c>
      <c r="BB8" s="19"/>
      <c r="BC8" s="19"/>
      <c r="BD8" s="19"/>
      <c r="BE8" s="20"/>
      <c r="BF8" s="18">
        <v>44986</v>
      </c>
      <c r="BG8" s="19"/>
      <c r="BH8" s="19"/>
      <c r="BI8" s="19"/>
      <c r="BJ8" s="20"/>
    </row>
    <row r="9" spans="1:62" s="13" customFormat="1" ht="46.8" x14ac:dyDescent="0.3">
      <c r="A9" s="22"/>
      <c r="B9" s="23"/>
      <c r="C9" s="14" t="s">
        <v>3</v>
      </c>
      <c r="D9" s="14" t="s">
        <v>4</v>
      </c>
      <c r="E9" s="14" t="s">
        <v>5</v>
      </c>
      <c r="F9" s="14" t="s">
        <v>6</v>
      </c>
      <c r="G9" s="14" t="s">
        <v>49</v>
      </c>
      <c r="H9" s="14" t="s">
        <v>3</v>
      </c>
      <c r="I9" s="14" t="s">
        <v>4</v>
      </c>
      <c r="J9" s="14" t="s">
        <v>5</v>
      </c>
      <c r="K9" s="14" t="s">
        <v>6</v>
      </c>
      <c r="L9" s="14" t="s">
        <v>49</v>
      </c>
      <c r="M9" s="14" t="s">
        <v>3</v>
      </c>
      <c r="N9" s="14" t="s">
        <v>4</v>
      </c>
      <c r="O9" s="14" t="s">
        <v>5</v>
      </c>
      <c r="P9" s="14" t="s">
        <v>6</v>
      </c>
      <c r="Q9" s="14" t="s">
        <v>49</v>
      </c>
      <c r="R9" s="14" t="s">
        <v>3</v>
      </c>
      <c r="S9" s="14" t="s">
        <v>4</v>
      </c>
      <c r="T9" s="14" t="s">
        <v>5</v>
      </c>
      <c r="U9" s="14" t="s">
        <v>6</v>
      </c>
      <c r="V9" s="14" t="s">
        <v>49</v>
      </c>
      <c r="W9" s="14" t="s">
        <v>3</v>
      </c>
      <c r="X9" s="14" t="s">
        <v>4</v>
      </c>
      <c r="Y9" s="14" t="s">
        <v>5</v>
      </c>
      <c r="Z9" s="14" t="s">
        <v>6</v>
      </c>
      <c r="AA9" s="14" t="s">
        <v>49</v>
      </c>
      <c r="AB9" s="14" t="s">
        <v>3</v>
      </c>
      <c r="AC9" s="14" t="s">
        <v>4</v>
      </c>
      <c r="AD9" s="14" t="s">
        <v>5</v>
      </c>
      <c r="AE9" s="14" t="s">
        <v>6</v>
      </c>
      <c r="AF9" s="14" t="s">
        <v>49</v>
      </c>
      <c r="AG9" s="14" t="s">
        <v>3</v>
      </c>
      <c r="AH9" s="14" t="s">
        <v>4</v>
      </c>
      <c r="AI9" s="14" t="s">
        <v>5</v>
      </c>
      <c r="AJ9" s="14" t="s">
        <v>6</v>
      </c>
      <c r="AK9" s="14" t="s">
        <v>49</v>
      </c>
      <c r="AL9" s="14" t="s">
        <v>3</v>
      </c>
      <c r="AM9" s="14" t="s">
        <v>4</v>
      </c>
      <c r="AN9" s="14" t="s">
        <v>5</v>
      </c>
      <c r="AO9" s="14" t="s">
        <v>6</v>
      </c>
      <c r="AP9" s="14" t="s">
        <v>49</v>
      </c>
      <c r="AQ9" s="14" t="s">
        <v>3</v>
      </c>
      <c r="AR9" s="14" t="s">
        <v>4</v>
      </c>
      <c r="AS9" s="14" t="s">
        <v>5</v>
      </c>
      <c r="AT9" s="14" t="s">
        <v>6</v>
      </c>
      <c r="AU9" s="14" t="s">
        <v>49</v>
      </c>
      <c r="AV9" s="14" t="s">
        <v>3</v>
      </c>
      <c r="AW9" s="14" t="s">
        <v>4</v>
      </c>
      <c r="AX9" s="14" t="s">
        <v>5</v>
      </c>
      <c r="AY9" s="14" t="s">
        <v>6</v>
      </c>
      <c r="AZ9" s="14" t="s">
        <v>49</v>
      </c>
      <c r="BA9" s="14" t="s">
        <v>3</v>
      </c>
      <c r="BB9" s="14" t="s">
        <v>4</v>
      </c>
      <c r="BC9" s="14" t="s">
        <v>5</v>
      </c>
      <c r="BD9" s="14" t="s">
        <v>6</v>
      </c>
      <c r="BE9" s="14" t="s">
        <v>49</v>
      </c>
      <c r="BF9" s="14" t="s">
        <v>3</v>
      </c>
      <c r="BG9" s="14" t="s">
        <v>4</v>
      </c>
      <c r="BH9" s="14" t="s">
        <v>5</v>
      </c>
      <c r="BI9" s="14" t="s">
        <v>6</v>
      </c>
      <c r="BJ9" s="14" t="s">
        <v>49</v>
      </c>
    </row>
    <row r="10" spans="1:62" x14ac:dyDescent="0.3">
      <c r="A10" s="15">
        <v>1</v>
      </c>
      <c r="B10" s="2" t="s">
        <v>7</v>
      </c>
      <c r="C10" s="5">
        <v>66338</v>
      </c>
      <c r="D10" s="5">
        <v>24748</v>
      </c>
      <c r="E10" s="3">
        <f>F10-D10</f>
        <v>38324</v>
      </c>
      <c r="F10" s="5">
        <v>63072</v>
      </c>
      <c r="G10" s="4">
        <f>F10/C10</f>
        <v>0.95076728270372934</v>
      </c>
      <c r="H10" s="5">
        <v>68361</v>
      </c>
      <c r="I10" s="5">
        <v>28244</v>
      </c>
      <c r="J10" s="3">
        <f>K10-I10</f>
        <v>36251</v>
      </c>
      <c r="K10" s="5">
        <v>64495</v>
      </c>
      <c r="L10" s="4">
        <f>K10/H10</f>
        <v>0.94344728719591575</v>
      </c>
      <c r="M10" s="9">
        <v>109205</v>
      </c>
      <c r="N10" s="9">
        <v>39438</v>
      </c>
      <c r="O10" s="5">
        <v>101752</v>
      </c>
      <c r="P10" s="5">
        <v>102093</v>
      </c>
      <c r="Q10" s="4">
        <f>P10/M10</f>
        <v>0.93487477679593423</v>
      </c>
      <c r="R10" s="5">
        <v>68216</v>
      </c>
      <c r="S10" s="5">
        <v>28135</v>
      </c>
      <c r="T10" s="3">
        <f>U10-S10</f>
        <v>36273</v>
      </c>
      <c r="U10" s="5">
        <v>64408</v>
      </c>
      <c r="V10" s="4">
        <f>U10/R10</f>
        <v>0.94417731910402247</v>
      </c>
      <c r="W10" s="5">
        <v>69437</v>
      </c>
      <c r="X10" s="5">
        <v>27368</v>
      </c>
      <c r="Y10" s="3">
        <f>Z10-X10</f>
        <v>38322</v>
      </c>
      <c r="Z10" s="5">
        <v>65690</v>
      </c>
      <c r="AA10" s="4">
        <f>Z10/W10</f>
        <v>0.94603741521091056</v>
      </c>
      <c r="AB10" s="5">
        <v>112849</v>
      </c>
      <c r="AC10" s="5">
        <v>42596</v>
      </c>
      <c r="AD10" s="3">
        <f>AE10-AC10</f>
        <v>69974</v>
      </c>
      <c r="AE10" s="5">
        <v>112570</v>
      </c>
      <c r="AF10" s="4">
        <f>AE10/AB10</f>
        <v>0.99752766971794171</v>
      </c>
      <c r="AG10" s="5">
        <v>69494</v>
      </c>
      <c r="AH10" s="5">
        <v>30114</v>
      </c>
      <c r="AI10" s="3">
        <f>AJ10-AH10</f>
        <v>39145</v>
      </c>
      <c r="AJ10" s="5">
        <v>69259</v>
      </c>
      <c r="AK10" s="4">
        <f>AJ10/AG10</f>
        <v>0.99661841310041155</v>
      </c>
      <c r="AL10" s="5">
        <v>70757</v>
      </c>
      <c r="AM10" s="5">
        <v>30500</v>
      </c>
      <c r="AN10" s="3">
        <f>AO10-AM10</f>
        <v>39794</v>
      </c>
      <c r="AO10" s="5">
        <v>70294</v>
      </c>
      <c r="AP10" s="4">
        <f>AO10/AL10</f>
        <v>0.99345647780431623</v>
      </c>
      <c r="AQ10" s="3">
        <v>115882</v>
      </c>
      <c r="AR10" s="3">
        <v>47189</v>
      </c>
      <c r="AS10" s="3">
        <f>AT10-AR10</f>
        <v>67753</v>
      </c>
      <c r="AT10" s="3">
        <v>114942</v>
      </c>
      <c r="AU10" s="4">
        <f>AT10/AQ10</f>
        <v>0.9918883001674117</v>
      </c>
      <c r="AV10" s="5">
        <v>70382</v>
      </c>
      <c r="AW10" s="10">
        <v>31540</v>
      </c>
      <c r="AX10" s="3">
        <f>AY10-AW10</f>
        <v>37838</v>
      </c>
      <c r="AY10" s="5">
        <v>69378</v>
      </c>
      <c r="AZ10" s="4">
        <f>AY10/AV10</f>
        <v>0.9857349890597028</v>
      </c>
      <c r="BA10" s="10">
        <v>70494</v>
      </c>
      <c r="BB10" s="10">
        <v>31658</v>
      </c>
      <c r="BC10" s="3">
        <f>BD10-BB10</f>
        <v>38938</v>
      </c>
      <c r="BD10" s="5">
        <v>70596</v>
      </c>
      <c r="BE10" s="4">
        <f>BD10/BA10</f>
        <v>1.0014469316537578</v>
      </c>
      <c r="BF10" s="10">
        <v>117563</v>
      </c>
      <c r="BG10" s="10">
        <v>43526</v>
      </c>
      <c r="BH10" s="3">
        <f>BI10-BG10</f>
        <v>74257</v>
      </c>
      <c r="BI10" s="5">
        <v>117783</v>
      </c>
      <c r="BJ10" s="4">
        <f>BI10/BF10</f>
        <v>1.0018713370703367</v>
      </c>
    </row>
    <row r="11" spans="1:62" x14ac:dyDescent="0.3">
      <c r="A11" s="15">
        <v>2</v>
      </c>
      <c r="B11" s="2" t="s">
        <v>8</v>
      </c>
      <c r="C11" s="5">
        <v>44324</v>
      </c>
      <c r="D11" s="5">
        <v>24629</v>
      </c>
      <c r="E11" s="3">
        <f t="shared" ref="E11:E47" si="0">F11-D11</f>
        <v>17929</v>
      </c>
      <c r="F11" s="5">
        <v>42558</v>
      </c>
      <c r="G11" s="4">
        <f t="shared" ref="G11:G47" si="1">F11/C11</f>
        <v>0.96015702553921123</v>
      </c>
      <c r="H11" s="5">
        <v>45199</v>
      </c>
      <c r="I11" s="5">
        <v>25766</v>
      </c>
      <c r="J11" s="3">
        <f t="shared" ref="J11:J47" si="2">K11-I11</f>
        <v>17718</v>
      </c>
      <c r="K11" s="5">
        <v>43484</v>
      </c>
      <c r="L11" s="4">
        <f t="shared" ref="L11:L47" si="3">K11/H11</f>
        <v>0.96205668266997058</v>
      </c>
      <c r="M11" s="9">
        <v>98966</v>
      </c>
      <c r="N11" s="9">
        <v>48449</v>
      </c>
      <c r="O11" s="5">
        <v>95308</v>
      </c>
      <c r="P11" s="5">
        <v>95543</v>
      </c>
      <c r="Q11" s="4">
        <f t="shared" ref="Q11:Q47" si="4">P11/M11</f>
        <v>0.96541236384212759</v>
      </c>
      <c r="R11" s="5">
        <v>44504</v>
      </c>
      <c r="S11" s="5">
        <v>25061</v>
      </c>
      <c r="T11" s="3">
        <f t="shared" ref="T11:T47" si="5">U11-S11</f>
        <v>17490</v>
      </c>
      <c r="U11" s="5">
        <v>42551</v>
      </c>
      <c r="V11" s="4">
        <f t="shared" ref="V11:V47" si="6">U11/R11</f>
        <v>0.95611630415243576</v>
      </c>
      <c r="W11" s="5">
        <v>45023</v>
      </c>
      <c r="X11" s="5">
        <v>24266</v>
      </c>
      <c r="Y11" s="3">
        <f t="shared" ref="Y11:Y47" si="7">Z11-X11</f>
        <v>19089</v>
      </c>
      <c r="Z11" s="5">
        <v>43355</v>
      </c>
      <c r="AA11" s="4">
        <f t="shared" ref="AA11:AA47" si="8">Z11/W11</f>
        <v>0.96295226884037044</v>
      </c>
      <c r="AB11" s="5">
        <v>99888</v>
      </c>
      <c r="AC11" s="5">
        <v>48506</v>
      </c>
      <c r="AD11" s="3">
        <f t="shared" ref="AD11:AD47" si="9">AE11-AC11</f>
        <v>49065</v>
      </c>
      <c r="AE11" s="5">
        <v>97571</v>
      </c>
      <c r="AF11" s="4">
        <f t="shared" ref="AF11:AF47" si="10">AE11/AB11</f>
        <v>0.97680402050296333</v>
      </c>
      <c r="AG11" s="5">
        <v>44744</v>
      </c>
      <c r="AH11" s="5">
        <v>26543</v>
      </c>
      <c r="AI11" s="3">
        <f t="shared" ref="AI11:AI47" si="11">AJ11-AH11</f>
        <v>16574</v>
      </c>
      <c r="AJ11" s="5">
        <v>43117</v>
      </c>
      <c r="AK11" s="4">
        <f t="shared" ref="AK11:AK47" si="12">AJ11/AG11</f>
        <v>0.96363758269265154</v>
      </c>
      <c r="AL11" s="5">
        <v>45303</v>
      </c>
      <c r="AM11" s="5">
        <v>26495</v>
      </c>
      <c r="AN11" s="3">
        <f t="shared" ref="AN11:AN47" si="13">AO11-AM11</f>
        <v>17192</v>
      </c>
      <c r="AO11" s="5">
        <v>43687</v>
      </c>
      <c r="AP11" s="4">
        <f t="shared" ref="AP11:AP47" si="14">AO11/AL11</f>
        <v>0.96432907312981475</v>
      </c>
      <c r="AQ11" s="3">
        <v>100769</v>
      </c>
      <c r="AR11" s="3">
        <v>55243</v>
      </c>
      <c r="AS11" s="3">
        <f t="shared" ref="AS11:AS47" si="15">AT11-AR11</f>
        <v>43292</v>
      </c>
      <c r="AT11" s="3">
        <v>98535</v>
      </c>
      <c r="AU11" s="4">
        <f t="shared" ref="AU11:AU47" si="16">AT11/AQ11</f>
        <v>0.97783048358126012</v>
      </c>
      <c r="AV11" s="5">
        <v>46153</v>
      </c>
      <c r="AW11" s="10">
        <v>28505</v>
      </c>
      <c r="AX11" s="3">
        <f t="shared" ref="AX11:AX47" si="17">AY11-AW11</f>
        <v>14955</v>
      </c>
      <c r="AY11" s="5">
        <v>43460</v>
      </c>
      <c r="AZ11" s="4">
        <f t="shared" ref="AZ11:AZ47" si="18">AY11/AV11</f>
        <v>0.94165059692761033</v>
      </c>
      <c r="BA11" s="10">
        <v>44735</v>
      </c>
      <c r="BB11" s="10">
        <v>28272</v>
      </c>
      <c r="BC11" s="3">
        <f t="shared" ref="BC11:BC47" si="19">BD11-BB11</f>
        <v>16372</v>
      </c>
      <c r="BD11" s="5">
        <v>44644</v>
      </c>
      <c r="BE11" s="4">
        <f t="shared" ref="BE11:BE47" si="20">BD11/BA11</f>
        <v>0.99796579859170675</v>
      </c>
      <c r="BF11" s="10">
        <v>99991</v>
      </c>
      <c r="BG11" s="10">
        <v>50993</v>
      </c>
      <c r="BH11" s="3">
        <f t="shared" ref="BH11:BH33" si="21">BI11-BG11</f>
        <v>49947</v>
      </c>
      <c r="BI11" s="5">
        <v>100940</v>
      </c>
      <c r="BJ11" s="4">
        <f t="shared" ref="BJ11:BJ33" si="22">BI11/BF11</f>
        <v>1.0094908541768759</v>
      </c>
    </row>
    <row r="12" spans="1:62" x14ac:dyDescent="0.3">
      <c r="A12" s="15">
        <v>3</v>
      </c>
      <c r="B12" s="2" t="s">
        <v>9</v>
      </c>
      <c r="C12" s="5">
        <v>164856</v>
      </c>
      <c r="D12" s="5">
        <v>119440</v>
      </c>
      <c r="E12" s="3">
        <f t="shared" si="0"/>
        <v>34894</v>
      </c>
      <c r="F12" s="5">
        <v>154334</v>
      </c>
      <c r="G12" s="4">
        <f t="shared" si="1"/>
        <v>0.93617460086378412</v>
      </c>
      <c r="H12" s="5">
        <v>167213</v>
      </c>
      <c r="I12" s="5">
        <v>123782</v>
      </c>
      <c r="J12" s="3">
        <f t="shared" si="2"/>
        <v>33868</v>
      </c>
      <c r="K12" s="5">
        <v>157650</v>
      </c>
      <c r="L12" s="4">
        <f t="shared" si="3"/>
        <v>0.942809470555519</v>
      </c>
      <c r="M12" s="9">
        <v>342449</v>
      </c>
      <c r="N12" s="9">
        <v>237801</v>
      </c>
      <c r="O12" s="5">
        <v>324491</v>
      </c>
      <c r="P12" s="5">
        <v>324815</v>
      </c>
      <c r="Q12" s="4">
        <f t="shared" si="4"/>
        <v>0.94850620092334914</v>
      </c>
      <c r="R12" s="5">
        <v>167538</v>
      </c>
      <c r="S12" s="5">
        <v>120454</v>
      </c>
      <c r="T12" s="3">
        <f t="shared" si="5"/>
        <v>36319</v>
      </c>
      <c r="U12" s="5">
        <v>156773</v>
      </c>
      <c r="V12" s="4">
        <f t="shared" si="6"/>
        <v>0.93574592032852244</v>
      </c>
      <c r="W12" s="5">
        <v>169859</v>
      </c>
      <c r="X12" s="5">
        <v>120880</v>
      </c>
      <c r="Y12" s="3">
        <f t="shared" si="7"/>
        <v>38465</v>
      </c>
      <c r="Z12" s="5">
        <v>159345</v>
      </c>
      <c r="AA12" s="4">
        <f t="shared" si="8"/>
        <v>0.93810160191688396</v>
      </c>
      <c r="AB12" s="5">
        <v>346997</v>
      </c>
      <c r="AC12" s="5">
        <v>237645</v>
      </c>
      <c r="AD12" s="3">
        <f t="shared" si="9"/>
        <v>94423</v>
      </c>
      <c r="AE12" s="5">
        <v>332068</v>
      </c>
      <c r="AF12" s="4">
        <f t="shared" si="10"/>
        <v>0.95697657328449526</v>
      </c>
      <c r="AG12" s="5">
        <v>170493</v>
      </c>
      <c r="AH12" s="5">
        <v>125804</v>
      </c>
      <c r="AI12" s="3">
        <f t="shared" si="11"/>
        <v>34207</v>
      </c>
      <c r="AJ12" s="5">
        <v>160011</v>
      </c>
      <c r="AK12" s="4">
        <f t="shared" si="12"/>
        <v>0.9385194700075663</v>
      </c>
      <c r="AL12" s="5">
        <v>172338</v>
      </c>
      <c r="AM12" s="5">
        <v>126946</v>
      </c>
      <c r="AN12" s="3">
        <f t="shared" si="13"/>
        <v>35485</v>
      </c>
      <c r="AO12" s="5">
        <v>162431</v>
      </c>
      <c r="AP12" s="4">
        <f t="shared" si="14"/>
        <v>0.94251412921120126</v>
      </c>
      <c r="AQ12" s="3">
        <v>350104</v>
      </c>
      <c r="AR12" s="3">
        <v>252859</v>
      </c>
      <c r="AS12" s="3">
        <f t="shared" si="15"/>
        <v>82941</v>
      </c>
      <c r="AT12" s="3">
        <v>335800</v>
      </c>
      <c r="AU12" s="4">
        <f t="shared" si="16"/>
        <v>0.95914356876813744</v>
      </c>
      <c r="AV12" s="5">
        <v>177002</v>
      </c>
      <c r="AW12" s="10">
        <v>132084</v>
      </c>
      <c r="AX12" s="3">
        <f t="shared" si="17"/>
        <v>29970</v>
      </c>
      <c r="AY12" s="5">
        <v>162054</v>
      </c>
      <c r="AZ12" s="4">
        <f t="shared" si="18"/>
        <v>0.91554897684771919</v>
      </c>
      <c r="BA12" s="10">
        <v>166689</v>
      </c>
      <c r="BB12" s="10">
        <v>132649</v>
      </c>
      <c r="BC12" s="3">
        <f t="shared" si="19"/>
        <v>31830</v>
      </c>
      <c r="BD12" s="5">
        <v>164479</v>
      </c>
      <c r="BE12" s="4">
        <f t="shared" si="20"/>
        <v>0.98674177660193529</v>
      </c>
      <c r="BF12" s="10">
        <v>341156</v>
      </c>
      <c r="BG12" s="10">
        <v>246594</v>
      </c>
      <c r="BH12" s="3">
        <f t="shared" si="21"/>
        <v>93925</v>
      </c>
      <c r="BI12" s="5">
        <v>340519</v>
      </c>
      <c r="BJ12" s="4">
        <f t="shared" si="22"/>
        <v>0.99813281900362294</v>
      </c>
    </row>
    <row r="13" spans="1:62" x14ac:dyDescent="0.3">
      <c r="A13" s="15">
        <v>4</v>
      </c>
      <c r="B13" s="2" t="s">
        <v>10</v>
      </c>
      <c r="C13" s="5">
        <v>16166</v>
      </c>
      <c r="D13" s="5">
        <v>12052</v>
      </c>
      <c r="E13" s="3">
        <f t="shared" si="0"/>
        <v>3590</v>
      </c>
      <c r="F13" s="5">
        <v>15642</v>
      </c>
      <c r="G13" s="4">
        <f t="shared" si="1"/>
        <v>0.96758629221823578</v>
      </c>
      <c r="H13" s="5">
        <v>16130</v>
      </c>
      <c r="I13" s="5">
        <v>12358</v>
      </c>
      <c r="J13" s="3">
        <f t="shared" si="2"/>
        <v>3385</v>
      </c>
      <c r="K13" s="5">
        <v>15743</v>
      </c>
      <c r="L13" s="4">
        <f t="shared" si="3"/>
        <v>0.97600743955362679</v>
      </c>
      <c r="M13" s="9">
        <v>27634</v>
      </c>
      <c r="N13" s="9">
        <v>20100</v>
      </c>
      <c r="O13" s="5">
        <v>26944</v>
      </c>
      <c r="P13" s="5">
        <v>26957</v>
      </c>
      <c r="Q13" s="4">
        <f t="shared" si="4"/>
        <v>0.97550119418108128</v>
      </c>
      <c r="R13" s="5">
        <v>16335</v>
      </c>
      <c r="S13" s="5">
        <v>12267</v>
      </c>
      <c r="T13" s="3">
        <f t="shared" si="5"/>
        <v>3582</v>
      </c>
      <c r="U13" s="5">
        <v>15849</v>
      </c>
      <c r="V13" s="4">
        <f t="shared" si="6"/>
        <v>0.97024793388429753</v>
      </c>
      <c r="W13" s="5">
        <v>16429</v>
      </c>
      <c r="X13" s="5">
        <v>12216</v>
      </c>
      <c r="Y13" s="3">
        <f t="shared" si="7"/>
        <v>3797</v>
      </c>
      <c r="Z13" s="5">
        <v>16013</v>
      </c>
      <c r="AA13" s="4">
        <f t="shared" si="8"/>
        <v>0.97467892141944124</v>
      </c>
      <c r="AB13" s="5">
        <v>27947</v>
      </c>
      <c r="AC13" s="5">
        <v>20002</v>
      </c>
      <c r="AD13" s="3">
        <f t="shared" si="9"/>
        <v>7365</v>
      </c>
      <c r="AE13" s="5">
        <v>27367</v>
      </c>
      <c r="AF13" s="4">
        <f t="shared" si="10"/>
        <v>0.97924643074390816</v>
      </c>
      <c r="AG13" s="5">
        <v>16563</v>
      </c>
      <c r="AH13" s="5">
        <v>12788</v>
      </c>
      <c r="AI13" s="3">
        <f t="shared" si="11"/>
        <v>3457</v>
      </c>
      <c r="AJ13" s="5">
        <v>16245</v>
      </c>
      <c r="AK13" s="4">
        <f t="shared" si="12"/>
        <v>0.980800579605144</v>
      </c>
      <c r="AL13" s="5">
        <v>16674</v>
      </c>
      <c r="AM13" s="5">
        <v>12857</v>
      </c>
      <c r="AN13" s="3">
        <f t="shared" si="13"/>
        <v>3428</v>
      </c>
      <c r="AO13" s="5">
        <v>16285</v>
      </c>
      <c r="AP13" s="4">
        <f t="shared" si="14"/>
        <v>0.9766702650833633</v>
      </c>
      <c r="AQ13" s="3">
        <v>28095</v>
      </c>
      <c r="AR13" s="3">
        <v>21353</v>
      </c>
      <c r="AS13" s="3">
        <f t="shared" si="15"/>
        <v>6209</v>
      </c>
      <c r="AT13" s="3">
        <v>27562</v>
      </c>
      <c r="AU13" s="4">
        <f t="shared" si="16"/>
        <v>0.98102865278519313</v>
      </c>
      <c r="AV13" s="5">
        <v>16929</v>
      </c>
      <c r="AW13" s="10">
        <v>13273</v>
      </c>
      <c r="AX13" s="3">
        <f t="shared" si="17"/>
        <v>3050</v>
      </c>
      <c r="AY13" s="5">
        <v>16323</v>
      </c>
      <c r="AZ13" s="4">
        <f t="shared" si="18"/>
        <v>0.9642034378876484</v>
      </c>
      <c r="BA13" s="10">
        <v>16442</v>
      </c>
      <c r="BB13" s="10">
        <v>13263</v>
      </c>
      <c r="BC13" s="3">
        <f t="shared" si="19"/>
        <v>3185</v>
      </c>
      <c r="BD13" s="5">
        <v>16448</v>
      </c>
      <c r="BE13" s="4">
        <f t="shared" si="20"/>
        <v>1.0003649191095974</v>
      </c>
      <c r="BF13" s="10">
        <v>27637</v>
      </c>
      <c r="BG13" s="10">
        <v>20758</v>
      </c>
      <c r="BH13" s="3">
        <f t="shared" si="21"/>
        <v>7031</v>
      </c>
      <c r="BI13" s="5">
        <v>27789</v>
      </c>
      <c r="BJ13" s="4">
        <f t="shared" si="22"/>
        <v>1.0054998733581793</v>
      </c>
    </row>
    <row r="14" spans="1:62" x14ac:dyDescent="0.3">
      <c r="A14" s="15">
        <v>5</v>
      </c>
      <c r="B14" s="2" t="s">
        <v>11</v>
      </c>
      <c r="C14" s="5">
        <v>82800</v>
      </c>
      <c r="D14" s="5">
        <v>42401</v>
      </c>
      <c r="E14" s="3">
        <f t="shared" si="0"/>
        <v>34895</v>
      </c>
      <c r="F14" s="5">
        <v>77296</v>
      </c>
      <c r="G14" s="4">
        <f t="shared" si="1"/>
        <v>0.93352657004830919</v>
      </c>
      <c r="H14" s="5">
        <v>84757</v>
      </c>
      <c r="I14" s="5">
        <v>44611</v>
      </c>
      <c r="J14" s="3">
        <f t="shared" si="2"/>
        <v>34528</v>
      </c>
      <c r="K14" s="5">
        <v>79139</v>
      </c>
      <c r="L14" s="4">
        <f t="shared" si="3"/>
        <v>0.93371638920679123</v>
      </c>
      <c r="M14" s="9">
        <v>154914</v>
      </c>
      <c r="N14" s="9">
        <v>72910</v>
      </c>
      <c r="O14" s="5">
        <v>144482</v>
      </c>
      <c r="P14" s="5">
        <v>145053</v>
      </c>
      <c r="Q14" s="4">
        <f t="shared" si="4"/>
        <v>0.93634532708470508</v>
      </c>
      <c r="R14" s="5">
        <v>85475</v>
      </c>
      <c r="S14" s="5">
        <v>42669</v>
      </c>
      <c r="T14" s="3">
        <f t="shared" si="5"/>
        <v>36060</v>
      </c>
      <c r="U14" s="5">
        <v>78729</v>
      </c>
      <c r="V14" s="4">
        <f t="shared" si="6"/>
        <v>0.92107633811055867</v>
      </c>
      <c r="W14" s="5">
        <v>86445</v>
      </c>
      <c r="X14" s="5">
        <v>43279</v>
      </c>
      <c r="Y14" s="3">
        <f t="shared" si="7"/>
        <v>36741</v>
      </c>
      <c r="Z14" s="5">
        <v>80020</v>
      </c>
      <c r="AA14" s="4">
        <f t="shared" si="8"/>
        <v>0.92567528486320783</v>
      </c>
      <c r="AB14" s="5">
        <v>156524</v>
      </c>
      <c r="AC14" s="5">
        <v>71800</v>
      </c>
      <c r="AD14" s="3">
        <f t="shared" si="9"/>
        <v>77503</v>
      </c>
      <c r="AE14" s="5">
        <v>149303</v>
      </c>
      <c r="AF14" s="4">
        <f t="shared" si="10"/>
        <v>0.95386649970611537</v>
      </c>
      <c r="AG14" s="5">
        <v>86459</v>
      </c>
      <c r="AH14" s="5">
        <v>46668</v>
      </c>
      <c r="AI14" s="3">
        <f t="shared" si="11"/>
        <v>34530</v>
      </c>
      <c r="AJ14" s="5">
        <v>81198</v>
      </c>
      <c r="AK14" s="4">
        <f t="shared" si="12"/>
        <v>0.93915034872020264</v>
      </c>
      <c r="AL14" s="5">
        <v>87786</v>
      </c>
      <c r="AM14" s="5">
        <v>48063</v>
      </c>
      <c r="AN14" s="3">
        <f t="shared" si="13"/>
        <v>34702</v>
      </c>
      <c r="AO14" s="5">
        <v>82765</v>
      </c>
      <c r="AP14" s="4">
        <f t="shared" si="14"/>
        <v>0.94280409176861912</v>
      </c>
      <c r="AQ14" s="3">
        <v>158597</v>
      </c>
      <c r="AR14" s="3">
        <v>81993</v>
      </c>
      <c r="AS14" s="3">
        <f t="shared" si="15"/>
        <v>69826</v>
      </c>
      <c r="AT14" s="3">
        <v>151819</v>
      </c>
      <c r="AU14" s="4">
        <f t="shared" si="16"/>
        <v>0.9572627477190615</v>
      </c>
      <c r="AV14" s="5">
        <v>90863</v>
      </c>
      <c r="AW14" s="10">
        <v>51241</v>
      </c>
      <c r="AX14" s="3">
        <f t="shared" si="17"/>
        <v>32105</v>
      </c>
      <c r="AY14" s="5">
        <v>83346</v>
      </c>
      <c r="AZ14" s="4">
        <f t="shared" si="18"/>
        <v>0.9172710564256078</v>
      </c>
      <c r="BA14" s="10">
        <v>86219</v>
      </c>
      <c r="BB14" s="10">
        <v>49878</v>
      </c>
      <c r="BC14" s="3">
        <f t="shared" si="19"/>
        <v>35292</v>
      </c>
      <c r="BD14" s="5">
        <v>85170</v>
      </c>
      <c r="BE14" s="4">
        <f t="shared" si="20"/>
        <v>0.98783330820352822</v>
      </c>
      <c r="BF14" s="10">
        <v>155639</v>
      </c>
      <c r="BG14" s="10">
        <v>78312</v>
      </c>
      <c r="BH14" s="3">
        <f t="shared" si="21"/>
        <v>76844</v>
      </c>
      <c r="BI14" s="5">
        <v>155156</v>
      </c>
      <c r="BJ14" s="4">
        <f t="shared" si="22"/>
        <v>0.9968966647177121</v>
      </c>
    </row>
    <row r="15" spans="1:62" x14ac:dyDescent="0.3">
      <c r="A15" s="15">
        <v>6</v>
      </c>
      <c r="B15" s="2" t="s">
        <v>12</v>
      </c>
      <c r="C15" s="5">
        <v>272326</v>
      </c>
      <c r="D15" s="5">
        <v>183979</v>
      </c>
      <c r="E15" s="3">
        <f t="shared" si="0"/>
        <v>72842</v>
      </c>
      <c r="F15" s="5">
        <v>256821</v>
      </c>
      <c r="G15" s="4">
        <f t="shared" si="1"/>
        <v>0.94306456232603575</v>
      </c>
      <c r="H15" s="5">
        <v>273855</v>
      </c>
      <c r="I15" s="5">
        <v>191649</v>
      </c>
      <c r="J15" s="3">
        <f t="shared" si="2"/>
        <v>70591</v>
      </c>
      <c r="K15" s="5">
        <v>262240</v>
      </c>
      <c r="L15" s="4">
        <f t="shared" si="3"/>
        <v>0.95758704423873953</v>
      </c>
      <c r="M15" s="9">
        <v>476752</v>
      </c>
      <c r="N15" s="9">
        <v>317689</v>
      </c>
      <c r="O15" s="5">
        <v>456080</v>
      </c>
      <c r="P15" s="5">
        <v>456393</v>
      </c>
      <c r="Q15" s="4">
        <f t="shared" si="4"/>
        <v>0.95729645601906233</v>
      </c>
      <c r="R15" s="5">
        <v>276623</v>
      </c>
      <c r="S15" s="5">
        <v>186686</v>
      </c>
      <c r="T15" s="3">
        <f t="shared" si="5"/>
        <v>75256</v>
      </c>
      <c r="U15" s="5">
        <v>261942</v>
      </c>
      <c r="V15" s="4">
        <f t="shared" si="6"/>
        <v>0.94692776811761858</v>
      </c>
      <c r="W15" s="5">
        <v>279410</v>
      </c>
      <c r="X15" s="5">
        <v>189863</v>
      </c>
      <c r="Y15" s="3">
        <f t="shared" si="7"/>
        <v>76239</v>
      </c>
      <c r="Z15" s="5">
        <v>266102</v>
      </c>
      <c r="AA15" s="4">
        <f t="shared" si="8"/>
        <v>0.95237106760674273</v>
      </c>
      <c r="AB15" s="5">
        <v>484645</v>
      </c>
      <c r="AC15" s="5">
        <v>317030</v>
      </c>
      <c r="AD15" s="3">
        <f t="shared" si="9"/>
        <v>149017</v>
      </c>
      <c r="AE15" s="5">
        <v>466047</v>
      </c>
      <c r="AF15" s="4">
        <f t="shared" si="10"/>
        <v>0.96162551971030341</v>
      </c>
      <c r="AG15" s="5">
        <v>282622</v>
      </c>
      <c r="AH15" s="5">
        <v>198664</v>
      </c>
      <c r="AI15" s="3">
        <f t="shared" si="11"/>
        <v>69866</v>
      </c>
      <c r="AJ15" s="5">
        <v>268530</v>
      </c>
      <c r="AK15" s="4">
        <f t="shared" si="12"/>
        <v>0.95013834733318714</v>
      </c>
      <c r="AL15" s="5">
        <v>285773</v>
      </c>
      <c r="AM15" s="5">
        <v>200637</v>
      </c>
      <c r="AN15" s="3">
        <f t="shared" si="13"/>
        <v>72079</v>
      </c>
      <c r="AO15" s="5">
        <v>272716</v>
      </c>
      <c r="AP15" s="4">
        <f t="shared" si="14"/>
        <v>0.95430988931774519</v>
      </c>
      <c r="AQ15" s="3">
        <v>491220</v>
      </c>
      <c r="AR15" s="3">
        <v>344583</v>
      </c>
      <c r="AS15" s="3">
        <f t="shared" si="15"/>
        <v>128570</v>
      </c>
      <c r="AT15" s="3">
        <v>473153</v>
      </c>
      <c r="AU15" s="4">
        <f t="shared" si="16"/>
        <v>0.96322014575953752</v>
      </c>
      <c r="AV15" s="5">
        <v>292625</v>
      </c>
      <c r="AW15" s="10">
        <v>212910</v>
      </c>
      <c r="AX15" s="3">
        <f t="shared" si="17"/>
        <v>61932</v>
      </c>
      <c r="AY15" s="5">
        <v>274842</v>
      </c>
      <c r="AZ15" s="4">
        <f t="shared" si="18"/>
        <v>0.93922938914993592</v>
      </c>
      <c r="BA15" s="10">
        <v>283148</v>
      </c>
      <c r="BB15" s="10">
        <v>212923</v>
      </c>
      <c r="BC15" s="3">
        <f t="shared" si="19"/>
        <v>67151</v>
      </c>
      <c r="BD15" s="5">
        <v>280074</v>
      </c>
      <c r="BE15" s="4">
        <f t="shared" si="20"/>
        <v>0.98914348679842345</v>
      </c>
      <c r="BF15" s="10">
        <v>485122</v>
      </c>
      <c r="BG15" s="10">
        <v>338079</v>
      </c>
      <c r="BH15" s="3">
        <f t="shared" si="21"/>
        <v>144901</v>
      </c>
      <c r="BI15" s="5">
        <v>482980</v>
      </c>
      <c r="BJ15" s="4">
        <f t="shared" si="22"/>
        <v>0.9955846158285957</v>
      </c>
    </row>
    <row r="16" spans="1:62" x14ac:dyDescent="0.3">
      <c r="A16" s="15">
        <v>7</v>
      </c>
      <c r="B16" s="2" t="s">
        <v>13</v>
      </c>
      <c r="C16" s="5">
        <v>410282</v>
      </c>
      <c r="D16" s="5">
        <v>283884</v>
      </c>
      <c r="E16" s="3">
        <f t="shared" si="0"/>
        <v>106342</v>
      </c>
      <c r="F16" s="5">
        <v>390226</v>
      </c>
      <c r="G16" s="4">
        <f t="shared" si="1"/>
        <v>0.95111654910524956</v>
      </c>
      <c r="H16" s="5">
        <v>416018</v>
      </c>
      <c r="I16" s="5">
        <v>294541</v>
      </c>
      <c r="J16" s="3">
        <f t="shared" si="2"/>
        <v>103648</v>
      </c>
      <c r="K16" s="5">
        <v>398189</v>
      </c>
      <c r="L16" s="4">
        <f t="shared" si="3"/>
        <v>0.95714368128302141</v>
      </c>
      <c r="M16" s="9">
        <v>750813</v>
      </c>
      <c r="N16" s="9">
        <v>525468</v>
      </c>
      <c r="O16" s="5">
        <v>716590</v>
      </c>
      <c r="P16" s="5">
        <v>718017</v>
      </c>
      <c r="Q16" s="4">
        <f t="shared" si="4"/>
        <v>0.95631934982478994</v>
      </c>
      <c r="R16" s="5">
        <v>419109</v>
      </c>
      <c r="S16" s="5">
        <v>287543</v>
      </c>
      <c r="T16" s="3">
        <f t="shared" si="5"/>
        <v>111555</v>
      </c>
      <c r="U16" s="5">
        <v>399098</v>
      </c>
      <c r="V16" s="4">
        <f t="shared" si="6"/>
        <v>0.95225347105406943</v>
      </c>
      <c r="W16" s="5">
        <v>423539</v>
      </c>
      <c r="X16" s="5">
        <v>294840</v>
      </c>
      <c r="Y16" s="3">
        <f t="shared" si="7"/>
        <v>110441</v>
      </c>
      <c r="Z16" s="5">
        <v>405281</v>
      </c>
      <c r="AA16" s="4">
        <f t="shared" si="8"/>
        <v>0.95689180925487383</v>
      </c>
      <c r="AB16" s="5">
        <v>762171</v>
      </c>
      <c r="AC16" s="5">
        <v>528734</v>
      </c>
      <c r="AD16" s="3">
        <f t="shared" si="9"/>
        <v>204102</v>
      </c>
      <c r="AE16" s="5">
        <v>732836</v>
      </c>
      <c r="AF16" s="4">
        <f t="shared" si="10"/>
        <v>0.96151126190841685</v>
      </c>
      <c r="AG16" s="5">
        <v>429452</v>
      </c>
      <c r="AH16" s="5">
        <v>304225</v>
      </c>
      <c r="AI16" s="3">
        <f t="shared" si="11"/>
        <v>106284</v>
      </c>
      <c r="AJ16" s="5">
        <v>410509</v>
      </c>
      <c r="AK16" s="4">
        <f t="shared" si="12"/>
        <v>0.95589029740227083</v>
      </c>
      <c r="AL16" s="5">
        <v>434676</v>
      </c>
      <c r="AM16" s="5">
        <v>306111</v>
      </c>
      <c r="AN16" s="3">
        <f t="shared" si="13"/>
        <v>110278</v>
      </c>
      <c r="AO16" s="5">
        <v>416389</v>
      </c>
      <c r="AP16" s="4">
        <f t="shared" si="14"/>
        <v>0.95792958433407871</v>
      </c>
      <c r="AQ16" s="3">
        <v>772632</v>
      </c>
      <c r="AR16" s="3">
        <v>562644</v>
      </c>
      <c r="AS16" s="3">
        <f t="shared" si="15"/>
        <v>180857</v>
      </c>
      <c r="AT16" s="3">
        <v>743501</v>
      </c>
      <c r="AU16" s="4">
        <f t="shared" si="16"/>
        <v>0.96229641019269196</v>
      </c>
      <c r="AV16" s="5">
        <v>448203</v>
      </c>
      <c r="AW16" s="10">
        <v>320079</v>
      </c>
      <c r="AX16" s="3">
        <f t="shared" si="17"/>
        <v>98415</v>
      </c>
      <c r="AY16" s="5">
        <v>418494</v>
      </c>
      <c r="AZ16" s="4">
        <f t="shared" si="18"/>
        <v>0.93371530311042095</v>
      </c>
      <c r="BA16" s="10">
        <v>429555</v>
      </c>
      <c r="BB16" s="10">
        <v>321274</v>
      </c>
      <c r="BC16" s="3">
        <f t="shared" si="19"/>
        <v>103437</v>
      </c>
      <c r="BD16" s="5">
        <v>424711</v>
      </c>
      <c r="BE16" s="4">
        <f t="shared" si="20"/>
        <v>0.98872321355821724</v>
      </c>
      <c r="BF16" s="10">
        <v>753579</v>
      </c>
      <c r="BG16" s="10">
        <v>556084</v>
      </c>
      <c r="BH16" s="3">
        <f t="shared" si="21"/>
        <v>197259</v>
      </c>
      <c r="BI16" s="5">
        <v>753343</v>
      </c>
      <c r="BJ16" s="4">
        <f t="shared" si="22"/>
        <v>0.99968682779111417</v>
      </c>
    </row>
    <row r="17" spans="1:62" x14ac:dyDescent="0.3">
      <c r="A17" s="15">
        <v>8</v>
      </c>
      <c r="B17" s="2" t="s">
        <v>14</v>
      </c>
      <c r="C17" s="5">
        <v>282871</v>
      </c>
      <c r="D17" s="5">
        <v>175978</v>
      </c>
      <c r="E17" s="3">
        <f t="shared" si="0"/>
        <v>97183</v>
      </c>
      <c r="F17" s="5">
        <v>273161</v>
      </c>
      <c r="G17" s="4">
        <f t="shared" si="1"/>
        <v>0.96567339882844128</v>
      </c>
      <c r="H17" s="5">
        <v>290053</v>
      </c>
      <c r="I17" s="5">
        <v>192291</v>
      </c>
      <c r="J17" s="3">
        <f t="shared" si="2"/>
        <v>89063</v>
      </c>
      <c r="K17" s="5">
        <v>281354</v>
      </c>
      <c r="L17" s="4">
        <f t="shared" si="3"/>
        <v>0.97000892940255745</v>
      </c>
      <c r="M17" s="9">
        <v>666005</v>
      </c>
      <c r="N17" s="9">
        <v>389043</v>
      </c>
      <c r="O17" s="5">
        <v>640256</v>
      </c>
      <c r="P17" s="5">
        <v>641517</v>
      </c>
      <c r="Q17" s="4">
        <f t="shared" si="4"/>
        <v>0.9632315072709664</v>
      </c>
      <c r="R17" s="5">
        <v>287981</v>
      </c>
      <c r="S17" s="5">
        <v>180272</v>
      </c>
      <c r="T17" s="3">
        <f t="shared" si="5"/>
        <v>96352</v>
      </c>
      <c r="U17" s="5">
        <v>276624</v>
      </c>
      <c r="V17" s="4">
        <f t="shared" si="6"/>
        <v>0.96056337050013718</v>
      </c>
      <c r="W17" s="5">
        <v>293004</v>
      </c>
      <c r="X17" s="5">
        <v>184266</v>
      </c>
      <c r="Y17" s="3">
        <f t="shared" si="7"/>
        <v>99064</v>
      </c>
      <c r="Z17" s="5">
        <v>283330</v>
      </c>
      <c r="AA17" s="4">
        <f t="shared" si="8"/>
        <v>0.96698338589234278</v>
      </c>
      <c r="AB17" s="5">
        <v>677720</v>
      </c>
      <c r="AC17" s="5">
        <v>396635</v>
      </c>
      <c r="AD17" s="3">
        <f t="shared" si="9"/>
        <v>263400</v>
      </c>
      <c r="AE17" s="5">
        <v>660035</v>
      </c>
      <c r="AF17" s="4">
        <f t="shared" si="10"/>
        <v>0.97390515257038301</v>
      </c>
      <c r="AG17" s="5">
        <v>295677</v>
      </c>
      <c r="AH17" s="5">
        <v>199451</v>
      </c>
      <c r="AI17" s="3">
        <f t="shared" si="11"/>
        <v>86968</v>
      </c>
      <c r="AJ17" s="5">
        <v>286419</v>
      </c>
      <c r="AK17" s="4">
        <f t="shared" si="12"/>
        <v>0.96868880568999283</v>
      </c>
      <c r="AL17" s="5">
        <v>303084</v>
      </c>
      <c r="AM17" s="5">
        <v>205357</v>
      </c>
      <c r="AN17" s="3">
        <f t="shared" si="13"/>
        <v>89246</v>
      </c>
      <c r="AO17" s="5">
        <v>294603</v>
      </c>
      <c r="AP17" s="4">
        <f t="shared" si="14"/>
        <v>0.97201765847091892</v>
      </c>
      <c r="AQ17" s="3">
        <v>690105</v>
      </c>
      <c r="AR17" s="3">
        <v>455881</v>
      </c>
      <c r="AS17" s="3">
        <f t="shared" si="15"/>
        <v>218613</v>
      </c>
      <c r="AT17" s="3">
        <v>674494</v>
      </c>
      <c r="AU17" s="4">
        <f t="shared" si="16"/>
        <v>0.97737880467465099</v>
      </c>
      <c r="AV17" s="5">
        <v>311697</v>
      </c>
      <c r="AW17" s="10">
        <v>218018</v>
      </c>
      <c r="AX17" s="3">
        <f t="shared" si="17"/>
        <v>74905</v>
      </c>
      <c r="AY17" s="5">
        <v>292923</v>
      </c>
      <c r="AZ17" s="4">
        <f t="shared" si="18"/>
        <v>0.93976842895504287</v>
      </c>
      <c r="BA17" s="10">
        <v>307540</v>
      </c>
      <c r="BB17" s="10">
        <v>218968</v>
      </c>
      <c r="BC17" s="3">
        <f t="shared" si="19"/>
        <v>81880</v>
      </c>
      <c r="BD17" s="5">
        <v>300848</v>
      </c>
      <c r="BE17" s="4">
        <f t="shared" si="20"/>
        <v>0.97824022891331208</v>
      </c>
      <c r="BF17" s="10">
        <v>689646</v>
      </c>
      <c r="BG17" s="10">
        <v>431240</v>
      </c>
      <c r="BH17" s="3">
        <f t="shared" si="21"/>
        <v>257525</v>
      </c>
      <c r="BI17" s="5">
        <v>688765</v>
      </c>
      <c r="BJ17" s="4">
        <f t="shared" si="22"/>
        <v>0.99872253300968905</v>
      </c>
    </row>
    <row r="18" spans="1:62" x14ac:dyDescent="0.3">
      <c r="A18" s="15">
        <v>9</v>
      </c>
      <c r="B18" s="2" t="s">
        <v>15</v>
      </c>
      <c r="C18" s="5">
        <v>840499</v>
      </c>
      <c r="D18" s="5">
        <v>406363</v>
      </c>
      <c r="E18" s="3">
        <f t="shared" si="0"/>
        <v>397895</v>
      </c>
      <c r="F18" s="5">
        <v>804258</v>
      </c>
      <c r="G18" s="4">
        <f t="shared" si="1"/>
        <v>0.95688156678354164</v>
      </c>
      <c r="H18" s="5">
        <v>861805</v>
      </c>
      <c r="I18" s="5">
        <v>438117</v>
      </c>
      <c r="J18" s="3">
        <f t="shared" si="2"/>
        <v>381256</v>
      </c>
      <c r="K18" s="5">
        <v>819373</v>
      </c>
      <c r="L18" s="4">
        <f t="shared" si="3"/>
        <v>0.95076380387674708</v>
      </c>
      <c r="M18" s="9">
        <v>1358945</v>
      </c>
      <c r="N18" s="9">
        <v>623338</v>
      </c>
      <c r="O18" s="5">
        <v>1272521</v>
      </c>
      <c r="P18" s="5">
        <v>1276391</v>
      </c>
      <c r="Q18" s="4">
        <f t="shared" si="4"/>
        <v>0.93925140458223111</v>
      </c>
      <c r="R18" s="5">
        <v>869959</v>
      </c>
      <c r="S18" s="5">
        <v>419460</v>
      </c>
      <c r="T18" s="3">
        <f t="shared" si="5"/>
        <v>402931</v>
      </c>
      <c r="U18" s="5">
        <v>822391</v>
      </c>
      <c r="V18" s="4">
        <f t="shared" si="6"/>
        <v>0.94532156113104182</v>
      </c>
      <c r="W18" s="5">
        <v>883450</v>
      </c>
      <c r="X18" s="5">
        <v>425396</v>
      </c>
      <c r="Y18" s="3">
        <f t="shared" si="7"/>
        <v>412772</v>
      </c>
      <c r="Z18" s="5">
        <v>838168</v>
      </c>
      <c r="AA18" s="4">
        <f t="shared" si="8"/>
        <v>0.94874412813401998</v>
      </c>
      <c r="AB18" s="5">
        <v>1397129</v>
      </c>
      <c r="AC18" s="5">
        <v>622995</v>
      </c>
      <c r="AD18" s="3">
        <f t="shared" si="9"/>
        <v>718472</v>
      </c>
      <c r="AE18" s="5">
        <v>1341467</v>
      </c>
      <c r="AF18" s="4">
        <f t="shared" si="10"/>
        <v>0.9601597275555801</v>
      </c>
      <c r="AG18" s="5">
        <v>899515</v>
      </c>
      <c r="AH18" s="5">
        <v>463399</v>
      </c>
      <c r="AI18" s="3">
        <f t="shared" si="11"/>
        <v>400340</v>
      </c>
      <c r="AJ18" s="5">
        <v>863739</v>
      </c>
      <c r="AK18" s="4">
        <f t="shared" si="12"/>
        <v>0.96022745590679426</v>
      </c>
      <c r="AL18" s="5">
        <v>914748</v>
      </c>
      <c r="AM18" s="5">
        <v>481977</v>
      </c>
      <c r="AN18" s="3">
        <f t="shared" si="13"/>
        <v>398143</v>
      </c>
      <c r="AO18" s="5">
        <v>880120</v>
      </c>
      <c r="AP18" s="4">
        <f t="shared" si="14"/>
        <v>0.96214476555291728</v>
      </c>
      <c r="AQ18" s="3">
        <v>1436617</v>
      </c>
      <c r="AR18" s="3">
        <v>722739</v>
      </c>
      <c r="AS18" s="3">
        <f t="shared" si="15"/>
        <v>655878</v>
      </c>
      <c r="AT18" s="3">
        <v>1378617</v>
      </c>
      <c r="AU18" s="4">
        <f t="shared" si="16"/>
        <v>0.9596273745890519</v>
      </c>
      <c r="AV18" s="5">
        <v>954168</v>
      </c>
      <c r="AW18" s="10">
        <v>507094</v>
      </c>
      <c r="AX18" s="3">
        <f t="shared" si="17"/>
        <v>385912</v>
      </c>
      <c r="AY18" s="5">
        <v>893006</v>
      </c>
      <c r="AZ18" s="4">
        <f t="shared" si="18"/>
        <v>0.93590017690804972</v>
      </c>
      <c r="BA18" s="10">
        <v>922519</v>
      </c>
      <c r="BB18" s="10">
        <v>481700</v>
      </c>
      <c r="BC18" s="3">
        <f t="shared" si="19"/>
        <v>429140</v>
      </c>
      <c r="BD18" s="5">
        <v>910840</v>
      </c>
      <c r="BE18" s="4">
        <f t="shared" si="20"/>
        <v>0.98734009814432011</v>
      </c>
      <c r="BF18" s="10">
        <v>1428140</v>
      </c>
      <c r="BG18" s="10">
        <v>691983</v>
      </c>
      <c r="BH18" s="3">
        <f t="shared" si="21"/>
        <v>725135</v>
      </c>
      <c r="BI18" s="5">
        <v>1417118</v>
      </c>
      <c r="BJ18" s="4">
        <f t="shared" si="22"/>
        <v>0.99228226924531204</v>
      </c>
    </row>
    <row r="19" spans="1:62" x14ac:dyDescent="0.3">
      <c r="A19" s="16">
        <v>10</v>
      </c>
      <c r="B19" s="2" t="s">
        <v>16</v>
      </c>
      <c r="C19" s="5">
        <v>276452</v>
      </c>
      <c r="D19" s="5">
        <v>73601</v>
      </c>
      <c r="E19" s="3">
        <f t="shared" si="0"/>
        <v>162687</v>
      </c>
      <c r="F19" s="5">
        <v>236288</v>
      </c>
      <c r="G19" s="4">
        <f t="shared" si="1"/>
        <v>0.85471618942890626</v>
      </c>
      <c r="H19" s="5">
        <v>280982</v>
      </c>
      <c r="I19" s="5">
        <v>80283</v>
      </c>
      <c r="J19" s="3">
        <f t="shared" si="2"/>
        <v>160634</v>
      </c>
      <c r="K19" s="5">
        <v>240917</v>
      </c>
      <c r="L19" s="4">
        <f t="shared" si="3"/>
        <v>0.85741079499754436</v>
      </c>
      <c r="M19" s="9">
        <v>470659</v>
      </c>
      <c r="N19" s="9">
        <v>127287</v>
      </c>
      <c r="O19" s="5">
        <v>406179</v>
      </c>
      <c r="P19" s="5">
        <v>408681</v>
      </c>
      <c r="Q19" s="4">
        <f t="shared" si="4"/>
        <v>0.86831655189850832</v>
      </c>
      <c r="R19" s="5">
        <v>282327</v>
      </c>
      <c r="S19" s="5">
        <v>76638</v>
      </c>
      <c r="T19" s="3">
        <f t="shared" si="5"/>
        <v>164079</v>
      </c>
      <c r="U19" s="5">
        <v>240717</v>
      </c>
      <c r="V19" s="4">
        <f t="shared" si="6"/>
        <v>0.8526177092520375</v>
      </c>
      <c r="W19" s="5">
        <v>286093</v>
      </c>
      <c r="X19" s="5">
        <v>78473</v>
      </c>
      <c r="Y19" s="3">
        <f t="shared" si="7"/>
        <v>167500</v>
      </c>
      <c r="Z19" s="5">
        <v>245973</v>
      </c>
      <c r="AA19" s="4">
        <f t="shared" si="8"/>
        <v>0.8597658803256284</v>
      </c>
      <c r="AB19" s="5">
        <v>481143</v>
      </c>
      <c r="AC19" s="5">
        <v>119435</v>
      </c>
      <c r="AD19" s="3">
        <f t="shared" si="9"/>
        <v>316666</v>
      </c>
      <c r="AE19" s="5">
        <v>436101</v>
      </c>
      <c r="AF19" s="4">
        <f t="shared" si="10"/>
        <v>0.90638541971929343</v>
      </c>
      <c r="AG19" s="5">
        <v>287213</v>
      </c>
      <c r="AH19" s="5">
        <v>89450</v>
      </c>
      <c r="AI19" s="3">
        <f t="shared" si="11"/>
        <v>164986</v>
      </c>
      <c r="AJ19" s="5">
        <v>254436</v>
      </c>
      <c r="AK19" s="4">
        <f t="shared" si="12"/>
        <v>0.8858791210704251</v>
      </c>
      <c r="AL19" s="5">
        <v>292666</v>
      </c>
      <c r="AM19" s="5">
        <v>100596</v>
      </c>
      <c r="AN19" s="3">
        <f t="shared" si="13"/>
        <v>159545</v>
      </c>
      <c r="AO19" s="5">
        <v>260141</v>
      </c>
      <c r="AP19" s="4">
        <f t="shared" si="14"/>
        <v>0.88886648944530622</v>
      </c>
      <c r="AQ19" s="3">
        <v>495564</v>
      </c>
      <c r="AR19" s="3">
        <v>157360</v>
      </c>
      <c r="AS19" s="3">
        <f t="shared" si="15"/>
        <v>290915</v>
      </c>
      <c r="AT19" s="3">
        <v>448275</v>
      </c>
      <c r="AU19" s="4">
        <f t="shared" si="16"/>
        <v>0.90457539288568178</v>
      </c>
      <c r="AV19" s="5">
        <v>310298</v>
      </c>
      <c r="AW19" s="10">
        <v>101099</v>
      </c>
      <c r="AX19" s="3">
        <f t="shared" si="17"/>
        <v>162875</v>
      </c>
      <c r="AY19" s="5">
        <v>263974</v>
      </c>
      <c r="AZ19" s="4">
        <f t="shared" si="18"/>
        <v>0.85071125176443285</v>
      </c>
      <c r="BA19" s="10">
        <v>280202</v>
      </c>
      <c r="BB19" s="10">
        <v>90069</v>
      </c>
      <c r="BC19" s="3">
        <f t="shared" si="19"/>
        <v>182673</v>
      </c>
      <c r="BD19" s="5">
        <v>272742</v>
      </c>
      <c r="BE19" s="4">
        <f t="shared" si="20"/>
        <v>0.97337634991898703</v>
      </c>
      <c r="BF19" s="10">
        <v>473091</v>
      </c>
      <c r="BG19" s="10">
        <v>137064</v>
      </c>
      <c r="BH19" s="3">
        <f t="shared" si="21"/>
        <v>327694</v>
      </c>
      <c r="BI19" s="5">
        <v>464758</v>
      </c>
      <c r="BJ19" s="4">
        <f t="shared" si="22"/>
        <v>0.98238605257762246</v>
      </c>
    </row>
    <row r="20" spans="1:62" x14ac:dyDescent="0.3">
      <c r="A20" s="16">
        <v>11</v>
      </c>
      <c r="B20" s="2" t="s">
        <v>17</v>
      </c>
      <c r="C20" s="5">
        <v>6036</v>
      </c>
      <c r="D20" s="5">
        <v>1954</v>
      </c>
      <c r="E20" s="3">
        <f t="shared" si="0"/>
        <v>3109</v>
      </c>
      <c r="F20" s="5">
        <v>5063</v>
      </c>
      <c r="G20" s="4">
        <f t="shared" si="1"/>
        <v>0.83880053015241884</v>
      </c>
      <c r="H20" s="5">
        <v>6124</v>
      </c>
      <c r="I20" s="5">
        <v>2101</v>
      </c>
      <c r="J20" s="3">
        <f t="shared" si="2"/>
        <v>3028</v>
      </c>
      <c r="K20" s="5">
        <v>5129</v>
      </c>
      <c r="L20" s="4">
        <f t="shared" si="3"/>
        <v>0.83752449379490534</v>
      </c>
      <c r="M20" s="9">
        <v>9262</v>
      </c>
      <c r="N20" s="9">
        <v>3113</v>
      </c>
      <c r="O20" s="5">
        <v>7959</v>
      </c>
      <c r="P20" s="5">
        <v>8086</v>
      </c>
      <c r="Q20" s="4">
        <f t="shared" si="4"/>
        <v>0.87302958324336</v>
      </c>
      <c r="R20" s="5">
        <v>6202</v>
      </c>
      <c r="S20" s="5">
        <v>2137</v>
      </c>
      <c r="T20" s="3">
        <f t="shared" si="5"/>
        <v>3063</v>
      </c>
      <c r="U20" s="5">
        <v>5200</v>
      </c>
      <c r="V20" s="4">
        <f t="shared" si="6"/>
        <v>0.83843921315704606</v>
      </c>
      <c r="W20" s="5">
        <v>6226</v>
      </c>
      <c r="X20" s="5">
        <v>2111</v>
      </c>
      <c r="Y20" s="3">
        <f t="shared" si="7"/>
        <v>3159</v>
      </c>
      <c r="Z20" s="5">
        <v>5270</v>
      </c>
      <c r="AA20" s="4">
        <f t="shared" si="8"/>
        <v>0.84645036941856733</v>
      </c>
      <c r="AB20" s="5">
        <v>9386</v>
      </c>
      <c r="AC20" s="5">
        <v>2579</v>
      </c>
      <c r="AD20" s="3">
        <f t="shared" si="9"/>
        <v>5863</v>
      </c>
      <c r="AE20" s="5">
        <v>8442</v>
      </c>
      <c r="AF20" s="4">
        <f t="shared" si="10"/>
        <v>0.89942467504794377</v>
      </c>
      <c r="AG20" s="5">
        <v>6315</v>
      </c>
      <c r="AH20" s="5">
        <v>2218</v>
      </c>
      <c r="AI20" s="3">
        <f t="shared" si="11"/>
        <v>3233</v>
      </c>
      <c r="AJ20" s="5">
        <v>5451</v>
      </c>
      <c r="AK20" s="4">
        <f t="shared" si="12"/>
        <v>0.86318289786223279</v>
      </c>
      <c r="AL20" s="5">
        <v>6446</v>
      </c>
      <c r="AM20" s="5">
        <v>2295</v>
      </c>
      <c r="AN20" s="3">
        <f t="shared" si="13"/>
        <v>3254</v>
      </c>
      <c r="AO20" s="5">
        <v>5549</v>
      </c>
      <c r="AP20" s="4">
        <f t="shared" si="14"/>
        <v>0.86084393422277383</v>
      </c>
      <c r="AQ20" s="3">
        <v>9604</v>
      </c>
      <c r="AR20" s="3">
        <v>3329</v>
      </c>
      <c r="AS20" s="3">
        <f t="shared" si="15"/>
        <v>5300</v>
      </c>
      <c r="AT20" s="3">
        <v>8629</v>
      </c>
      <c r="AU20" s="4">
        <f t="shared" si="16"/>
        <v>0.89847980008329864</v>
      </c>
      <c r="AV20" s="5">
        <v>6642</v>
      </c>
      <c r="AW20" s="10">
        <v>2488</v>
      </c>
      <c r="AX20" s="3">
        <f t="shared" si="17"/>
        <v>3120</v>
      </c>
      <c r="AY20" s="5">
        <v>5608</v>
      </c>
      <c r="AZ20" s="4">
        <f t="shared" si="18"/>
        <v>0.84432399879554354</v>
      </c>
      <c r="BA20" s="10">
        <v>5628</v>
      </c>
      <c r="BB20" s="10">
        <v>2393</v>
      </c>
      <c r="BC20" s="3">
        <f t="shared" si="19"/>
        <v>3330</v>
      </c>
      <c r="BD20" s="5">
        <v>5723</v>
      </c>
      <c r="BE20" s="4">
        <f t="shared" si="20"/>
        <v>1.0168798862828714</v>
      </c>
      <c r="BF20" s="10">
        <v>8802</v>
      </c>
      <c r="BG20" s="10">
        <v>3188</v>
      </c>
      <c r="BH20" s="3">
        <f t="shared" si="21"/>
        <v>5784</v>
      </c>
      <c r="BI20" s="5">
        <v>8972</v>
      </c>
      <c r="BJ20" s="4">
        <f t="shared" si="22"/>
        <v>1.0193137923199274</v>
      </c>
    </row>
    <row r="21" spans="1:62" x14ac:dyDescent="0.3">
      <c r="A21" s="16">
        <v>12</v>
      </c>
      <c r="B21" s="2" t="s">
        <v>18</v>
      </c>
      <c r="C21" s="5">
        <v>10617</v>
      </c>
      <c r="D21" s="5">
        <v>2235</v>
      </c>
      <c r="E21" s="3">
        <f t="shared" si="0"/>
        <v>6075</v>
      </c>
      <c r="F21" s="5">
        <v>8310</v>
      </c>
      <c r="G21" s="4">
        <f t="shared" si="1"/>
        <v>0.78270697937270417</v>
      </c>
      <c r="H21" s="5">
        <v>10811</v>
      </c>
      <c r="I21" s="5">
        <v>2563</v>
      </c>
      <c r="J21" s="3">
        <f t="shared" si="2"/>
        <v>5874</v>
      </c>
      <c r="K21" s="5">
        <v>8437</v>
      </c>
      <c r="L21" s="4">
        <f t="shared" si="3"/>
        <v>0.78040884284525025</v>
      </c>
      <c r="M21" s="9">
        <v>14133</v>
      </c>
      <c r="N21" s="9">
        <v>3211</v>
      </c>
      <c r="O21" s="5">
        <v>11192</v>
      </c>
      <c r="P21" s="5">
        <v>11405</v>
      </c>
      <c r="Q21" s="4">
        <f t="shared" si="4"/>
        <v>0.8069765796363122</v>
      </c>
      <c r="R21" s="5">
        <v>11019</v>
      </c>
      <c r="S21" s="5">
        <v>2542</v>
      </c>
      <c r="T21" s="3">
        <f t="shared" si="5"/>
        <v>6090</v>
      </c>
      <c r="U21" s="5">
        <v>8632</v>
      </c>
      <c r="V21" s="4">
        <f t="shared" si="6"/>
        <v>0.78337417188492608</v>
      </c>
      <c r="W21" s="5">
        <v>11175</v>
      </c>
      <c r="X21" s="5">
        <v>2516</v>
      </c>
      <c r="Y21" s="3">
        <f t="shared" si="7"/>
        <v>6287</v>
      </c>
      <c r="Z21" s="5">
        <v>8803</v>
      </c>
      <c r="AA21" s="4">
        <f t="shared" si="8"/>
        <v>0.7877404921700224</v>
      </c>
      <c r="AB21" s="5">
        <v>14571</v>
      </c>
      <c r="AC21" s="5">
        <v>3117</v>
      </c>
      <c r="AD21" s="3">
        <f t="shared" si="9"/>
        <v>9109</v>
      </c>
      <c r="AE21" s="5">
        <v>12226</v>
      </c>
      <c r="AF21" s="4">
        <f t="shared" si="10"/>
        <v>0.83906389403609916</v>
      </c>
      <c r="AG21" s="5">
        <v>11345</v>
      </c>
      <c r="AH21" s="5">
        <v>2928</v>
      </c>
      <c r="AI21" s="3">
        <f t="shared" si="11"/>
        <v>6299</v>
      </c>
      <c r="AJ21" s="5">
        <v>9227</v>
      </c>
      <c r="AK21" s="4">
        <f t="shared" si="12"/>
        <v>0.8133098281181137</v>
      </c>
      <c r="AL21" s="5">
        <v>11441</v>
      </c>
      <c r="AM21" s="5">
        <v>3192</v>
      </c>
      <c r="AN21" s="3">
        <f t="shared" si="13"/>
        <v>6147</v>
      </c>
      <c r="AO21" s="5">
        <v>9339</v>
      </c>
      <c r="AP21" s="4">
        <f t="shared" si="14"/>
        <v>0.81627480115374529</v>
      </c>
      <c r="AQ21" s="3">
        <v>14790</v>
      </c>
      <c r="AR21" s="3">
        <v>3690</v>
      </c>
      <c r="AS21" s="3">
        <f t="shared" si="15"/>
        <v>8847</v>
      </c>
      <c r="AT21" s="3">
        <v>12537</v>
      </c>
      <c r="AU21" s="4">
        <f t="shared" si="16"/>
        <v>0.84766734279918865</v>
      </c>
      <c r="AV21" s="5">
        <v>11740</v>
      </c>
      <c r="AW21" s="10">
        <v>3145</v>
      </c>
      <c r="AX21" s="3">
        <f t="shared" si="17"/>
        <v>6335</v>
      </c>
      <c r="AY21" s="5">
        <v>9480</v>
      </c>
      <c r="AZ21" s="4">
        <f t="shared" si="18"/>
        <v>0.80749574105621802</v>
      </c>
      <c r="BA21" s="10">
        <v>9242</v>
      </c>
      <c r="BB21" s="10">
        <v>2991</v>
      </c>
      <c r="BC21" s="3">
        <f t="shared" si="19"/>
        <v>6598</v>
      </c>
      <c r="BD21" s="5">
        <v>9589</v>
      </c>
      <c r="BE21" s="4">
        <f t="shared" si="20"/>
        <v>1.0375459857173772</v>
      </c>
      <c r="BF21" s="10">
        <v>12544</v>
      </c>
      <c r="BG21" s="10">
        <v>3191</v>
      </c>
      <c r="BH21" s="3">
        <f t="shared" si="21"/>
        <v>9743</v>
      </c>
      <c r="BI21" s="5">
        <v>12934</v>
      </c>
      <c r="BJ21" s="4">
        <f t="shared" si="22"/>
        <v>1.0310905612244898</v>
      </c>
    </row>
    <row r="22" spans="1:62" x14ac:dyDescent="0.3">
      <c r="A22" s="16">
        <v>13</v>
      </c>
      <c r="B22" s="2" t="s">
        <v>19</v>
      </c>
      <c r="C22" s="5">
        <v>6106</v>
      </c>
      <c r="D22" s="5">
        <v>1754</v>
      </c>
      <c r="E22" s="3">
        <f t="shared" si="0"/>
        <v>3778</v>
      </c>
      <c r="F22" s="5">
        <v>5532</v>
      </c>
      <c r="G22" s="4">
        <f t="shared" si="1"/>
        <v>0.90599410415984283</v>
      </c>
      <c r="H22" s="5">
        <v>6184</v>
      </c>
      <c r="I22" s="5">
        <v>1822</v>
      </c>
      <c r="J22" s="3">
        <f t="shared" si="2"/>
        <v>3785</v>
      </c>
      <c r="K22" s="5">
        <v>5607</v>
      </c>
      <c r="L22" s="4">
        <f t="shared" si="3"/>
        <v>0.90669469598965069</v>
      </c>
      <c r="M22" s="9">
        <v>7446</v>
      </c>
      <c r="N22" s="9">
        <v>2174</v>
      </c>
      <c r="O22" s="5">
        <v>6697</v>
      </c>
      <c r="P22" s="5">
        <v>6766</v>
      </c>
      <c r="Q22" s="4">
        <f t="shared" si="4"/>
        <v>0.908675799086758</v>
      </c>
      <c r="R22" s="5">
        <v>6325</v>
      </c>
      <c r="S22" s="5">
        <v>1820</v>
      </c>
      <c r="T22" s="3">
        <f t="shared" si="5"/>
        <v>3919</v>
      </c>
      <c r="U22" s="5">
        <v>5739</v>
      </c>
      <c r="V22" s="4">
        <f t="shared" si="6"/>
        <v>0.90735177865612648</v>
      </c>
      <c r="W22" s="5">
        <v>6418</v>
      </c>
      <c r="X22" s="5">
        <v>1780</v>
      </c>
      <c r="Y22" s="3">
        <f t="shared" si="7"/>
        <v>4045</v>
      </c>
      <c r="Z22" s="5">
        <v>5825</v>
      </c>
      <c r="AA22" s="4">
        <f t="shared" si="8"/>
        <v>0.90760361483328145</v>
      </c>
      <c r="AB22" s="5">
        <v>7662</v>
      </c>
      <c r="AC22" s="5">
        <v>2081</v>
      </c>
      <c r="AD22" s="3">
        <f t="shared" si="9"/>
        <v>5031</v>
      </c>
      <c r="AE22" s="5">
        <v>7112</v>
      </c>
      <c r="AF22" s="4">
        <f t="shared" si="10"/>
        <v>0.92821717567214823</v>
      </c>
      <c r="AG22" s="5">
        <v>6546</v>
      </c>
      <c r="AH22" s="5">
        <v>1904</v>
      </c>
      <c r="AI22" s="3">
        <f t="shared" si="11"/>
        <v>4115</v>
      </c>
      <c r="AJ22" s="5">
        <v>6019</v>
      </c>
      <c r="AK22" s="4">
        <f t="shared" si="12"/>
        <v>0.91949282004277422</v>
      </c>
      <c r="AL22" s="5">
        <v>6648</v>
      </c>
      <c r="AM22" s="5">
        <v>2258</v>
      </c>
      <c r="AN22" s="3">
        <f t="shared" si="13"/>
        <v>3821</v>
      </c>
      <c r="AO22" s="5">
        <v>6079</v>
      </c>
      <c r="AP22" s="4">
        <f t="shared" si="14"/>
        <v>0.91441034897713602</v>
      </c>
      <c r="AQ22" s="3">
        <v>7880</v>
      </c>
      <c r="AR22" s="3">
        <v>2456</v>
      </c>
      <c r="AS22" s="3">
        <f t="shared" si="15"/>
        <v>4837</v>
      </c>
      <c r="AT22" s="3">
        <v>7293</v>
      </c>
      <c r="AU22" s="4">
        <f t="shared" si="16"/>
        <v>0.92550761421319794</v>
      </c>
      <c r="AV22" s="5">
        <v>6715</v>
      </c>
      <c r="AW22" s="10">
        <v>2183</v>
      </c>
      <c r="AX22" s="3">
        <f t="shared" si="17"/>
        <v>3919</v>
      </c>
      <c r="AY22" s="5">
        <v>6102</v>
      </c>
      <c r="AZ22" s="4">
        <f t="shared" si="18"/>
        <v>0.90871183916604614</v>
      </c>
      <c r="BA22" s="10">
        <v>6117</v>
      </c>
      <c r="BB22" s="10">
        <v>2117</v>
      </c>
      <c r="BC22" s="3">
        <f t="shared" si="19"/>
        <v>4032</v>
      </c>
      <c r="BD22" s="5">
        <v>6149</v>
      </c>
      <c r="BE22" s="4">
        <f t="shared" si="20"/>
        <v>1.0052313225437306</v>
      </c>
      <c r="BF22" s="10">
        <v>7349</v>
      </c>
      <c r="BG22" s="10">
        <v>2273</v>
      </c>
      <c r="BH22" s="3">
        <f t="shared" si="21"/>
        <v>5149</v>
      </c>
      <c r="BI22" s="5">
        <v>7422</v>
      </c>
      <c r="BJ22" s="4">
        <f t="shared" si="22"/>
        <v>1.0099333242618043</v>
      </c>
    </row>
    <row r="23" spans="1:62" x14ac:dyDescent="0.3">
      <c r="A23" s="16">
        <v>14</v>
      </c>
      <c r="B23" s="2" t="s">
        <v>20</v>
      </c>
      <c r="C23" s="5">
        <v>9012</v>
      </c>
      <c r="D23" s="5">
        <v>1876</v>
      </c>
      <c r="E23" s="3">
        <f t="shared" si="0"/>
        <v>5400</v>
      </c>
      <c r="F23" s="5">
        <v>7276</v>
      </c>
      <c r="G23" s="4">
        <f t="shared" si="1"/>
        <v>0.80736795383932536</v>
      </c>
      <c r="H23" s="5">
        <v>9118</v>
      </c>
      <c r="I23" s="5">
        <v>2105</v>
      </c>
      <c r="J23" s="3">
        <f t="shared" si="2"/>
        <v>5299</v>
      </c>
      <c r="K23" s="5">
        <v>7404</v>
      </c>
      <c r="L23" s="4">
        <f t="shared" si="3"/>
        <v>0.81202017986400521</v>
      </c>
      <c r="M23" s="9">
        <v>11079</v>
      </c>
      <c r="N23" s="9">
        <v>2397</v>
      </c>
      <c r="O23" s="5">
        <v>9029</v>
      </c>
      <c r="P23" s="5">
        <v>9126</v>
      </c>
      <c r="Q23" s="4">
        <f t="shared" si="4"/>
        <v>0.82372055239642572</v>
      </c>
      <c r="R23" s="5">
        <v>9156</v>
      </c>
      <c r="S23" s="5">
        <v>2195</v>
      </c>
      <c r="T23" s="3">
        <f t="shared" si="5"/>
        <v>5374</v>
      </c>
      <c r="U23" s="5">
        <v>7569</v>
      </c>
      <c r="V23" s="4">
        <f t="shared" si="6"/>
        <v>0.82667103538663167</v>
      </c>
      <c r="W23" s="5">
        <v>9166</v>
      </c>
      <c r="X23" s="5">
        <v>2039</v>
      </c>
      <c r="Y23" s="3">
        <f t="shared" si="7"/>
        <v>5711</v>
      </c>
      <c r="Z23" s="5">
        <v>7750</v>
      </c>
      <c r="AA23" s="4">
        <f t="shared" si="8"/>
        <v>0.84551603753000215</v>
      </c>
      <c r="AB23" s="5">
        <v>11322</v>
      </c>
      <c r="AC23" s="5">
        <v>2757</v>
      </c>
      <c r="AD23" s="3">
        <f t="shared" si="9"/>
        <v>7307</v>
      </c>
      <c r="AE23" s="5">
        <v>10064</v>
      </c>
      <c r="AF23" s="4">
        <f t="shared" si="10"/>
        <v>0.88888888888888884</v>
      </c>
      <c r="AG23" s="5">
        <v>9569</v>
      </c>
      <c r="AH23" s="5">
        <v>2346</v>
      </c>
      <c r="AI23" s="3">
        <f t="shared" si="11"/>
        <v>5890</v>
      </c>
      <c r="AJ23" s="5">
        <v>8236</v>
      </c>
      <c r="AK23" s="4">
        <f t="shared" si="12"/>
        <v>0.86069599749190095</v>
      </c>
      <c r="AL23" s="5">
        <v>9502</v>
      </c>
      <c r="AM23" s="5">
        <v>2326</v>
      </c>
      <c r="AN23" s="3">
        <f t="shared" si="13"/>
        <v>6036</v>
      </c>
      <c r="AO23" s="5">
        <v>8362</v>
      </c>
      <c r="AP23" s="4">
        <f t="shared" si="14"/>
        <v>0.8800252578404546</v>
      </c>
      <c r="AQ23" s="3">
        <v>11767</v>
      </c>
      <c r="AR23" s="3">
        <v>3036</v>
      </c>
      <c r="AS23" s="3">
        <f t="shared" si="15"/>
        <v>7342</v>
      </c>
      <c r="AT23" s="3">
        <v>10378</v>
      </c>
      <c r="AU23" s="4">
        <f t="shared" si="16"/>
        <v>0.8819580181864537</v>
      </c>
      <c r="AV23" s="5">
        <v>9805</v>
      </c>
      <c r="AW23" s="10">
        <v>2595</v>
      </c>
      <c r="AX23" s="3">
        <f t="shared" si="17"/>
        <v>5857</v>
      </c>
      <c r="AY23" s="5">
        <v>8452</v>
      </c>
      <c r="AZ23" s="4">
        <f t="shared" si="18"/>
        <v>0.86200917899031104</v>
      </c>
      <c r="BA23" s="10">
        <v>8694</v>
      </c>
      <c r="BB23" s="10">
        <v>2207</v>
      </c>
      <c r="BC23" s="3">
        <f t="shared" si="19"/>
        <v>6353</v>
      </c>
      <c r="BD23" s="5">
        <v>8560</v>
      </c>
      <c r="BE23" s="4">
        <f t="shared" si="20"/>
        <v>0.98458707154359326</v>
      </c>
      <c r="BF23" s="10">
        <v>11229</v>
      </c>
      <c r="BG23" s="10">
        <v>2769</v>
      </c>
      <c r="BH23" s="3">
        <f t="shared" si="21"/>
        <v>7870</v>
      </c>
      <c r="BI23" s="5">
        <v>10639</v>
      </c>
      <c r="BJ23" s="4">
        <f t="shared" si="22"/>
        <v>0.947457476177754</v>
      </c>
    </row>
    <row r="24" spans="1:62" x14ac:dyDescent="0.3">
      <c r="A24" s="16">
        <v>15</v>
      </c>
      <c r="B24" s="2" t="s">
        <v>21</v>
      </c>
      <c r="C24" s="5">
        <v>6298</v>
      </c>
      <c r="D24" s="5">
        <v>1244</v>
      </c>
      <c r="E24" s="3">
        <f t="shared" si="0"/>
        <v>3728</v>
      </c>
      <c r="F24" s="5">
        <v>4972</v>
      </c>
      <c r="G24" s="4">
        <f t="shared" si="1"/>
        <v>0.78945697046681484</v>
      </c>
      <c r="H24" s="5">
        <v>6340</v>
      </c>
      <c r="I24" s="5">
        <v>1346</v>
      </c>
      <c r="J24" s="3">
        <f t="shared" si="2"/>
        <v>3673</v>
      </c>
      <c r="K24" s="5">
        <v>5019</v>
      </c>
      <c r="L24" s="4">
        <f t="shared" si="3"/>
        <v>0.79164037854889591</v>
      </c>
      <c r="M24" s="9">
        <v>7252</v>
      </c>
      <c r="N24" s="9">
        <v>1434</v>
      </c>
      <c r="O24" s="5">
        <v>5909</v>
      </c>
      <c r="P24" s="5">
        <v>5946</v>
      </c>
      <c r="Q24" s="4">
        <f t="shared" si="4"/>
        <v>0.81991174848317705</v>
      </c>
      <c r="R24" s="5">
        <v>6353</v>
      </c>
      <c r="S24" s="5">
        <v>1299</v>
      </c>
      <c r="T24" s="3">
        <f t="shared" si="5"/>
        <v>3811</v>
      </c>
      <c r="U24" s="5">
        <v>5110</v>
      </c>
      <c r="V24" s="4">
        <f t="shared" si="6"/>
        <v>0.80434440421847941</v>
      </c>
      <c r="W24" s="5">
        <v>6421</v>
      </c>
      <c r="X24" s="5">
        <v>1283</v>
      </c>
      <c r="Y24" s="3">
        <f t="shared" si="7"/>
        <v>3900</v>
      </c>
      <c r="Z24" s="5">
        <v>5183</v>
      </c>
      <c r="AA24" s="4">
        <f t="shared" si="8"/>
        <v>0.8071951409437782</v>
      </c>
      <c r="AB24" s="5">
        <v>7434</v>
      </c>
      <c r="AC24" s="5">
        <v>1510</v>
      </c>
      <c r="AD24" s="3">
        <f t="shared" si="9"/>
        <v>4720</v>
      </c>
      <c r="AE24" s="5">
        <v>6230</v>
      </c>
      <c r="AF24" s="4">
        <f t="shared" si="10"/>
        <v>0.83804143126177022</v>
      </c>
      <c r="AG24" s="5">
        <v>6545</v>
      </c>
      <c r="AH24" s="5">
        <v>1401</v>
      </c>
      <c r="AI24" s="3">
        <f t="shared" si="11"/>
        <v>3946</v>
      </c>
      <c r="AJ24" s="5">
        <v>5347</v>
      </c>
      <c r="AK24" s="4">
        <f t="shared" si="12"/>
        <v>0.81695951107715814</v>
      </c>
      <c r="AL24" s="5">
        <v>6623</v>
      </c>
      <c r="AM24" s="5">
        <v>1372</v>
      </c>
      <c r="AN24" s="3">
        <f t="shared" si="13"/>
        <v>4060</v>
      </c>
      <c r="AO24" s="5">
        <v>5432</v>
      </c>
      <c r="AP24" s="4">
        <f t="shared" si="14"/>
        <v>0.82017212743469725</v>
      </c>
      <c r="AQ24" s="3">
        <v>7610</v>
      </c>
      <c r="AR24" s="3">
        <v>1483</v>
      </c>
      <c r="AS24" s="3">
        <f t="shared" si="15"/>
        <v>4918</v>
      </c>
      <c r="AT24" s="3">
        <v>6401</v>
      </c>
      <c r="AU24" s="4">
        <f t="shared" si="16"/>
        <v>0.84113009198423128</v>
      </c>
      <c r="AV24" s="5">
        <v>6365</v>
      </c>
      <c r="AW24" s="10">
        <v>1410</v>
      </c>
      <c r="AX24" s="3">
        <f t="shared" si="17"/>
        <v>4033</v>
      </c>
      <c r="AY24" s="5">
        <v>5443</v>
      </c>
      <c r="AZ24" s="4">
        <f t="shared" si="18"/>
        <v>0.85514532600157112</v>
      </c>
      <c r="BA24" s="10">
        <v>5683</v>
      </c>
      <c r="BB24" s="10">
        <v>1364</v>
      </c>
      <c r="BC24" s="3">
        <f t="shared" si="19"/>
        <v>4123</v>
      </c>
      <c r="BD24" s="5">
        <v>5487</v>
      </c>
      <c r="BE24" s="4">
        <f t="shared" si="20"/>
        <v>0.96551117367587547</v>
      </c>
      <c r="BF24" s="10">
        <v>6688</v>
      </c>
      <c r="BG24" s="10">
        <v>1468</v>
      </c>
      <c r="BH24" s="3">
        <f t="shared" si="21"/>
        <v>5040</v>
      </c>
      <c r="BI24" s="5">
        <v>6508</v>
      </c>
      <c r="BJ24" s="4">
        <f t="shared" si="22"/>
        <v>0.97308612440191389</v>
      </c>
    </row>
    <row r="25" spans="1:62" x14ac:dyDescent="0.3">
      <c r="A25" s="16">
        <v>16</v>
      </c>
      <c r="B25" s="2" t="s">
        <v>22</v>
      </c>
      <c r="C25" s="5">
        <v>18977</v>
      </c>
      <c r="D25" s="5">
        <v>7942</v>
      </c>
      <c r="E25" s="3">
        <f t="shared" si="0"/>
        <v>9250</v>
      </c>
      <c r="F25" s="5">
        <v>17192</v>
      </c>
      <c r="G25" s="4">
        <f t="shared" si="1"/>
        <v>0.90593876798229434</v>
      </c>
      <c r="H25" s="5">
        <v>19277</v>
      </c>
      <c r="I25" s="5">
        <v>8819</v>
      </c>
      <c r="J25" s="3">
        <f t="shared" si="2"/>
        <v>8614</v>
      </c>
      <c r="K25" s="5">
        <v>17433</v>
      </c>
      <c r="L25" s="4">
        <f t="shared" si="3"/>
        <v>0.90434196192353578</v>
      </c>
      <c r="M25" s="9">
        <v>26614</v>
      </c>
      <c r="N25" s="9">
        <v>11465</v>
      </c>
      <c r="O25" s="5">
        <v>24298</v>
      </c>
      <c r="P25" s="5">
        <v>24430</v>
      </c>
      <c r="Q25" s="4">
        <f t="shared" si="4"/>
        <v>0.91793792740662805</v>
      </c>
      <c r="R25" s="5">
        <v>19402</v>
      </c>
      <c r="S25" s="5">
        <v>8474</v>
      </c>
      <c r="T25" s="3">
        <f t="shared" si="5"/>
        <v>9100</v>
      </c>
      <c r="U25" s="5">
        <v>17574</v>
      </c>
      <c r="V25" s="4">
        <f t="shared" si="6"/>
        <v>0.90578290897845581</v>
      </c>
      <c r="W25" s="5">
        <v>19474</v>
      </c>
      <c r="X25" s="5">
        <v>8268</v>
      </c>
      <c r="Y25" s="3">
        <f t="shared" si="7"/>
        <v>9548</v>
      </c>
      <c r="Z25" s="5">
        <v>17816</v>
      </c>
      <c r="AA25" s="4">
        <f t="shared" si="8"/>
        <v>0.91486084009448498</v>
      </c>
      <c r="AB25" s="5">
        <v>27081</v>
      </c>
      <c r="AC25" s="5">
        <v>10179</v>
      </c>
      <c r="AD25" s="3">
        <f t="shared" si="9"/>
        <v>15026</v>
      </c>
      <c r="AE25" s="5">
        <v>25205</v>
      </c>
      <c r="AF25" s="4">
        <f t="shared" si="10"/>
        <v>0.93072633950001848</v>
      </c>
      <c r="AG25" s="5">
        <v>19543</v>
      </c>
      <c r="AH25" s="5">
        <v>9127</v>
      </c>
      <c r="AI25" s="3">
        <f t="shared" si="11"/>
        <v>8975</v>
      </c>
      <c r="AJ25" s="5">
        <v>18102</v>
      </c>
      <c r="AK25" s="4">
        <f t="shared" si="12"/>
        <v>0.92626515888041749</v>
      </c>
      <c r="AL25" s="5">
        <v>19594</v>
      </c>
      <c r="AM25" s="5">
        <v>9168</v>
      </c>
      <c r="AN25" s="3">
        <f t="shared" si="13"/>
        <v>9107</v>
      </c>
      <c r="AO25" s="5">
        <v>18275</v>
      </c>
      <c r="AP25" s="4">
        <f t="shared" si="14"/>
        <v>0.93268347453302036</v>
      </c>
      <c r="AQ25" s="3">
        <v>26830</v>
      </c>
      <c r="AR25" s="3">
        <v>12330</v>
      </c>
      <c r="AS25" s="3">
        <f t="shared" si="15"/>
        <v>13144</v>
      </c>
      <c r="AT25" s="3">
        <v>25474</v>
      </c>
      <c r="AU25" s="4">
        <f t="shared" si="16"/>
        <v>0.94945956019381295</v>
      </c>
      <c r="AV25" s="5">
        <v>19719</v>
      </c>
      <c r="AW25" s="10">
        <v>9655</v>
      </c>
      <c r="AX25" s="3">
        <f t="shared" si="17"/>
        <v>8713</v>
      </c>
      <c r="AY25" s="5">
        <v>18368</v>
      </c>
      <c r="AZ25" s="4">
        <f t="shared" si="18"/>
        <v>0.93148739794107205</v>
      </c>
      <c r="BA25" s="10">
        <v>18241</v>
      </c>
      <c r="BB25" s="10">
        <v>8981</v>
      </c>
      <c r="BC25" s="3">
        <f t="shared" si="19"/>
        <v>9439</v>
      </c>
      <c r="BD25" s="5">
        <v>18420</v>
      </c>
      <c r="BE25" s="4">
        <f t="shared" si="20"/>
        <v>1.0098130584946001</v>
      </c>
      <c r="BF25" s="10">
        <v>25358</v>
      </c>
      <c r="BG25" s="10">
        <v>10534</v>
      </c>
      <c r="BH25" s="3">
        <f t="shared" si="21"/>
        <v>15169</v>
      </c>
      <c r="BI25" s="5">
        <v>25703</v>
      </c>
      <c r="BJ25" s="4">
        <f t="shared" si="22"/>
        <v>1.0136051739096144</v>
      </c>
    </row>
    <row r="26" spans="1:62" x14ac:dyDescent="0.3">
      <c r="A26" s="16">
        <v>17</v>
      </c>
      <c r="B26" s="2" t="s">
        <v>23</v>
      </c>
      <c r="C26" s="5">
        <v>16008</v>
      </c>
      <c r="D26" s="5">
        <v>3974</v>
      </c>
      <c r="E26" s="3">
        <f t="shared" si="0"/>
        <v>7697</v>
      </c>
      <c r="F26" s="5">
        <v>11671</v>
      </c>
      <c r="G26" s="4">
        <f t="shared" si="1"/>
        <v>0.72907296351824091</v>
      </c>
      <c r="H26" s="5">
        <v>16365</v>
      </c>
      <c r="I26" s="5">
        <v>4298</v>
      </c>
      <c r="J26" s="3">
        <f t="shared" si="2"/>
        <v>7799</v>
      </c>
      <c r="K26" s="5">
        <v>12097</v>
      </c>
      <c r="L26" s="4">
        <f t="shared" si="3"/>
        <v>0.73919951115184845</v>
      </c>
      <c r="M26" s="9">
        <v>27510</v>
      </c>
      <c r="N26" s="9">
        <v>7734</v>
      </c>
      <c r="O26" s="5">
        <v>21793</v>
      </c>
      <c r="P26" s="5">
        <v>22101</v>
      </c>
      <c r="Q26" s="4">
        <f t="shared" si="4"/>
        <v>0.80338058887677211</v>
      </c>
      <c r="R26" s="5">
        <v>16566</v>
      </c>
      <c r="S26" s="5">
        <v>4458</v>
      </c>
      <c r="T26" s="3">
        <f t="shared" si="5"/>
        <v>8000</v>
      </c>
      <c r="U26" s="5">
        <v>12458</v>
      </c>
      <c r="V26" s="4">
        <f t="shared" si="6"/>
        <v>0.75202221417360859</v>
      </c>
      <c r="W26" s="5">
        <v>16728</v>
      </c>
      <c r="X26" s="5">
        <v>3999</v>
      </c>
      <c r="Y26" s="3">
        <f t="shared" si="7"/>
        <v>8695</v>
      </c>
      <c r="Z26" s="5">
        <v>12694</v>
      </c>
      <c r="AA26" s="4">
        <f t="shared" si="8"/>
        <v>0.75884744141559057</v>
      </c>
      <c r="AB26" s="5">
        <v>28240</v>
      </c>
      <c r="AC26" s="5">
        <v>6866</v>
      </c>
      <c r="AD26" s="3">
        <f t="shared" si="9"/>
        <v>18102</v>
      </c>
      <c r="AE26" s="5">
        <v>24968</v>
      </c>
      <c r="AF26" s="4">
        <f t="shared" si="10"/>
        <v>0.88413597733711047</v>
      </c>
      <c r="AG26" s="5">
        <v>16538</v>
      </c>
      <c r="AH26" s="5">
        <v>4617</v>
      </c>
      <c r="AI26" s="3">
        <f t="shared" si="11"/>
        <v>8861</v>
      </c>
      <c r="AJ26" s="5">
        <v>13478</v>
      </c>
      <c r="AK26" s="4">
        <f t="shared" si="12"/>
        <v>0.81497158060224939</v>
      </c>
      <c r="AL26" s="5">
        <v>16671</v>
      </c>
      <c r="AM26" s="5">
        <v>4694</v>
      </c>
      <c r="AN26" s="3">
        <f t="shared" si="13"/>
        <v>8888</v>
      </c>
      <c r="AO26" s="5">
        <v>13582</v>
      </c>
      <c r="AP26" s="4">
        <f t="shared" si="14"/>
        <v>0.81470817587427269</v>
      </c>
      <c r="AQ26" s="3">
        <v>28406</v>
      </c>
      <c r="AR26" s="3">
        <v>8074</v>
      </c>
      <c r="AS26" s="3">
        <f t="shared" si="15"/>
        <v>17048</v>
      </c>
      <c r="AT26" s="3">
        <v>25122</v>
      </c>
      <c r="AU26" s="4">
        <f t="shared" si="16"/>
        <v>0.88439062169964089</v>
      </c>
      <c r="AV26" s="5">
        <v>16717</v>
      </c>
      <c r="AW26" s="10">
        <v>5030</v>
      </c>
      <c r="AX26" s="3">
        <f t="shared" si="17"/>
        <v>8252</v>
      </c>
      <c r="AY26" s="5">
        <v>13282</v>
      </c>
      <c r="AZ26" s="4">
        <f t="shared" si="18"/>
        <v>0.79452054794520544</v>
      </c>
      <c r="BA26" s="10">
        <v>13719</v>
      </c>
      <c r="BB26" s="10">
        <v>4834</v>
      </c>
      <c r="BC26" s="3">
        <f t="shared" si="19"/>
        <v>8545</v>
      </c>
      <c r="BD26" s="5">
        <v>13379</v>
      </c>
      <c r="BE26" s="4">
        <f t="shared" si="20"/>
        <v>0.97521685254027257</v>
      </c>
      <c r="BF26" s="10">
        <v>25779</v>
      </c>
      <c r="BG26" s="10">
        <v>7285</v>
      </c>
      <c r="BH26" s="3">
        <f t="shared" si="21"/>
        <v>17885</v>
      </c>
      <c r="BI26" s="5">
        <v>25170</v>
      </c>
      <c r="BJ26" s="4">
        <f t="shared" si="22"/>
        <v>0.97637612009775399</v>
      </c>
    </row>
    <row r="27" spans="1:62" x14ac:dyDescent="0.3">
      <c r="A27" s="16">
        <v>18</v>
      </c>
      <c r="B27" s="2" t="s">
        <v>24</v>
      </c>
      <c r="C27" s="5">
        <v>118506</v>
      </c>
      <c r="D27" s="5">
        <v>38890</v>
      </c>
      <c r="E27" s="3">
        <f t="shared" si="0"/>
        <v>70256</v>
      </c>
      <c r="F27" s="5">
        <v>109146</v>
      </c>
      <c r="G27" s="4">
        <f t="shared" si="1"/>
        <v>0.92101665738443628</v>
      </c>
      <c r="H27" s="5">
        <v>121212</v>
      </c>
      <c r="I27" s="5">
        <v>44897</v>
      </c>
      <c r="J27" s="3">
        <f t="shared" si="2"/>
        <v>66324</v>
      </c>
      <c r="K27" s="5">
        <v>111221</v>
      </c>
      <c r="L27" s="4">
        <f t="shared" si="3"/>
        <v>0.91757416757416754</v>
      </c>
      <c r="M27" s="9">
        <v>178312</v>
      </c>
      <c r="N27" s="9">
        <v>58959</v>
      </c>
      <c r="O27" s="5">
        <v>161829</v>
      </c>
      <c r="P27" s="5">
        <v>163136</v>
      </c>
      <c r="Q27" s="4">
        <f t="shared" si="4"/>
        <v>0.91489075328637448</v>
      </c>
      <c r="R27" s="5">
        <v>121489</v>
      </c>
      <c r="S27" s="5">
        <v>44028</v>
      </c>
      <c r="T27" s="3">
        <f t="shared" si="5"/>
        <v>67716</v>
      </c>
      <c r="U27" s="5">
        <v>111744</v>
      </c>
      <c r="V27" s="4">
        <f t="shared" si="6"/>
        <v>0.91978697659870445</v>
      </c>
      <c r="W27" s="5">
        <v>123451</v>
      </c>
      <c r="X27" s="5">
        <v>42726</v>
      </c>
      <c r="Y27" s="3">
        <f t="shared" si="7"/>
        <v>71000</v>
      </c>
      <c r="Z27" s="5">
        <v>113726</v>
      </c>
      <c r="AA27" s="4">
        <f t="shared" si="8"/>
        <v>0.92122380539647308</v>
      </c>
      <c r="AB27" s="5">
        <v>182601</v>
      </c>
      <c r="AC27" s="5">
        <v>55272</v>
      </c>
      <c r="AD27" s="3">
        <f t="shared" si="9"/>
        <v>117990</v>
      </c>
      <c r="AE27" s="5">
        <v>173262</v>
      </c>
      <c r="AF27" s="4">
        <f t="shared" si="10"/>
        <v>0.94885570177600342</v>
      </c>
      <c r="AG27" s="5">
        <v>124689</v>
      </c>
      <c r="AH27" s="5">
        <v>48331</v>
      </c>
      <c r="AI27" s="3">
        <f t="shared" si="11"/>
        <v>69032</v>
      </c>
      <c r="AJ27" s="5">
        <v>117363</v>
      </c>
      <c r="AK27" s="4">
        <f t="shared" si="12"/>
        <v>0.94124581959916276</v>
      </c>
      <c r="AL27" s="5">
        <v>127177</v>
      </c>
      <c r="AM27" s="5">
        <v>49587</v>
      </c>
      <c r="AN27" s="3">
        <f t="shared" si="13"/>
        <v>69471</v>
      </c>
      <c r="AO27" s="5">
        <v>119058</v>
      </c>
      <c r="AP27" s="4">
        <f t="shared" si="14"/>
        <v>0.93615984022268173</v>
      </c>
      <c r="AQ27" s="3">
        <v>185152</v>
      </c>
      <c r="AR27" s="3">
        <v>71196</v>
      </c>
      <c r="AS27" s="3">
        <f t="shared" si="15"/>
        <v>105637</v>
      </c>
      <c r="AT27" s="3">
        <v>176833</v>
      </c>
      <c r="AU27" s="4">
        <f t="shared" si="16"/>
        <v>0.95506934842723812</v>
      </c>
      <c r="AV27" s="5">
        <v>127611</v>
      </c>
      <c r="AW27" s="10">
        <v>52547</v>
      </c>
      <c r="AX27" s="3">
        <f t="shared" si="17"/>
        <v>66581</v>
      </c>
      <c r="AY27" s="5">
        <v>119128</v>
      </c>
      <c r="AZ27" s="4">
        <f t="shared" si="18"/>
        <v>0.93352453942058289</v>
      </c>
      <c r="BA27" s="10">
        <v>122070</v>
      </c>
      <c r="BB27" s="10">
        <v>51265</v>
      </c>
      <c r="BC27" s="3">
        <f t="shared" si="19"/>
        <v>69525</v>
      </c>
      <c r="BD27" s="5">
        <v>120790</v>
      </c>
      <c r="BE27" s="4">
        <f t="shared" si="20"/>
        <v>0.98951421315638566</v>
      </c>
      <c r="BF27" s="10">
        <v>180737</v>
      </c>
      <c r="BG27" s="10">
        <v>63665</v>
      </c>
      <c r="BH27" s="3">
        <f t="shared" si="21"/>
        <v>116094</v>
      </c>
      <c r="BI27" s="5">
        <v>179759</v>
      </c>
      <c r="BJ27" s="4">
        <f t="shared" si="22"/>
        <v>0.99458882243259539</v>
      </c>
    </row>
    <row r="28" spans="1:62" x14ac:dyDescent="0.3">
      <c r="A28" s="16">
        <v>19</v>
      </c>
      <c r="B28" s="2" t="s">
        <v>25</v>
      </c>
      <c r="C28" s="5">
        <v>364360</v>
      </c>
      <c r="D28" s="5">
        <v>187202</v>
      </c>
      <c r="E28" s="3">
        <f t="shared" si="0"/>
        <v>155507</v>
      </c>
      <c r="F28" s="5">
        <v>342709</v>
      </c>
      <c r="G28" s="4">
        <f t="shared" si="1"/>
        <v>0.94057799978043688</v>
      </c>
      <c r="H28" s="5">
        <v>368904</v>
      </c>
      <c r="I28" s="5">
        <v>194722</v>
      </c>
      <c r="J28" s="3">
        <f t="shared" si="2"/>
        <v>152909</v>
      </c>
      <c r="K28" s="5">
        <v>347631</v>
      </c>
      <c r="L28" s="4">
        <f t="shared" si="3"/>
        <v>0.94233459111313511</v>
      </c>
      <c r="M28" s="9">
        <v>633580</v>
      </c>
      <c r="N28" s="9">
        <v>319985</v>
      </c>
      <c r="O28" s="5">
        <v>594498</v>
      </c>
      <c r="P28" s="5">
        <v>595749</v>
      </c>
      <c r="Q28" s="4">
        <f t="shared" si="4"/>
        <v>0.94029009754095771</v>
      </c>
      <c r="R28" s="5">
        <v>370844</v>
      </c>
      <c r="S28" s="5">
        <v>197269</v>
      </c>
      <c r="T28" s="3">
        <f t="shared" si="5"/>
        <v>152911</v>
      </c>
      <c r="U28" s="5">
        <v>350180</v>
      </c>
      <c r="V28" s="4">
        <f t="shared" si="6"/>
        <v>0.94427845670955979</v>
      </c>
      <c r="W28" s="5">
        <v>375522</v>
      </c>
      <c r="X28" s="5">
        <v>195431</v>
      </c>
      <c r="Y28" s="3">
        <f t="shared" si="7"/>
        <v>159776</v>
      </c>
      <c r="Z28" s="5">
        <v>355207</v>
      </c>
      <c r="AA28" s="4">
        <f t="shared" si="8"/>
        <v>0.94590197112286367</v>
      </c>
      <c r="AB28" s="5">
        <v>643156</v>
      </c>
      <c r="AC28" s="5">
        <v>301447</v>
      </c>
      <c r="AD28" s="3">
        <f t="shared" si="9"/>
        <v>319762</v>
      </c>
      <c r="AE28" s="5">
        <v>621209</v>
      </c>
      <c r="AF28" s="4">
        <f t="shared" si="10"/>
        <v>0.96587608605066266</v>
      </c>
      <c r="AG28" s="5">
        <v>378725</v>
      </c>
      <c r="AH28" s="5">
        <v>209739</v>
      </c>
      <c r="AI28" s="3">
        <f t="shared" si="11"/>
        <v>153066</v>
      </c>
      <c r="AJ28" s="5">
        <v>362805</v>
      </c>
      <c r="AK28" s="4">
        <f t="shared" si="12"/>
        <v>0.95796422206086207</v>
      </c>
      <c r="AL28" s="5">
        <v>382864</v>
      </c>
      <c r="AM28" s="5">
        <v>212633</v>
      </c>
      <c r="AN28" s="3">
        <f t="shared" si="13"/>
        <v>155549</v>
      </c>
      <c r="AO28" s="5">
        <v>368182</v>
      </c>
      <c r="AP28" s="4">
        <f t="shared" si="14"/>
        <v>0.96165217936395164</v>
      </c>
      <c r="AQ28" s="3">
        <v>653033</v>
      </c>
      <c r="AR28" s="3">
        <v>361017</v>
      </c>
      <c r="AS28" s="3">
        <f t="shared" si="15"/>
        <v>268775</v>
      </c>
      <c r="AT28" s="3">
        <v>629792</v>
      </c>
      <c r="AU28" s="4">
        <f t="shared" si="16"/>
        <v>0.96441068062410318</v>
      </c>
      <c r="AV28" s="5">
        <v>393378</v>
      </c>
      <c r="AW28" s="10">
        <v>225791</v>
      </c>
      <c r="AX28" s="3">
        <f t="shared" si="17"/>
        <v>145240</v>
      </c>
      <c r="AY28" s="5">
        <v>371031</v>
      </c>
      <c r="AZ28" s="4">
        <f t="shared" si="18"/>
        <v>0.94319204429327519</v>
      </c>
      <c r="BA28" s="10">
        <v>381893</v>
      </c>
      <c r="BB28" s="10">
        <v>221086</v>
      </c>
      <c r="BC28" s="3">
        <f t="shared" si="19"/>
        <v>155341</v>
      </c>
      <c r="BD28" s="5">
        <v>376427</v>
      </c>
      <c r="BE28" s="4">
        <f t="shared" si="20"/>
        <v>0.98568709036300739</v>
      </c>
      <c r="BF28" s="10">
        <v>643514</v>
      </c>
      <c r="BG28" s="10">
        <v>339349</v>
      </c>
      <c r="BH28" s="3">
        <f t="shared" si="21"/>
        <v>301328</v>
      </c>
      <c r="BI28" s="5">
        <v>640677</v>
      </c>
      <c r="BJ28" s="4">
        <f t="shared" si="22"/>
        <v>0.99559139350503645</v>
      </c>
    </row>
    <row r="29" spans="1:62" x14ac:dyDescent="0.3">
      <c r="A29" s="16">
        <v>20</v>
      </c>
      <c r="B29" s="2" t="s">
        <v>26</v>
      </c>
      <c r="C29" s="5">
        <v>120558</v>
      </c>
      <c r="D29" s="5">
        <v>52252</v>
      </c>
      <c r="E29" s="3">
        <f t="shared" si="0"/>
        <v>61359</v>
      </c>
      <c r="F29" s="5">
        <v>113611</v>
      </c>
      <c r="G29" s="4">
        <f t="shared" si="1"/>
        <v>0.94237628361452574</v>
      </c>
      <c r="H29" s="5">
        <v>121339</v>
      </c>
      <c r="I29" s="5">
        <v>51598</v>
      </c>
      <c r="J29" s="3">
        <f t="shared" si="2"/>
        <v>63076</v>
      </c>
      <c r="K29" s="5">
        <v>114674</v>
      </c>
      <c r="L29" s="4">
        <f t="shared" si="3"/>
        <v>0.9450712466725455</v>
      </c>
      <c r="M29" s="9">
        <v>168897</v>
      </c>
      <c r="N29" s="9">
        <v>72510</v>
      </c>
      <c r="O29" s="5">
        <v>159082</v>
      </c>
      <c r="P29" s="5">
        <v>159527</v>
      </c>
      <c r="Q29" s="4">
        <f t="shared" si="4"/>
        <v>0.94452240122678321</v>
      </c>
      <c r="R29" s="5">
        <v>122532</v>
      </c>
      <c r="S29" s="5">
        <v>54809</v>
      </c>
      <c r="T29" s="3">
        <f t="shared" si="5"/>
        <v>61111</v>
      </c>
      <c r="U29" s="5">
        <v>115920</v>
      </c>
      <c r="V29" s="4">
        <f t="shared" si="6"/>
        <v>0.94603858583880129</v>
      </c>
      <c r="W29" s="5">
        <v>124179</v>
      </c>
      <c r="X29" s="5">
        <v>54846</v>
      </c>
      <c r="Y29" s="3">
        <f t="shared" si="7"/>
        <v>62471</v>
      </c>
      <c r="Z29" s="5">
        <v>117317</v>
      </c>
      <c r="AA29" s="4">
        <f t="shared" si="8"/>
        <v>0.94474105927733354</v>
      </c>
      <c r="AB29" s="5">
        <v>172673</v>
      </c>
      <c r="AC29" s="5">
        <v>70178</v>
      </c>
      <c r="AD29" s="3">
        <f t="shared" si="9"/>
        <v>96108</v>
      </c>
      <c r="AE29" s="5">
        <v>166286</v>
      </c>
      <c r="AF29" s="4">
        <f t="shared" si="10"/>
        <v>0.96301100924869554</v>
      </c>
      <c r="AG29" s="5">
        <v>125793</v>
      </c>
      <c r="AH29" s="5">
        <v>59603</v>
      </c>
      <c r="AI29" s="3">
        <f t="shared" si="11"/>
        <v>61139</v>
      </c>
      <c r="AJ29" s="5">
        <v>120742</v>
      </c>
      <c r="AK29" s="4">
        <f t="shared" si="12"/>
        <v>0.95984673233009787</v>
      </c>
      <c r="AL29" s="5">
        <v>126934</v>
      </c>
      <c r="AM29" s="5">
        <v>62393</v>
      </c>
      <c r="AN29" s="3">
        <f t="shared" si="13"/>
        <v>59757</v>
      </c>
      <c r="AO29" s="5">
        <v>122150</v>
      </c>
      <c r="AP29" s="4">
        <f t="shared" si="14"/>
        <v>0.96231112231553406</v>
      </c>
      <c r="AQ29" s="3">
        <v>175834</v>
      </c>
      <c r="AR29" s="3">
        <v>84400</v>
      </c>
      <c r="AS29" s="3">
        <f t="shared" si="15"/>
        <v>84977</v>
      </c>
      <c r="AT29" s="3">
        <v>169377</v>
      </c>
      <c r="AU29" s="4">
        <f t="shared" si="16"/>
        <v>0.96327786434932949</v>
      </c>
      <c r="AV29" s="5">
        <v>130198</v>
      </c>
      <c r="AW29" s="10">
        <v>66138</v>
      </c>
      <c r="AX29" s="3">
        <f t="shared" si="17"/>
        <v>57547</v>
      </c>
      <c r="AY29" s="5">
        <v>123685</v>
      </c>
      <c r="AZ29" s="4">
        <f t="shared" si="18"/>
        <v>0.94997619011044721</v>
      </c>
      <c r="BA29" s="10">
        <v>127545</v>
      </c>
      <c r="BB29" s="10">
        <v>62081</v>
      </c>
      <c r="BC29" s="3">
        <f t="shared" si="19"/>
        <v>63487</v>
      </c>
      <c r="BD29" s="5">
        <v>125568</v>
      </c>
      <c r="BE29" s="4">
        <f t="shared" si="20"/>
        <v>0.98449958838057161</v>
      </c>
      <c r="BF29" s="10">
        <v>174166</v>
      </c>
      <c r="BG29" s="10">
        <v>79503</v>
      </c>
      <c r="BH29" s="3">
        <f t="shared" si="21"/>
        <v>93444</v>
      </c>
      <c r="BI29" s="5">
        <v>172947</v>
      </c>
      <c r="BJ29" s="4">
        <f t="shared" si="22"/>
        <v>0.993000930147101</v>
      </c>
    </row>
    <row r="30" spans="1:62" x14ac:dyDescent="0.3">
      <c r="A30" s="16">
        <v>21</v>
      </c>
      <c r="B30" s="2" t="s">
        <v>27</v>
      </c>
      <c r="C30" s="5">
        <v>158626</v>
      </c>
      <c r="D30" s="5">
        <v>58412</v>
      </c>
      <c r="E30" s="3">
        <f t="shared" si="0"/>
        <v>88714</v>
      </c>
      <c r="F30" s="5">
        <v>147126</v>
      </c>
      <c r="G30" s="4">
        <f t="shared" si="1"/>
        <v>0.92750242709265818</v>
      </c>
      <c r="H30" s="5">
        <v>160653</v>
      </c>
      <c r="I30" s="5">
        <v>64351</v>
      </c>
      <c r="J30" s="3">
        <f t="shared" si="2"/>
        <v>85769</v>
      </c>
      <c r="K30" s="5">
        <v>150120</v>
      </c>
      <c r="L30" s="4">
        <f t="shared" si="3"/>
        <v>0.93443633172116303</v>
      </c>
      <c r="M30" s="9">
        <v>275749</v>
      </c>
      <c r="N30" s="9">
        <v>97225</v>
      </c>
      <c r="O30" s="5">
        <v>254361</v>
      </c>
      <c r="P30" s="5">
        <v>255530</v>
      </c>
      <c r="Q30" s="4">
        <f t="shared" si="4"/>
        <v>0.9266760713547465</v>
      </c>
      <c r="R30" s="5">
        <v>161454</v>
      </c>
      <c r="S30" s="5">
        <v>61285</v>
      </c>
      <c r="T30" s="3">
        <f t="shared" si="5"/>
        <v>89021</v>
      </c>
      <c r="U30" s="5">
        <v>150306</v>
      </c>
      <c r="V30" s="4">
        <f t="shared" si="6"/>
        <v>0.93095246943401833</v>
      </c>
      <c r="W30" s="5">
        <v>163696</v>
      </c>
      <c r="X30" s="5">
        <v>61817</v>
      </c>
      <c r="Y30" s="3">
        <f t="shared" si="7"/>
        <v>91673</v>
      </c>
      <c r="Z30" s="5">
        <v>153490</v>
      </c>
      <c r="AA30" s="4">
        <f t="shared" si="8"/>
        <v>0.93765272211904993</v>
      </c>
      <c r="AB30" s="5">
        <v>281667</v>
      </c>
      <c r="AC30" s="5">
        <v>93790</v>
      </c>
      <c r="AD30" s="3">
        <f t="shared" si="9"/>
        <v>177392</v>
      </c>
      <c r="AE30" s="5">
        <v>271182</v>
      </c>
      <c r="AF30" s="4">
        <f t="shared" si="10"/>
        <v>0.96277519198202133</v>
      </c>
      <c r="AG30" s="5">
        <v>165324</v>
      </c>
      <c r="AH30" s="5">
        <v>68117</v>
      </c>
      <c r="AI30" s="3">
        <f t="shared" si="11"/>
        <v>90156</v>
      </c>
      <c r="AJ30" s="5">
        <v>158273</v>
      </c>
      <c r="AK30" s="4">
        <f t="shared" si="12"/>
        <v>0.95735041494277906</v>
      </c>
      <c r="AL30" s="5">
        <v>168552</v>
      </c>
      <c r="AM30" s="5">
        <v>73187</v>
      </c>
      <c r="AN30" s="3">
        <f t="shared" si="13"/>
        <v>88493</v>
      </c>
      <c r="AO30" s="5">
        <v>161680</v>
      </c>
      <c r="AP30" s="4">
        <f t="shared" si="14"/>
        <v>0.95922919929754613</v>
      </c>
      <c r="AQ30" s="3">
        <v>288456</v>
      </c>
      <c r="AR30" s="3">
        <v>116807</v>
      </c>
      <c r="AS30" s="3">
        <f t="shared" si="15"/>
        <v>160997</v>
      </c>
      <c r="AT30" s="3">
        <v>277804</v>
      </c>
      <c r="AU30" s="4">
        <f t="shared" si="16"/>
        <v>0.96307235765593369</v>
      </c>
      <c r="AV30" s="5">
        <v>173481</v>
      </c>
      <c r="AW30" s="10">
        <v>76970</v>
      </c>
      <c r="AX30" s="3">
        <f t="shared" si="17"/>
        <v>85705</v>
      </c>
      <c r="AY30" s="5">
        <v>162675</v>
      </c>
      <c r="AZ30" s="4">
        <f t="shared" si="18"/>
        <v>0.93771075795043834</v>
      </c>
      <c r="BA30" s="10">
        <v>168414</v>
      </c>
      <c r="BB30" s="10">
        <v>74951</v>
      </c>
      <c r="BC30" s="3">
        <f t="shared" si="19"/>
        <v>90666</v>
      </c>
      <c r="BD30" s="5">
        <v>165617</v>
      </c>
      <c r="BE30" s="4">
        <f t="shared" si="20"/>
        <v>0.98339211704490126</v>
      </c>
      <c r="BF30" s="10">
        <v>284492</v>
      </c>
      <c r="BG30" s="10">
        <v>109863</v>
      </c>
      <c r="BH30" s="3">
        <f t="shared" si="21"/>
        <v>173862</v>
      </c>
      <c r="BI30" s="5">
        <v>283725</v>
      </c>
      <c r="BJ30" s="4">
        <f t="shared" si="22"/>
        <v>0.9973039663681228</v>
      </c>
    </row>
    <row r="31" spans="1:62" x14ac:dyDescent="0.3">
      <c r="A31" s="16">
        <v>22</v>
      </c>
      <c r="B31" s="2" t="s">
        <v>44</v>
      </c>
      <c r="C31" s="5">
        <v>74350</v>
      </c>
      <c r="D31" s="5">
        <v>32911</v>
      </c>
      <c r="E31" s="3">
        <f t="shared" si="0"/>
        <v>37122</v>
      </c>
      <c r="F31" s="5">
        <v>70033</v>
      </c>
      <c r="G31" s="4">
        <f t="shared" si="1"/>
        <v>0.94193678547410897</v>
      </c>
      <c r="H31" s="5">
        <v>75353</v>
      </c>
      <c r="I31" s="5">
        <v>35838</v>
      </c>
      <c r="J31" s="3">
        <f t="shared" si="2"/>
        <v>35315</v>
      </c>
      <c r="K31" s="5">
        <v>71153</v>
      </c>
      <c r="L31" s="4">
        <f t="shared" si="3"/>
        <v>0.94426233859302222</v>
      </c>
      <c r="M31" s="9">
        <v>132153</v>
      </c>
      <c r="N31" s="9">
        <v>55494</v>
      </c>
      <c r="O31" s="5">
        <v>124102</v>
      </c>
      <c r="P31" s="5">
        <v>124762</v>
      </c>
      <c r="Q31" s="4">
        <f t="shared" si="4"/>
        <v>0.94407240092922595</v>
      </c>
      <c r="R31" s="5">
        <v>74474</v>
      </c>
      <c r="S31" s="5">
        <v>34343</v>
      </c>
      <c r="T31" s="3">
        <f t="shared" si="5"/>
        <v>35661</v>
      </c>
      <c r="U31" s="5">
        <v>70004</v>
      </c>
      <c r="V31" s="4">
        <f t="shared" si="6"/>
        <v>0.93997905309235441</v>
      </c>
      <c r="W31" s="5">
        <v>75697</v>
      </c>
      <c r="X31" s="5">
        <v>34604</v>
      </c>
      <c r="Y31" s="3">
        <f t="shared" si="7"/>
        <v>36680</v>
      </c>
      <c r="Z31" s="5">
        <v>71284</v>
      </c>
      <c r="AA31" s="4">
        <f t="shared" si="8"/>
        <v>0.94170178474708377</v>
      </c>
      <c r="AB31" s="5">
        <v>133809</v>
      </c>
      <c r="AC31" s="5">
        <v>55886</v>
      </c>
      <c r="AD31" s="3">
        <f t="shared" si="9"/>
        <v>73415</v>
      </c>
      <c r="AE31" s="5">
        <v>129301</v>
      </c>
      <c r="AF31" s="4">
        <f t="shared" si="10"/>
        <v>0.96631018840287275</v>
      </c>
      <c r="AG31" s="5">
        <v>75434</v>
      </c>
      <c r="AH31" s="5">
        <v>38767</v>
      </c>
      <c r="AI31" s="3">
        <f t="shared" si="11"/>
        <v>33310</v>
      </c>
      <c r="AJ31" s="5">
        <v>72077</v>
      </c>
      <c r="AK31" s="4">
        <f t="shared" si="12"/>
        <v>0.95549752101174534</v>
      </c>
      <c r="AL31" s="5">
        <v>76990</v>
      </c>
      <c r="AM31" s="5">
        <v>39517</v>
      </c>
      <c r="AN31" s="3">
        <f t="shared" si="13"/>
        <v>33576</v>
      </c>
      <c r="AO31" s="5">
        <v>73093</v>
      </c>
      <c r="AP31" s="4">
        <f t="shared" si="14"/>
        <v>0.94938303675802049</v>
      </c>
      <c r="AQ31" s="3">
        <v>135546</v>
      </c>
      <c r="AR31" s="3">
        <v>66292</v>
      </c>
      <c r="AS31" s="3">
        <f t="shared" si="15"/>
        <v>64959</v>
      </c>
      <c r="AT31" s="3">
        <v>131251</v>
      </c>
      <c r="AU31" s="4">
        <f t="shared" si="16"/>
        <v>0.96831334012069703</v>
      </c>
      <c r="AV31" s="5">
        <v>78435</v>
      </c>
      <c r="AW31" s="10">
        <v>42324</v>
      </c>
      <c r="AX31" s="3">
        <f t="shared" si="17"/>
        <v>30763</v>
      </c>
      <c r="AY31" s="5">
        <v>73087</v>
      </c>
      <c r="AZ31" s="4">
        <f t="shared" si="18"/>
        <v>0.93181615350290048</v>
      </c>
      <c r="BA31" s="10">
        <v>76166</v>
      </c>
      <c r="BB31" s="10">
        <v>40537</v>
      </c>
      <c r="BC31" s="3">
        <f t="shared" si="19"/>
        <v>33777</v>
      </c>
      <c r="BD31" s="5">
        <v>74314</v>
      </c>
      <c r="BE31" s="4">
        <f t="shared" si="20"/>
        <v>0.97568468870624692</v>
      </c>
      <c r="BF31" s="10">
        <v>132970</v>
      </c>
      <c r="BG31" s="10">
        <v>58975</v>
      </c>
      <c r="BH31" s="3">
        <f t="shared" si="21"/>
        <v>74231</v>
      </c>
      <c r="BI31" s="5">
        <v>133206</v>
      </c>
      <c r="BJ31" s="4">
        <f t="shared" si="22"/>
        <v>1.0017748364292698</v>
      </c>
    </row>
    <row r="32" spans="1:62" x14ac:dyDescent="0.3">
      <c r="A32" s="16">
        <v>23</v>
      </c>
      <c r="B32" s="2" t="s">
        <v>28</v>
      </c>
      <c r="C32" s="5">
        <v>191998</v>
      </c>
      <c r="D32" s="5">
        <v>92834</v>
      </c>
      <c r="E32" s="3">
        <f t="shared" si="0"/>
        <v>91615</v>
      </c>
      <c r="F32" s="5">
        <v>184449</v>
      </c>
      <c r="G32" s="4">
        <f t="shared" si="1"/>
        <v>0.96068188210293859</v>
      </c>
      <c r="H32" s="5">
        <v>196288</v>
      </c>
      <c r="I32" s="5">
        <v>100533</v>
      </c>
      <c r="J32" s="3">
        <f t="shared" si="2"/>
        <v>87700</v>
      </c>
      <c r="K32" s="5">
        <v>188233</v>
      </c>
      <c r="L32" s="4">
        <f t="shared" si="3"/>
        <v>0.95896335996087378</v>
      </c>
      <c r="M32" s="9">
        <v>418497</v>
      </c>
      <c r="N32" s="9">
        <v>175242</v>
      </c>
      <c r="O32" s="5">
        <v>397306</v>
      </c>
      <c r="P32" s="5">
        <v>398333</v>
      </c>
      <c r="Q32" s="4">
        <f t="shared" si="4"/>
        <v>0.95181805365390915</v>
      </c>
      <c r="R32" s="5">
        <v>194320</v>
      </c>
      <c r="S32" s="5">
        <v>92149</v>
      </c>
      <c r="T32" s="3">
        <f t="shared" si="5"/>
        <v>94021</v>
      </c>
      <c r="U32" s="5">
        <v>186170</v>
      </c>
      <c r="V32" s="4">
        <f t="shared" si="6"/>
        <v>0.95805887196377115</v>
      </c>
      <c r="W32" s="5">
        <v>198209</v>
      </c>
      <c r="X32" s="5">
        <v>93180</v>
      </c>
      <c r="Y32" s="3">
        <f t="shared" si="7"/>
        <v>97022</v>
      </c>
      <c r="Z32" s="5">
        <v>190202</v>
      </c>
      <c r="AA32" s="4">
        <f t="shared" si="8"/>
        <v>0.95960324707757971</v>
      </c>
      <c r="AB32" s="5">
        <v>426405</v>
      </c>
      <c r="AC32" s="5">
        <v>175299</v>
      </c>
      <c r="AD32" s="3">
        <f t="shared" si="9"/>
        <v>243328</v>
      </c>
      <c r="AE32" s="5">
        <v>418627</v>
      </c>
      <c r="AF32" s="4">
        <f t="shared" si="10"/>
        <v>0.98175912571381663</v>
      </c>
      <c r="AG32" s="5">
        <v>199136</v>
      </c>
      <c r="AH32" s="5">
        <v>112390</v>
      </c>
      <c r="AI32" s="3">
        <f t="shared" si="11"/>
        <v>82210</v>
      </c>
      <c r="AJ32" s="5">
        <v>194600</v>
      </c>
      <c r="AK32" s="4">
        <f t="shared" si="12"/>
        <v>0.97722159730033742</v>
      </c>
      <c r="AL32" s="5">
        <v>204506</v>
      </c>
      <c r="AM32" s="5">
        <v>114582</v>
      </c>
      <c r="AN32" s="3">
        <f t="shared" si="13"/>
        <v>84514</v>
      </c>
      <c r="AO32" s="5">
        <v>199096</v>
      </c>
      <c r="AP32" s="4">
        <f t="shared" si="14"/>
        <v>0.97354600843007055</v>
      </c>
      <c r="AQ32" s="3">
        <v>435626</v>
      </c>
      <c r="AR32" s="3">
        <v>221392</v>
      </c>
      <c r="AS32" s="3">
        <f t="shared" si="15"/>
        <v>206044</v>
      </c>
      <c r="AT32" s="3">
        <v>427436</v>
      </c>
      <c r="AU32" s="4">
        <f t="shared" si="16"/>
        <v>0.98119946926951096</v>
      </c>
      <c r="AV32" s="5">
        <v>208760</v>
      </c>
      <c r="AW32" s="10">
        <v>120359</v>
      </c>
      <c r="AX32" s="3">
        <f t="shared" si="17"/>
        <v>78094</v>
      </c>
      <c r="AY32" s="5">
        <v>198453</v>
      </c>
      <c r="AZ32" s="4">
        <f t="shared" si="18"/>
        <v>0.95062751484958807</v>
      </c>
      <c r="BA32" s="10">
        <v>206539</v>
      </c>
      <c r="BB32" s="10">
        <v>116697</v>
      </c>
      <c r="BC32" s="3">
        <f t="shared" si="19"/>
        <v>86631</v>
      </c>
      <c r="BD32" s="5">
        <v>203328</v>
      </c>
      <c r="BE32" s="4">
        <f t="shared" si="20"/>
        <v>0.98445329937687309</v>
      </c>
      <c r="BF32" s="10">
        <v>435831</v>
      </c>
      <c r="BG32" s="10">
        <v>194421</v>
      </c>
      <c r="BH32" s="3">
        <f t="shared" si="21"/>
        <v>241659</v>
      </c>
      <c r="BI32" s="5">
        <v>436080</v>
      </c>
      <c r="BJ32" s="4">
        <f t="shared" si="22"/>
        <v>1.0005713223703683</v>
      </c>
    </row>
    <row r="33" spans="1:62" x14ac:dyDescent="0.3">
      <c r="A33" s="16">
        <v>24</v>
      </c>
      <c r="B33" s="2" t="s">
        <v>47</v>
      </c>
      <c r="C33" s="5">
        <v>586507</v>
      </c>
      <c r="D33" s="5">
        <v>465690</v>
      </c>
      <c r="E33" s="3">
        <f t="shared" si="0"/>
        <v>112238</v>
      </c>
      <c r="F33" s="5">
        <v>577928</v>
      </c>
      <c r="G33" s="4">
        <f t="shared" si="1"/>
        <v>0.9853727235992068</v>
      </c>
      <c r="H33" s="5">
        <v>594451</v>
      </c>
      <c r="I33" s="5">
        <v>486160</v>
      </c>
      <c r="J33" s="3">
        <f t="shared" si="2"/>
        <v>102379</v>
      </c>
      <c r="K33" s="5">
        <v>588539</v>
      </c>
      <c r="L33" s="4">
        <f t="shared" si="3"/>
        <v>0.99005468911651251</v>
      </c>
      <c r="M33" s="9">
        <v>1006436</v>
      </c>
      <c r="N33" s="9">
        <v>781871</v>
      </c>
      <c r="O33" s="5">
        <v>989274</v>
      </c>
      <c r="P33" s="5">
        <v>989992</v>
      </c>
      <c r="Q33" s="4">
        <f t="shared" si="4"/>
        <v>0.98366115679486821</v>
      </c>
      <c r="R33" s="5">
        <v>599279</v>
      </c>
      <c r="S33" s="5">
        <v>475467</v>
      </c>
      <c r="T33" s="3">
        <f t="shared" si="5"/>
        <v>115344</v>
      </c>
      <c r="U33" s="5">
        <v>590811</v>
      </c>
      <c r="V33" s="4">
        <f t="shared" si="6"/>
        <v>0.9858696867402329</v>
      </c>
      <c r="W33" s="5">
        <v>608923</v>
      </c>
      <c r="X33" s="5">
        <v>478856</v>
      </c>
      <c r="Y33" s="3">
        <f t="shared" si="7"/>
        <v>119618</v>
      </c>
      <c r="Z33" s="5">
        <v>598474</v>
      </c>
      <c r="AA33" s="4">
        <f t="shared" si="8"/>
        <v>0.98284019490148999</v>
      </c>
      <c r="AB33" s="5">
        <v>1019860</v>
      </c>
      <c r="AC33" s="5">
        <v>798796</v>
      </c>
      <c r="AD33" s="3">
        <f t="shared" si="9"/>
        <v>208798</v>
      </c>
      <c r="AE33" s="5">
        <v>1007594</v>
      </c>
      <c r="AF33" s="4">
        <f t="shared" si="10"/>
        <v>0.98797285901986542</v>
      </c>
      <c r="AG33" s="5">
        <v>610453</v>
      </c>
      <c r="AH33" s="5">
        <v>498057</v>
      </c>
      <c r="AI33" s="3">
        <f t="shared" si="11"/>
        <v>103206</v>
      </c>
      <c r="AJ33" s="5">
        <v>601263</v>
      </c>
      <c r="AK33" s="4">
        <f t="shared" si="12"/>
        <v>0.98494560596802705</v>
      </c>
      <c r="AL33" s="5">
        <v>617988</v>
      </c>
      <c r="AM33" s="5">
        <v>509631</v>
      </c>
      <c r="AN33" s="3">
        <f t="shared" si="13"/>
        <v>97622</v>
      </c>
      <c r="AO33" s="5">
        <v>607253</v>
      </c>
      <c r="AP33" s="4">
        <f t="shared" si="14"/>
        <v>0.98262911253940211</v>
      </c>
      <c r="AQ33" s="3">
        <v>1027609</v>
      </c>
      <c r="AR33" s="3">
        <v>857521</v>
      </c>
      <c r="AS33" s="3">
        <f t="shared" si="15"/>
        <v>158971</v>
      </c>
      <c r="AT33" s="3">
        <v>1016492</v>
      </c>
      <c r="AU33" s="4">
        <f t="shared" si="16"/>
        <v>0.9891816829163621</v>
      </c>
      <c r="AV33" s="5">
        <v>625585</v>
      </c>
      <c r="AW33" s="10">
        <v>529529</v>
      </c>
      <c r="AX33" s="3">
        <f t="shared" si="17"/>
        <v>80341</v>
      </c>
      <c r="AY33" s="5">
        <v>609870</v>
      </c>
      <c r="AZ33" s="4">
        <f t="shared" si="18"/>
        <v>0.97487951277604168</v>
      </c>
      <c r="BA33" s="10">
        <v>617039</v>
      </c>
      <c r="BB33" s="10">
        <v>531505</v>
      </c>
      <c r="BC33" s="3">
        <f t="shared" si="19"/>
        <v>85344</v>
      </c>
      <c r="BD33" s="5">
        <v>616849</v>
      </c>
      <c r="BE33" s="4">
        <f t="shared" si="20"/>
        <v>0.99969207781031666</v>
      </c>
      <c r="BF33" s="10">
        <v>1025594</v>
      </c>
      <c r="BG33" s="10">
        <v>831861</v>
      </c>
      <c r="BH33" s="3">
        <f t="shared" si="21"/>
        <v>198104</v>
      </c>
      <c r="BI33" s="5">
        <v>1029965</v>
      </c>
      <c r="BJ33" s="4">
        <f t="shared" si="22"/>
        <v>1.0042619204090508</v>
      </c>
    </row>
    <row r="34" spans="1:62" x14ac:dyDescent="0.3">
      <c r="A34" s="16">
        <v>25</v>
      </c>
      <c r="B34" s="2" t="s">
        <v>29</v>
      </c>
      <c r="C34" s="5" t="s">
        <v>42</v>
      </c>
      <c r="D34" s="5" t="s">
        <v>42</v>
      </c>
      <c r="E34" s="5" t="s">
        <v>42</v>
      </c>
      <c r="F34" s="5">
        <v>0</v>
      </c>
      <c r="G34" s="5" t="s">
        <v>42</v>
      </c>
      <c r="H34" s="5" t="s">
        <v>42</v>
      </c>
      <c r="I34" s="5" t="s">
        <v>42</v>
      </c>
      <c r="J34" s="5" t="s">
        <v>42</v>
      </c>
      <c r="K34" s="5">
        <v>0</v>
      </c>
      <c r="L34" s="5" t="s">
        <v>42</v>
      </c>
      <c r="M34" s="5" t="s">
        <v>42</v>
      </c>
      <c r="N34" s="5" t="s">
        <v>42</v>
      </c>
      <c r="O34" s="5">
        <v>0</v>
      </c>
      <c r="P34" s="5">
        <v>0</v>
      </c>
      <c r="Q34" s="5" t="s">
        <v>42</v>
      </c>
      <c r="R34" s="5" t="s">
        <v>42</v>
      </c>
      <c r="S34" s="5" t="s">
        <v>42</v>
      </c>
      <c r="T34" s="5" t="s">
        <v>42</v>
      </c>
      <c r="U34" s="5">
        <v>0</v>
      </c>
      <c r="V34" s="5" t="s">
        <v>42</v>
      </c>
      <c r="W34" s="5" t="s">
        <v>42</v>
      </c>
      <c r="X34" s="5" t="s">
        <v>42</v>
      </c>
      <c r="Y34" s="5" t="s">
        <v>42</v>
      </c>
      <c r="Z34" s="5">
        <v>0</v>
      </c>
      <c r="AA34" s="5" t="s">
        <v>42</v>
      </c>
      <c r="AB34" s="5" t="s">
        <v>42</v>
      </c>
      <c r="AC34" s="5" t="s">
        <v>42</v>
      </c>
      <c r="AD34" s="5" t="s">
        <v>42</v>
      </c>
      <c r="AE34" s="5">
        <v>0</v>
      </c>
      <c r="AF34" s="5" t="s">
        <v>42</v>
      </c>
      <c r="AG34" s="5" t="s">
        <v>42</v>
      </c>
      <c r="AH34" s="5" t="s">
        <v>42</v>
      </c>
      <c r="AI34" s="5" t="s">
        <v>42</v>
      </c>
      <c r="AJ34" s="5">
        <v>0</v>
      </c>
      <c r="AK34" s="5" t="s">
        <v>42</v>
      </c>
      <c r="AL34" s="5" t="s">
        <v>42</v>
      </c>
      <c r="AM34" s="5" t="s">
        <v>42</v>
      </c>
      <c r="AN34" s="5" t="s">
        <v>42</v>
      </c>
      <c r="AO34" s="5">
        <v>0</v>
      </c>
      <c r="AP34" s="5" t="s">
        <v>42</v>
      </c>
      <c r="AQ34" s="5" t="s">
        <v>42</v>
      </c>
      <c r="AR34" s="5" t="s">
        <v>42</v>
      </c>
      <c r="AS34" s="5" t="s">
        <v>42</v>
      </c>
      <c r="AT34" s="5">
        <v>0</v>
      </c>
      <c r="AU34" s="5" t="s">
        <v>42</v>
      </c>
      <c r="AV34" s="5" t="s">
        <v>42</v>
      </c>
      <c r="AW34" s="5" t="s">
        <v>42</v>
      </c>
      <c r="AX34" s="5" t="s">
        <v>42</v>
      </c>
      <c r="AY34" s="5">
        <v>0</v>
      </c>
      <c r="AZ34" s="5" t="s">
        <v>42</v>
      </c>
      <c r="BA34" s="5" t="s">
        <v>42</v>
      </c>
      <c r="BB34" s="5" t="s">
        <v>42</v>
      </c>
      <c r="BC34" s="5" t="s">
        <v>42</v>
      </c>
      <c r="BD34" s="5">
        <v>0</v>
      </c>
      <c r="BE34" s="5" t="s">
        <v>42</v>
      </c>
      <c r="BF34" s="5" t="s">
        <v>42</v>
      </c>
      <c r="BG34" s="5" t="s">
        <v>42</v>
      </c>
      <c r="BH34" s="5" t="s">
        <v>42</v>
      </c>
      <c r="BI34" s="5">
        <v>0</v>
      </c>
      <c r="BJ34" s="5" t="s">
        <v>42</v>
      </c>
    </row>
    <row r="35" spans="1:62" x14ac:dyDescent="0.3">
      <c r="A35" s="16">
        <v>26</v>
      </c>
      <c r="B35" s="2" t="s">
        <v>30</v>
      </c>
      <c r="C35" s="5">
        <v>11569</v>
      </c>
      <c r="D35" s="5">
        <v>8325</v>
      </c>
      <c r="E35" s="3">
        <f t="shared" si="0"/>
        <v>2753</v>
      </c>
      <c r="F35" s="5">
        <v>11078</v>
      </c>
      <c r="G35" s="4">
        <f t="shared" si="1"/>
        <v>0.95755899386290955</v>
      </c>
      <c r="H35" s="5">
        <v>11640</v>
      </c>
      <c r="I35" s="5">
        <v>8513</v>
      </c>
      <c r="J35" s="3">
        <f t="shared" si="2"/>
        <v>2592</v>
      </c>
      <c r="K35" s="5">
        <v>11105</v>
      </c>
      <c r="L35" s="4">
        <f t="shared" si="3"/>
        <v>0.95403780068728528</v>
      </c>
      <c r="M35" s="9">
        <v>14678</v>
      </c>
      <c r="N35" s="9">
        <v>10402</v>
      </c>
      <c r="O35" s="5">
        <v>14014</v>
      </c>
      <c r="P35" s="5">
        <v>14025</v>
      </c>
      <c r="Q35" s="4">
        <f t="shared" si="4"/>
        <v>0.95551165008856798</v>
      </c>
      <c r="R35" s="5">
        <v>11636</v>
      </c>
      <c r="S35" s="5">
        <v>8379</v>
      </c>
      <c r="T35" s="3">
        <f t="shared" si="5"/>
        <v>2711</v>
      </c>
      <c r="U35" s="5">
        <v>11090</v>
      </c>
      <c r="V35" s="4">
        <f t="shared" si="6"/>
        <v>0.95307665864558266</v>
      </c>
      <c r="W35" s="5">
        <v>11721</v>
      </c>
      <c r="X35" s="5">
        <v>8520</v>
      </c>
      <c r="Y35" s="3">
        <f t="shared" si="7"/>
        <v>2650</v>
      </c>
      <c r="Z35" s="5">
        <v>11170</v>
      </c>
      <c r="AA35" s="4">
        <f t="shared" si="8"/>
        <v>0.95299035918436992</v>
      </c>
      <c r="AB35" s="5">
        <v>14756</v>
      </c>
      <c r="AC35" s="5">
        <v>10649</v>
      </c>
      <c r="AD35" s="3">
        <f t="shared" si="9"/>
        <v>3569</v>
      </c>
      <c r="AE35" s="5">
        <v>14218</v>
      </c>
      <c r="AF35" s="4">
        <f t="shared" si="10"/>
        <v>0.9635402548116021</v>
      </c>
      <c r="AG35" s="5">
        <v>11790</v>
      </c>
      <c r="AH35" s="5">
        <v>8938</v>
      </c>
      <c r="AI35" s="3">
        <f t="shared" si="11"/>
        <v>2377</v>
      </c>
      <c r="AJ35" s="5">
        <v>11315</v>
      </c>
      <c r="AK35" s="4">
        <f t="shared" si="12"/>
        <v>0.95971162001696353</v>
      </c>
      <c r="AL35" s="5">
        <v>11873</v>
      </c>
      <c r="AM35" s="5">
        <v>9022</v>
      </c>
      <c r="AN35" s="3">
        <f t="shared" si="13"/>
        <v>2357</v>
      </c>
      <c r="AO35" s="5">
        <v>11379</v>
      </c>
      <c r="AP35" s="4">
        <f t="shared" si="14"/>
        <v>0.95839299250400067</v>
      </c>
      <c r="AQ35" s="3">
        <v>14870</v>
      </c>
      <c r="AR35" s="3">
        <v>11392</v>
      </c>
      <c r="AS35" s="3">
        <f t="shared" si="15"/>
        <v>2977</v>
      </c>
      <c r="AT35" s="3">
        <v>14369</v>
      </c>
      <c r="AU35" s="4">
        <f t="shared" si="16"/>
        <v>0.96630800268997985</v>
      </c>
      <c r="AV35" s="5">
        <v>11999</v>
      </c>
      <c r="AW35" s="10">
        <v>9397</v>
      </c>
      <c r="AX35" s="3">
        <f t="shared" si="17"/>
        <v>2084</v>
      </c>
      <c r="AY35" s="5">
        <v>11481</v>
      </c>
      <c r="AZ35" s="4">
        <f t="shared" si="18"/>
        <v>0.95682973581131758</v>
      </c>
      <c r="BA35" s="10">
        <v>11707</v>
      </c>
      <c r="BB35" s="10">
        <v>9376</v>
      </c>
      <c r="BC35" s="3">
        <f t="shared" si="19"/>
        <v>2166</v>
      </c>
      <c r="BD35" s="5">
        <v>11542</v>
      </c>
      <c r="BE35" s="4">
        <f t="shared" si="20"/>
        <v>0.98590586828393267</v>
      </c>
      <c r="BF35" s="10">
        <v>14459</v>
      </c>
      <c r="BG35" s="10">
        <v>11267</v>
      </c>
      <c r="BH35" s="3">
        <f t="shared" ref="BH35:BH47" si="23">BI35-BG35</f>
        <v>3208</v>
      </c>
      <c r="BI35" s="5">
        <v>14475</v>
      </c>
      <c r="BJ35" s="4">
        <f t="shared" ref="BJ35:BJ47" si="24">BI35/BF35</f>
        <v>1.0011065772183416</v>
      </c>
    </row>
    <row r="36" spans="1:62" x14ac:dyDescent="0.3">
      <c r="A36" s="16">
        <v>27</v>
      </c>
      <c r="B36" s="2" t="s">
        <v>45</v>
      </c>
      <c r="C36" s="5">
        <v>804151</v>
      </c>
      <c r="D36" s="5">
        <v>486286</v>
      </c>
      <c r="E36" s="3">
        <f t="shared" si="0"/>
        <v>280763</v>
      </c>
      <c r="F36" s="5">
        <v>767049</v>
      </c>
      <c r="G36" s="4">
        <f t="shared" si="1"/>
        <v>0.95386189907119434</v>
      </c>
      <c r="H36" s="5">
        <v>814447</v>
      </c>
      <c r="I36" s="5">
        <v>513410</v>
      </c>
      <c r="J36" s="3">
        <f t="shared" si="2"/>
        <v>265490</v>
      </c>
      <c r="K36" s="5">
        <v>778900</v>
      </c>
      <c r="L36" s="4">
        <f t="shared" si="3"/>
        <v>0.95635443435852796</v>
      </c>
      <c r="M36" s="9">
        <v>1485608</v>
      </c>
      <c r="N36" s="9">
        <v>895122</v>
      </c>
      <c r="O36" s="5">
        <v>1417521</v>
      </c>
      <c r="P36" s="5">
        <v>1420040</v>
      </c>
      <c r="Q36" s="4">
        <f t="shared" si="4"/>
        <v>0.95586453492442147</v>
      </c>
      <c r="R36" s="5">
        <v>815623</v>
      </c>
      <c r="S36" s="5">
        <v>510355</v>
      </c>
      <c r="T36" s="3">
        <f t="shared" si="5"/>
        <v>268205</v>
      </c>
      <c r="U36" s="5">
        <v>778560</v>
      </c>
      <c r="V36" s="4">
        <f t="shared" si="6"/>
        <v>0.95455866251932575</v>
      </c>
      <c r="W36" s="5">
        <v>826349</v>
      </c>
      <c r="X36" s="5">
        <v>500152</v>
      </c>
      <c r="Y36" s="3">
        <f t="shared" si="7"/>
        <v>288627</v>
      </c>
      <c r="Z36" s="5">
        <v>788779</v>
      </c>
      <c r="AA36" s="4">
        <f t="shared" si="8"/>
        <v>0.9545349483087654</v>
      </c>
      <c r="AB36" s="5">
        <v>1500292</v>
      </c>
      <c r="AC36" s="5">
        <v>906316</v>
      </c>
      <c r="AD36" s="3">
        <f t="shared" si="9"/>
        <v>549441</v>
      </c>
      <c r="AE36" s="5">
        <v>1455757</v>
      </c>
      <c r="AF36" s="4">
        <f t="shared" si="10"/>
        <v>0.97031577852844642</v>
      </c>
      <c r="AG36" s="5">
        <v>833041</v>
      </c>
      <c r="AH36" s="5">
        <v>547385</v>
      </c>
      <c r="AI36" s="3">
        <f t="shared" si="11"/>
        <v>255509</v>
      </c>
      <c r="AJ36" s="5">
        <v>802894</v>
      </c>
      <c r="AK36" s="4">
        <f t="shared" si="12"/>
        <v>0.96381090486542675</v>
      </c>
      <c r="AL36" s="5">
        <v>845911</v>
      </c>
      <c r="AM36" s="5">
        <v>562235</v>
      </c>
      <c r="AN36" s="3">
        <f t="shared" si="13"/>
        <v>252986</v>
      </c>
      <c r="AO36" s="5">
        <v>815221</v>
      </c>
      <c r="AP36" s="4">
        <f t="shared" si="14"/>
        <v>0.96371958752161868</v>
      </c>
      <c r="AQ36" s="3">
        <v>1519147</v>
      </c>
      <c r="AR36" s="3">
        <v>1027140</v>
      </c>
      <c r="AS36" s="3">
        <f t="shared" si="15"/>
        <v>450276</v>
      </c>
      <c r="AT36" s="3">
        <v>1477416</v>
      </c>
      <c r="AU36" s="4">
        <f t="shared" si="16"/>
        <v>0.97252997899479121</v>
      </c>
      <c r="AV36" s="5">
        <v>864672</v>
      </c>
      <c r="AW36" s="10">
        <v>598861</v>
      </c>
      <c r="AX36" s="3">
        <f t="shared" si="17"/>
        <v>218900</v>
      </c>
      <c r="AY36" s="5">
        <v>817761</v>
      </c>
      <c r="AZ36" s="4">
        <f t="shared" si="18"/>
        <v>0.94574705784389923</v>
      </c>
      <c r="BA36" s="10">
        <v>838532</v>
      </c>
      <c r="BB36" s="10">
        <v>603754</v>
      </c>
      <c r="BC36" s="3">
        <f t="shared" si="19"/>
        <v>226544</v>
      </c>
      <c r="BD36" s="5">
        <v>830298</v>
      </c>
      <c r="BE36" s="4">
        <f t="shared" si="20"/>
        <v>0.99018045822938183</v>
      </c>
      <c r="BF36" s="10">
        <v>1502094</v>
      </c>
      <c r="BG36" s="10">
        <v>990650</v>
      </c>
      <c r="BH36" s="3">
        <f t="shared" si="23"/>
        <v>507884</v>
      </c>
      <c r="BI36" s="5">
        <v>1498534</v>
      </c>
      <c r="BJ36" s="4">
        <f t="shared" si="24"/>
        <v>0.99762997522125774</v>
      </c>
    </row>
    <row r="37" spans="1:62" x14ac:dyDescent="0.3">
      <c r="A37" s="16">
        <v>29</v>
      </c>
      <c r="B37" s="2" t="s">
        <v>31</v>
      </c>
      <c r="C37" s="5">
        <v>650637</v>
      </c>
      <c r="D37" s="5">
        <v>341217</v>
      </c>
      <c r="E37" s="3">
        <f t="shared" si="0"/>
        <v>268709</v>
      </c>
      <c r="F37" s="5">
        <v>609926</v>
      </c>
      <c r="G37" s="4">
        <f t="shared" si="1"/>
        <v>0.93742901187605376</v>
      </c>
      <c r="H37" s="5">
        <v>656039</v>
      </c>
      <c r="I37" s="5">
        <v>365269</v>
      </c>
      <c r="J37" s="3">
        <f t="shared" si="2"/>
        <v>249949</v>
      </c>
      <c r="K37" s="5">
        <v>615218</v>
      </c>
      <c r="L37" s="4">
        <f t="shared" si="3"/>
        <v>0.93777656511274488</v>
      </c>
      <c r="M37" s="9">
        <v>844882</v>
      </c>
      <c r="N37" s="9">
        <v>446083</v>
      </c>
      <c r="O37" s="5">
        <v>786859</v>
      </c>
      <c r="P37" s="5">
        <v>789094</v>
      </c>
      <c r="Q37" s="4">
        <f t="shared" si="4"/>
        <v>0.93396947739447644</v>
      </c>
      <c r="R37" s="5">
        <v>664863</v>
      </c>
      <c r="S37" s="5">
        <v>365127</v>
      </c>
      <c r="T37" s="3">
        <f t="shared" si="5"/>
        <v>256868</v>
      </c>
      <c r="U37" s="5">
        <v>621995</v>
      </c>
      <c r="V37" s="4">
        <f t="shared" si="6"/>
        <v>0.93552355898884432</v>
      </c>
      <c r="W37" s="5">
        <v>670009</v>
      </c>
      <c r="X37" s="5">
        <v>353245</v>
      </c>
      <c r="Y37" s="3">
        <f t="shared" si="7"/>
        <v>275188</v>
      </c>
      <c r="Z37" s="5">
        <v>628433</v>
      </c>
      <c r="AA37" s="4">
        <f t="shared" si="8"/>
        <v>0.93794710220310473</v>
      </c>
      <c r="AB37" s="5">
        <v>858143</v>
      </c>
      <c r="AC37" s="5">
        <v>436371</v>
      </c>
      <c r="AD37" s="3">
        <f t="shared" si="9"/>
        <v>383174</v>
      </c>
      <c r="AE37" s="5">
        <v>819545</v>
      </c>
      <c r="AF37" s="4">
        <f t="shared" si="10"/>
        <v>0.95502148243358043</v>
      </c>
      <c r="AG37" s="5">
        <v>675943</v>
      </c>
      <c r="AH37" s="5">
        <v>392977</v>
      </c>
      <c r="AI37" s="3">
        <f t="shared" si="11"/>
        <v>251715</v>
      </c>
      <c r="AJ37" s="5">
        <v>644692</v>
      </c>
      <c r="AK37" s="4">
        <f t="shared" si="12"/>
        <v>0.95376681169861954</v>
      </c>
      <c r="AL37" s="5">
        <v>678429</v>
      </c>
      <c r="AM37" s="5">
        <v>402518</v>
      </c>
      <c r="AN37" s="3">
        <f t="shared" si="13"/>
        <v>248283</v>
      </c>
      <c r="AO37" s="5">
        <v>650801</v>
      </c>
      <c r="AP37" s="4">
        <f t="shared" si="14"/>
        <v>0.95927650498430939</v>
      </c>
      <c r="AQ37" s="3">
        <v>865622</v>
      </c>
      <c r="AR37" s="3">
        <v>519244</v>
      </c>
      <c r="AS37" s="3">
        <f t="shared" si="15"/>
        <v>315007</v>
      </c>
      <c r="AT37" s="3">
        <v>834251</v>
      </c>
      <c r="AU37" s="4">
        <f t="shared" si="16"/>
        <v>0.96375900797345726</v>
      </c>
      <c r="AV37" s="5">
        <v>690116</v>
      </c>
      <c r="AW37" s="10">
        <v>423526</v>
      </c>
      <c r="AX37" s="3">
        <f t="shared" si="17"/>
        <v>235075</v>
      </c>
      <c r="AY37" s="5">
        <v>658601</v>
      </c>
      <c r="AZ37" s="4">
        <f t="shared" si="18"/>
        <v>0.95433376417877569</v>
      </c>
      <c r="BA37" s="10">
        <v>673244</v>
      </c>
      <c r="BB37" s="10">
        <v>423567</v>
      </c>
      <c r="BC37" s="3">
        <f t="shared" si="19"/>
        <v>241659</v>
      </c>
      <c r="BD37" s="5">
        <v>665226</v>
      </c>
      <c r="BE37" s="4">
        <f t="shared" si="20"/>
        <v>0.98809049913552882</v>
      </c>
      <c r="BF37" s="10">
        <v>856336</v>
      </c>
      <c r="BG37" s="10">
        <v>491383</v>
      </c>
      <c r="BH37" s="3">
        <f t="shared" si="23"/>
        <v>356979</v>
      </c>
      <c r="BI37" s="5">
        <v>848362</v>
      </c>
      <c r="BJ37" s="4">
        <f t="shared" si="24"/>
        <v>0.99068823452476595</v>
      </c>
    </row>
    <row r="38" spans="1:62" x14ac:dyDescent="0.3">
      <c r="A38" s="16">
        <v>30</v>
      </c>
      <c r="B38" s="2" t="s">
        <v>32</v>
      </c>
      <c r="C38" s="5">
        <v>25038</v>
      </c>
      <c r="D38" s="5">
        <v>11057</v>
      </c>
      <c r="E38" s="3">
        <f t="shared" si="0"/>
        <v>9845</v>
      </c>
      <c r="F38" s="5">
        <v>20902</v>
      </c>
      <c r="G38" s="4">
        <f t="shared" si="1"/>
        <v>0.83481108714753571</v>
      </c>
      <c r="H38" s="5">
        <v>25302</v>
      </c>
      <c r="I38" s="5">
        <v>11822</v>
      </c>
      <c r="J38" s="3">
        <f t="shared" si="2"/>
        <v>9367</v>
      </c>
      <c r="K38" s="5">
        <v>21189</v>
      </c>
      <c r="L38" s="4">
        <f t="shared" si="3"/>
        <v>0.83744368034147498</v>
      </c>
      <c r="M38" s="9">
        <v>37823</v>
      </c>
      <c r="N38" s="9">
        <v>18336</v>
      </c>
      <c r="O38" s="5">
        <v>33105</v>
      </c>
      <c r="P38" s="5">
        <v>33263</v>
      </c>
      <c r="Q38" s="4">
        <f t="shared" si="4"/>
        <v>0.87943843692991042</v>
      </c>
      <c r="R38" s="5">
        <v>25469</v>
      </c>
      <c r="S38" s="5">
        <v>11856</v>
      </c>
      <c r="T38" s="3">
        <f t="shared" si="5"/>
        <v>9425</v>
      </c>
      <c r="U38" s="5">
        <v>21281</v>
      </c>
      <c r="V38" s="4">
        <f t="shared" si="6"/>
        <v>0.83556480427185986</v>
      </c>
      <c r="W38" s="5">
        <v>25404</v>
      </c>
      <c r="X38" s="5">
        <v>11275</v>
      </c>
      <c r="Y38" s="3">
        <f t="shared" si="7"/>
        <v>10222</v>
      </c>
      <c r="Z38" s="5">
        <v>21497</v>
      </c>
      <c r="AA38" s="4">
        <f t="shared" si="8"/>
        <v>0.84620532199653598</v>
      </c>
      <c r="AB38" s="5">
        <v>37238</v>
      </c>
      <c r="AC38" s="5">
        <v>18928</v>
      </c>
      <c r="AD38" s="3">
        <f t="shared" si="9"/>
        <v>15119</v>
      </c>
      <c r="AE38" s="5">
        <v>34047</v>
      </c>
      <c r="AF38" s="4">
        <f t="shared" si="10"/>
        <v>0.91430796498200761</v>
      </c>
      <c r="AG38" s="5">
        <v>24904</v>
      </c>
      <c r="AH38" s="5">
        <v>13046</v>
      </c>
      <c r="AI38" s="3">
        <f t="shared" si="11"/>
        <v>8885</v>
      </c>
      <c r="AJ38" s="5">
        <v>21931</v>
      </c>
      <c r="AK38" s="4">
        <f t="shared" si="12"/>
        <v>0.88062158689367165</v>
      </c>
      <c r="AL38" s="5">
        <v>25338</v>
      </c>
      <c r="AM38" s="5">
        <v>12825</v>
      </c>
      <c r="AN38" s="3">
        <f t="shared" si="13"/>
        <v>9528</v>
      </c>
      <c r="AO38" s="5">
        <v>22353</v>
      </c>
      <c r="AP38" s="4">
        <f t="shared" si="14"/>
        <v>0.88219275396637464</v>
      </c>
      <c r="AQ38" s="3">
        <v>38074</v>
      </c>
      <c r="AR38" s="3">
        <v>21394</v>
      </c>
      <c r="AS38" s="3">
        <f t="shared" si="15"/>
        <v>13531</v>
      </c>
      <c r="AT38" s="3">
        <v>34925</v>
      </c>
      <c r="AU38" s="4">
        <f t="shared" si="16"/>
        <v>0.91729264064716076</v>
      </c>
      <c r="AV38" s="5">
        <v>25812</v>
      </c>
      <c r="AW38" s="10">
        <v>13968</v>
      </c>
      <c r="AX38" s="3">
        <f t="shared" si="17"/>
        <v>8506</v>
      </c>
      <c r="AY38" s="5">
        <v>22474</v>
      </c>
      <c r="AZ38" s="4">
        <f t="shared" si="18"/>
        <v>0.87068030373469707</v>
      </c>
      <c r="BA38" s="10">
        <v>22633</v>
      </c>
      <c r="BB38" s="10">
        <v>13953</v>
      </c>
      <c r="BC38" s="3">
        <f t="shared" si="19"/>
        <v>8790</v>
      </c>
      <c r="BD38" s="5">
        <v>22743</v>
      </c>
      <c r="BE38" s="4">
        <f t="shared" si="20"/>
        <v>1.0048601599434455</v>
      </c>
      <c r="BF38" s="10">
        <v>35534</v>
      </c>
      <c r="BG38" s="10">
        <v>20223</v>
      </c>
      <c r="BH38" s="3">
        <f t="shared" si="23"/>
        <v>15324</v>
      </c>
      <c r="BI38" s="5">
        <v>35547</v>
      </c>
      <c r="BJ38" s="4">
        <f t="shared" si="24"/>
        <v>1.0003658467946193</v>
      </c>
    </row>
    <row r="39" spans="1:62" x14ac:dyDescent="0.3">
      <c r="A39" s="16">
        <v>31</v>
      </c>
      <c r="B39" s="2" t="s">
        <v>33</v>
      </c>
      <c r="C39" s="5">
        <v>178</v>
      </c>
      <c r="D39" s="5">
        <v>75</v>
      </c>
      <c r="E39" s="3">
        <f t="shared" si="0"/>
        <v>93</v>
      </c>
      <c r="F39" s="5">
        <v>168</v>
      </c>
      <c r="G39" s="4">
        <f t="shared" si="1"/>
        <v>0.9438202247191011</v>
      </c>
      <c r="H39" s="5">
        <v>176</v>
      </c>
      <c r="I39" s="5">
        <v>91</v>
      </c>
      <c r="J39" s="3">
        <f t="shared" si="2"/>
        <v>77</v>
      </c>
      <c r="K39" s="5">
        <v>168</v>
      </c>
      <c r="L39" s="4">
        <f t="shared" si="3"/>
        <v>0.95454545454545459</v>
      </c>
      <c r="M39" s="9">
        <v>221</v>
      </c>
      <c r="N39" s="9">
        <v>116</v>
      </c>
      <c r="O39" s="5">
        <v>211</v>
      </c>
      <c r="P39" s="5">
        <v>211</v>
      </c>
      <c r="Q39" s="4">
        <f t="shared" si="4"/>
        <v>0.95475113122171951</v>
      </c>
      <c r="R39" s="5">
        <v>178</v>
      </c>
      <c r="S39" s="5">
        <v>100</v>
      </c>
      <c r="T39" s="3">
        <f t="shared" si="5"/>
        <v>72</v>
      </c>
      <c r="U39" s="5">
        <v>172</v>
      </c>
      <c r="V39" s="4">
        <f t="shared" si="6"/>
        <v>0.9662921348314607</v>
      </c>
      <c r="W39" s="5">
        <v>175</v>
      </c>
      <c r="X39" s="5">
        <v>87</v>
      </c>
      <c r="Y39" s="3">
        <f t="shared" si="7"/>
        <v>87</v>
      </c>
      <c r="Z39" s="5">
        <v>174</v>
      </c>
      <c r="AA39" s="4">
        <f t="shared" si="8"/>
        <v>0.99428571428571433</v>
      </c>
      <c r="AB39" s="5">
        <v>221</v>
      </c>
      <c r="AC39" s="5">
        <v>108</v>
      </c>
      <c r="AD39" s="3">
        <f t="shared" si="9"/>
        <v>111</v>
      </c>
      <c r="AE39" s="5">
        <v>219</v>
      </c>
      <c r="AF39" s="4">
        <f t="shared" si="10"/>
        <v>0.99095022624434392</v>
      </c>
      <c r="AG39" s="5">
        <v>186</v>
      </c>
      <c r="AH39" s="5">
        <v>100</v>
      </c>
      <c r="AI39" s="3">
        <f t="shared" si="11"/>
        <v>76</v>
      </c>
      <c r="AJ39" s="5">
        <v>176</v>
      </c>
      <c r="AK39" s="4">
        <f t="shared" si="12"/>
        <v>0.94623655913978499</v>
      </c>
      <c r="AL39" s="5">
        <v>171</v>
      </c>
      <c r="AM39" s="5">
        <v>102</v>
      </c>
      <c r="AN39" s="3">
        <f t="shared" si="13"/>
        <v>72</v>
      </c>
      <c r="AO39" s="5">
        <v>174</v>
      </c>
      <c r="AP39" s="4">
        <f t="shared" si="14"/>
        <v>1.0175438596491229</v>
      </c>
      <c r="AQ39" s="3">
        <v>218</v>
      </c>
      <c r="AR39" s="3">
        <v>129</v>
      </c>
      <c r="AS39" s="3">
        <f t="shared" si="15"/>
        <v>90</v>
      </c>
      <c r="AT39" s="3">
        <v>219</v>
      </c>
      <c r="AU39" s="4">
        <f t="shared" si="16"/>
        <v>1.0045871559633028</v>
      </c>
      <c r="AV39" s="5">
        <v>181</v>
      </c>
      <c r="AW39" s="10">
        <v>108</v>
      </c>
      <c r="AX39" s="3">
        <f t="shared" si="17"/>
        <v>70</v>
      </c>
      <c r="AY39" s="5">
        <v>178</v>
      </c>
      <c r="AZ39" s="4">
        <f t="shared" si="18"/>
        <v>0.98342541436464093</v>
      </c>
      <c r="BA39" s="10">
        <v>184</v>
      </c>
      <c r="BB39" s="10">
        <v>106</v>
      </c>
      <c r="BC39" s="3">
        <f t="shared" si="19"/>
        <v>78</v>
      </c>
      <c r="BD39" s="5">
        <v>184</v>
      </c>
      <c r="BE39" s="4">
        <f t="shared" si="20"/>
        <v>1</v>
      </c>
      <c r="BF39" s="10">
        <v>224</v>
      </c>
      <c r="BG39" s="10">
        <v>113</v>
      </c>
      <c r="BH39" s="3">
        <f t="shared" si="23"/>
        <v>115</v>
      </c>
      <c r="BI39" s="5">
        <v>228</v>
      </c>
      <c r="BJ39" s="4">
        <f t="shared" si="24"/>
        <v>1.0178571428571428</v>
      </c>
    </row>
    <row r="40" spans="1:62" x14ac:dyDescent="0.3">
      <c r="A40" s="16">
        <v>32</v>
      </c>
      <c r="B40" s="2" t="s">
        <v>34</v>
      </c>
      <c r="C40" s="5">
        <v>273479</v>
      </c>
      <c r="D40" s="5">
        <v>153047</v>
      </c>
      <c r="E40" s="3">
        <f t="shared" si="0"/>
        <v>105554</v>
      </c>
      <c r="F40" s="5">
        <v>258601</v>
      </c>
      <c r="G40" s="4">
        <f t="shared" si="1"/>
        <v>0.94559728534914933</v>
      </c>
      <c r="H40" s="5">
        <v>275367</v>
      </c>
      <c r="I40" s="5">
        <v>161562</v>
      </c>
      <c r="J40" s="3">
        <f t="shared" si="2"/>
        <v>98780</v>
      </c>
      <c r="K40" s="5">
        <v>260342</v>
      </c>
      <c r="L40" s="4">
        <f t="shared" si="3"/>
        <v>0.94543645389607323</v>
      </c>
      <c r="M40" s="9">
        <v>339208</v>
      </c>
      <c r="N40" s="9">
        <v>186274</v>
      </c>
      <c r="O40" s="5">
        <v>320573</v>
      </c>
      <c r="P40" s="5">
        <v>321313</v>
      </c>
      <c r="Q40" s="4">
        <f t="shared" si="4"/>
        <v>0.9472447583783401</v>
      </c>
      <c r="R40" s="5">
        <v>277547</v>
      </c>
      <c r="S40" s="5">
        <v>165374</v>
      </c>
      <c r="T40" s="3">
        <f t="shared" si="5"/>
        <v>97309</v>
      </c>
      <c r="U40" s="5">
        <v>262683</v>
      </c>
      <c r="V40" s="4">
        <f t="shared" si="6"/>
        <v>0.94644510659455872</v>
      </c>
      <c r="W40" s="5">
        <v>278758</v>
      </c>
      <c r="X40" s="5">
        <v>139874</v>
      </c>
      <c r="Y40" s="3">
        <f t="shared" si="7"/>
        <v>125359</v>
      </c>
      <c r="Z40" s="5">
        <v>265233</v>
      </c>
      <c r="AA40" s="4">
        <f t="shared" si="8"/>
        <v>0.95148121309522959</v>
      </c>
      <c r="AB40" s="5">
        <v>343140</v>
      </c>
      <c r="AC40" s="5">
        <v>185696</v>
      </c>
      <c r="AD40" s="3">
        <f t="shared" si="9"/>
        <v>142747</v>
      </c>
      <c r="AE40" s="5">
        <v>328443</v>
      </c>
      <c r="AF40" s="4">
        <f t="shared" si="10"/>
        <v>0.95716908550445878</v>
      </c>
      <c r="AG40" s="5">
        <v>282101</v>
      </c>
      <c r="AH40" s="5">
        <v>168696</v>
      </c>
      <c r="AI40" s="3">
        <f t="shared" si="11"/>
        <v>100031</v>
      </c>
      <c r="AJ40" s="5">
        <v>268727</v>
      </c>
      <c r="AK40" s="4">
        <f t="shared" si="12"/>
        <v>0.95259144774389315</v>
      </c>
      <c r="AL40" s="5">
        <v>282756</v>
      </c>
      <c r="AM40" s="5">
        <v>171947</v>
      </c>
      <c r="AN40" s="3">
        <f t="shared" si="13"/>
        <v>99040</v>
      </c>
      <c r="AO40" s="5">
        <v>270987</v>
      </c>
      <c r="AP40" s="4">
        <f t="shared" si="14"/>
        <v>0.95837754106013662</v>
      </c>
      <c r="AQ40" s="3">
        <v>343988</v>
      </c>
      <c r="AR40" s="3">
        <v>206863</v>
      </c>
      <c r="AS40" s="3">
        <f t="shared" si="15"/>
        <v>125882</v>
      </c>
      <c r="AT40" s="3">
        <v>332745</v>
      </c>
      <c r="AU40" s="4">
        <f t="shared" si="16"/>
        <v>0.96731572031582502</v>
      </c>
      <c r="AV40" s="5">
        <v>285285</v>
      </c>
      <c r="AW40" s="10">
        <v>179046</v>
      </c>
      <c r="AX40" s="3">
        <f t="shared" si="17"/>
        <v>94356</v>
      </c>
      <c r="AY40" s="5">
        <v>273402</v>
      </c>
      <c r="AZ40" s="4">
        <f t="shared" si="18"/>
        <v>0.95834691624165314</v>
      </c>
      <c r="BA40" s="10">
        <v>276279</v>
      </c>
      <c r="BB40" s="10">
        <v>180184</v>
      </c>
      <c r="BC40" s="3">
        <f t="shared" si="19"/>
        <v>95269</v>
      </c>
      <c r="BD40" s="5">
        <v>275453</v>
      </c>
      <c r="BE40" s="4">
        <f t="shared" si="20"/>
        <v>0.99701026860528663</v>
      </c>
      <c r="BF40" s="10">
        <v>339189</v>
      </c>
      <c r="BG40" s="10">
        <v>196301</v>
      </c>
      <c r="BH40" s="3">
        <f t="shared" si="23"/>
        <v>141281</v>
      </c>
      <c r="BI40" s="5">
        <v>337582</v>
      </c>
      <c r="BJ40" s="4">
        <f t="shared" si="24"/>
        <v>0.99526222843311551</v>
      </c>
    </row>
    <row r="41" spans="1:62" x14ac:dyDescent="0.3">
      <c r="A41" s="16">
        <v>33</v>
      </c>
      <c r="B41" s="2" t="s">
        <v>35</v>
      </c>
      <c r="C41" s="5">
        <v>872690</v>
      </c>
      <c r="D41" s="5">
        <v>506224</v>
      </c>
      <c r="E41" s="3">
        <f t="shared" si="0"/>
        <v>326747</v>
      </c>
      <c r="F41" s="5">
        <v>832971</v>
      </c>
      <c r="G41" s="4">
        <f t="shared" si="1"/>
        <v>0.95448670203623276</v>
      </c>
      <c r="H41" s="5">
        <v>878008</v>
      </c>
      <c r="I41" s="5">
        <v>513124</v>
      </c>
      <c r="J41" s="3">
        <f t="shared" si="2"/>
        <v>326550</v>
      </c>
      <c r="K41" s="5">
        <v>839674</v>
      </c>
      <c r="L41" s="4">
        <f t="shared" si="3"/>
        <v>0.9563398055598582</v>
      </c>
      <c r="M41" s="9">
        <v>999035</v>
      </c>
      <c r="N41" s="9">
        <v>565315</v>
      </c>
      <c r="O41" s="5">
        <v>948683</v>
      </c>
      <c r="P41" s="5">
        <v>951047</v>
      </c>
      <c r="Q41" s="4">
        <f t="shared" si="4"/>
        <v>0.95196564684920948</v>
      </c>
      <c r="R41" s="5">
        <v>889467</v>
      </c>
      <c r="S41" s="5">
        <v>520984</v>
      </c>
      <c r="T41" s="3">
        <f t="shared" si="5"/>
        <v>328439</v>
      </c>
      <c r="U41" s="5">
        <v>849423</v>
      </c>
      <c r="V41" s="4">
        <f t="shared" si="6"/>
        <v>0.95497978002556583</v>
      </c>
      <c r="W41" s="5">
        <v>894020</v>
      </c>
      <c r="X41" s="5">
        <v>493938</v>
      </c>
      <c r="Y41" s="3">
        <f t="shared" si="7"/>
        <v>361373</v>
      </c>
      <c r="Z41" s="5">
        <v>855311</v>
      </c>
      <c r="AA41" s="4">
        <f t="shared" si="8"/>
        <v>0.95670231091027047</v>
      </c>
      <c r="AB41" s="5">
        <v>1012178</v>
      </c>
      <c r="AC41" s="5">
        <v>557050</v>
      </c>
      <c r="AD41" s="3">
        <f t="shared" si="9"/>
        <v>420738</v>
      </c>
      <c r="AE41" s="5">
        <v>977788</v>
      </c>
      <c r="AF41" s="4">
        <f t="shared" si="10"/>
        <v>0.96602376261882794</v>
      </c>
      <c r="AG41" s="5">
        <v>904846</v>
      </c>
      <c r="AH41" s="5">
        <v>551056</v>
      </c>
      <c r="AI41" s="3">
        <f t="shared" si="11"/>
        <v>322142</v>
      </c>
      <c r="AJ41" s="5">
        <v>873198</v>
      </c>
      <c r="AK41" s="4">
        <f t="shared" si="12"/>
        <v>0.96502388251702498</v>
      </c>
      <c r="AL41" s="5">
        <v>910192</v>
      </c>
      <c r="AM41" s="5">
        <v>554975</v>
      </c>
      <c r="AN41" s="3">
        <f t="shared" si="13"/>
        <v>324196</v>
      </c>
      <c r="AO41" s="5">
        <v>879171</v>
      </c>
      <c r="AP41" s="4">
        <f t="shared" si="14"/>
        <v>0.96591817990050455</v>
      </c>
      <c r="AQ41" s="3">
        <v>1025826</v>
      </c>
      <c r="AR41" s="3">
        <v>633578</v>
      </c>
      <c r="AS41" s="3">
        <f t="shared" si="15"/>
        <v>359885</v>
      </c>
      <c r="AT41" s="3">
        <v>993463</v>
      </c>
      <c r="AU41" s="4">
        <f t="shared" si="16"/>
        <v>0.968451764724232</v>
      </c>
      <c r="AV41" s="5">
        <v>923071</v>
      </c>
      <c r="AW41" s="11">
        <v>582726</v>
      </c>
      <c r="AX41" s="3">
        <f t="shared" si="17"/>
        <v>308220</v>
      </c>
      <c r="AY41" s="5">
        <v>890946</v>
      </c>
      <c r="AZ41" s="4">
        <f t="shared" si="18"/>
        <v>0.96519769335186567</v>
      </c>
      <c r="BA41" s="11">
        <v>907892</v>
      </c>
      <c r="BB41" s="11">
        <v>582308</v>
      </c>
      <c r="BC41" s="3">
        <f t="shared" si="19"/>
        <v>315681</v>
      </c>
      <c r="BD41" s="5">
        <v>897989</v>
      </c>
      <c r="BE41" s="4">
        <f t="shared" si="20"/>
        <v>0.98909231494494942</v>
      </c>
      <c r="BF41" s="11">
        <v>1023930</v>
      </c>
      <c r="BG41" s="11">
        <v>608907</v>
      </c>
      <c r="BH41" s="3">
        <f t="shared" si="23"/>
        <v>403399</v>
      </c>
      <c r="BI41" s="5">
        <v>1012306</v>
      </c>
      <c r="BJ41" s="4">
        <f t="shared" si="24"/>
        <v>0.98864766146123273</v>
      </c>
    </row>
    <row r="42" spans="1:62" x14ac:dyDescent="0.3">
      <c r="A42" s="16">
        <v>34</v>
      </c>
      <c r="B42" s="2" t="s">
        <v>36</v>
      </c>
      <c r="C42" s="5">
        <v>17959</v>
      </c>
      <c r="D42" s="5">
        <v>9246</v>
      </c>
      <c r="E42" s="3">
        <f t="shared" si="0"/>
        <v>7749</v>
      </c>
      <c r="F42" s="5">
        <v>16995</v>
      </c>
      <c r="G42" s="4">
        <f t="shared" si="1"/>
        <v>0.94632217829500531</v>
      </c>
      <c r="H42" s="5">
        <v>18024</v>
      </c>
      <c r="I42" s="5">
        <v>9318</v>
      </c>
      <c r="J42" s="3">
        <f t="shared" si="2"/>
        <v>7839</v>
      </c>
      <c r="K42" s="5">
        <v>17157</v>
      </c>
      <c r="L42" s="4">
        <f t="shared" si="3"/>
        <v>0.95189747003994674</v>
      </c>
      <c r="M42" s="9">
        <v>20468</v>
      </c>
      <c r="N42" s="9">
        <v>10328</v>
      </c>
      <c r="O42" s="5">
        <v>19316</v>
      </c>
      <c r="P42" s="5">
        <v>19355</v>
      </c>
      <c r="Q42" s="4">
        <f t="shared" si="4"/>
        <v>0.94562243502051979</v>
      </c>
      <c r="R42" s="5">
        <v>18235</v>
      </c>
      <c r="S42" s="5">
        <v>9509</v>
      </c>
      <c r="T42" s="3">
        <f t="shared" si="5"/>
        <v>7833</v>
      </c>
      <c r="U42" s="5">
        <v>17342</v>
      </c>
      <c r="V42" s="4">
        <f t="shared" si="6"/>
        <v>0.95102824239100636</v>
      </c>
      <c r="W42" s="5">
        <v>18317</v>
      </c>
      <c r="X42" s="5">
        <v>8915</v>
      </c>
      <c r="Y42" s="3">
        <f t="shared" si="7"/>
        <v>8479</v>
      </c>
      <c r="Z42" s="5">
        <v>17394</v>
      </c>
      <c r="AA42" s="4">
        <f t="shared" si="8"/>
        <v>0.9496096522356281</v>
      </c>
      <c r="AB42" s="5">
        <v>20712</v>
      </c>
      <c r="AC42" s="5">
        <v>10277</v>
      </c>
      <c r="AD42" s="3">
        <f t="shared" si="9"/>
        <v>9567</v>
      </c>
      <c r="AE42" s="5">
        <v>19844</v>
      </c>
      <c r="AF42" s="4">
        <f t="shared" si="10"/>
        <v>0.95809192738509075</v>
      </c>
      <c r="AG42" s="5">
        <v>18585</v>
      </c>
      <c r="AH42" s="5">
        <v>10062</v>
      </c>
      <c r="AI42" s="3">
        <f t="shared" si="11"/>
        <v>7694</v>
      </c>
      <c r="AJ42" s="5">
        <v>17756</v>
      </c>
      <c r="AK42" s="4">
        <f t="shared" si="12"/>
        <v>0.95539413505515203</v>
      </c>
      <c r="AL42" s="5">
        <v>18498</v>
      </c>
      <c r="AM42" s="5">
        <v>9996</v>
      </c>
      <c r="AN42" s="3">
        <f t="shared" si="13"/>
        <v>7821</v>
      </c>
      <c r="AO42" s="5">
        <v>17817</v>
      </c>
      <c r="AP42" s="4">
        <f t="shared" si="14"/>
        <v>0.96318520921180673</v>
      </c>
      <c r="AQ42" s="3">
        <v>20775</v>
      </c>
      <c r="AR42" s="3">
        <v>11596</v>
      </c>
      <c r="AS42" s="3">
        <f t="shared" si="15"/>
        <v>8456</v>
      </c>
      <c r="AT42" s="3">
        <v>20052</v>
      </c>
      <c r="AU42" s="4">
        <f t="shared" si="16"/>
        <v>0.96519855595667869</v>
      </c>
      <c r="AV42" s="5">
        <v>18672</v>
      </c>
      <c r="AW42" s="10">
        <v>10557</v>
      </c>
      <c r="AX42" s="3">
        <f t="shared" si="17"/>
        <v>7438</v>
      </c>
      <c r="AY42" s="5">
        <v>17995</v>
      </c>
      <c r="AZ42" s="4">
        <f t="shared" si="18"/>
        <v>0.96374250214224511</v>
      </c>
      <c r="BA42" s="10">
        <v>18422</v>
      </c>
      <c r="BB42" s="10">
        <v>10554</v>
      </c>
      <c r="BC42" s="3">
        <f t="shared" si="19"/>
        <v>7563</v>
      </c>
      <c r="BD42" s="5">
        <v>18117</v>
      </c>
      <c r="BE42" s="4">
        <f t="shared" si="20"/>
        <v>0.98344370860927155</v>
      </c>
      <c r="BF42" s="10">
        <v>20562</v>
      </c>
      <c r="BG42" s="10">
        <v>10952</v>
      </c>
      <c r="BH42" s="3">
        <f t="shared" si="23"/>
        <v>9480</v>
      </c>
      <c r="BI42" s="5">
        <v>20432</v>
      </c>
      <c r="BJ42" s="4">
        <f t="shared" si="24"/>
        <v>0.99367765781538764</v>
      </c>
    </row>
    <row r="43" spans="1:62" x14ac:dyDescent="0.3">
      <c r="A43" s="16">
        <v>35</v>
      </c>
      <c r="B43" s="2" t="s">
        <v>46</v>
      </c>
      <c r="C43" s="5">
        <v>3356</v>
      </c>
      <c r="D43" s="5">
        <v>1262</v>
      </c>
      <c r="E43" s="3">
        <f t="shared" si="0"/>
        <v>1896</v>
      </c>
      <c r="F43" s="5">
        <v>3158</v>
      </c>
      <c r="G43" s="4">
        <f t="shared" si="1"/>
        <v>0.94100119189511322</v>
      </c>
      <c r="H43" s="5">
        <v>3369</v>
      </c>
      <c r="I43" s="5">
        <v>1415</v>
      </c>
      <c r="J43" s="3">
        <f t="shared" si="2"/>
        <v>1788</v>
      </c>
      <c r="K43" s="5">
        <v>3203</v>
      </c>
      <c r="L43" s="4">
        <f t="shared" si="3"/>
        <v>0.95072721875927579</v>
      </c>
      <c r="M43" s="9">
        <v>4189</v>
      </c>
      <c r="N43" s="9">
        <v>1649</v>
      </c>
      <c r="O43" s="5">
        <v>4005</v>
      </c>
      <c r="P43" s="5">
        <v>4015</v>
      </c>
      <c r="Q43" s="4">
        <f t="shared" si="4"/>
        <v>0.95846264024826933</v>
      </c>
      <c r="R43" s="5">
        <v>3398</v>
      </c>
      <c r="S43" s="5">
        <v>1355</v>
      </c>
      <c r="T43" s="3">
        <f t="shared" si="5"/>
        <v>1909</v>
      </c>
      <c r="U43" s="5">
        <v>3264</v>
      </c>
      <c r="V43" s="4">
        <f t="shared" si="6"/>
        <v>0.96056503825779871</v>
      </c>
      <c r="W43" s="5">
        <v>3433</v>
      </c>
      <c r="X43" s="5">
        <v>1400</v>
      </c>
      <c r="Y43" s="3">
        <f t="shared" si="7"/>
        <v>1922</v>
      </c>
      <c r="Z43" s="5">
        <v>3322</v>
      </c>
      <c r="AA43" s="4">
        <f t="shared" si="8"/>
        <v>0.96766676376347216</v>
      </c>
      <c r="AB43" s="5">
        <v>4306</v>
      </c>
      <c r="AC43" s="5">
        <v>1649</v>
      </c>
      <c r="AD43" s="3">
        <f t="shared" si="9"/>
        <v>2537</v>
      </c>
      <c r="AE43" s="5">
        <v>4186</v>
      </c>
      <c r="AF43" s="4">
        <f t="shared" si="10"/>
        <v>0.97213190896423596</v>
      </c>
      <c r="AG43" s="5">
        <v>3505</v>
      </c>
      <c r="AH43" s="5">
        <v>1500</v>
      </c>
      <c r="AI43" s="3">
        <f t="shared" si="11"/>
        <v>1841</v>
      </c>
      <c r="AJ43" s="5">
        <v>3341</v>
      </c>
      <c r="AK43" s="4">
        <f t="shared" si="12"/>
        <v>0.95320970042796005</v>
      </c>
      <c r="AL43" s="5">
        <v>3511</v>
      </c>
      <c r="AM43" s="5">
        <v>1598</v>
      </c>
      <c r="AN43" s="3">
        <f t="shared" si="13"/>
        <v>1776</v>
      </c>
      <c r="AO43" s="5">
        <v>3374</v>
      </c>
      <c r="AP43" s="4">
        <f t="shared" si="14"/>
        <v>0.96097977784107091</v>
      </c>
      <c r="AQ43" s="3">
        <v>4405</v>
      </c>
      <c r="AR43" s="3">
        <v>1988</v>
      </c>
      <c r="AS43" s="3">
        <f t="shared" si="15"/>
        <v>2282</v>
      </c>
      <c r="AT43" s="3">
        <v>4270</v>
      </c>
      <c r="AU43" s="4">
        <f t="shared" si="16"/>
        <v>0.96935300794551649</v>
      </c>
      <c r="AV43" s="5">
        <v>3534</v>
      </c>
      <c r="AW43" s="10">
        <v>1736</v>
      </c>
      <c r="AX43" s="3">
        <f t="shared" si="17"/>
        <v>1665</v>
      </c>
      <c r="AY43" s="5">
        <v>3401</v>
      </c>
      <c r="AZ43" s="4">
        <f t="shared" si="18"/>
        <v>0.9623655913978495</v>
      </c>
      <c r="BA43" s="10">
        <v>3464</v>
      </c>
      <c r="BB43" s="10">
        <v>1624</v>
      </c>
      <c r="BC43" s="3">
        <f t="shared" si="19"/>
        <v>1830</v>
      </c>
      <c r="BD43" s="5">
        <v>3454</v>
      </c>
      <c r="BE43" s="4">
        <f t="shared" si="20"/>
        <v>0.99711316397228633</v>
      </c>
      <c r="BF43" s="10">
        <v>4361</v>
      </c>
      <c r="BG43" s="10">
        <v>1751</v>
      </c>
      <c r="BH43" s="3">
        <f t="shared" si="23"/>
        <v>2590</v>
      </c>
      <c r="BI43" s="5">
        <v>4341</v>
      </c>
      <c r="BJ43" s="4">
        <f t="shared" si="24"/>
        <v>0.99541389589543683</v>
      </c>
    </row>
    <row r="44" spans="1:62" x14ac:dyDescent="0.3">
      <c r="A44" s="16">
        <v>36</v>
      </c>
      <c r="B44" s="2" t="s">
        <v>37</v>
      </c>
      <c r="C44" s="5">
        <v>340147</v>
      </c>
      <c r="D44" s="5">
        <v>144632</v>
      </c>
      <c r="E44" s="3">
        <f t="shared" si="0"/>
        <v>151692</v>
      </c>
      <c r="F44" s="5">
        <v>296324</v>
      </c>
      <c r="G44" s="4">
        <f t="shared" si="1"/>
        <v>0.87116452592555571</v>
      </c>
      <c r="H44" s="5">
        <v>343940</v>
      </c>
      <c r="I44" s="5">
        <v>150850</v>
      </c>
      <c r="J44" s="3">
        <f t="shared" si="2"/>
        <v>148677</v>
      </c>
      <c r="K44" s="5">
        <v>299527</v>
      </c>
      <c r="L44" s="4">
        <f t="shared" si="3"/>
        <v>0.87086991917194856</v>
      </c>
      <c r="M44" s="9">
        <v>415294</v>
      </c>
      <c r="N44" s="9">
        <v>175268</v>
      </c>
      <c r="O44" s="5">
        <v>362232</v>
      </c>
      <c r="P44" s="5">
        <v>363098</v>
      </c>
      <c r="Q44" s="4">
        <f t="shared" si="4"/>
        <v>0.87431554513188248</v>
      </c>
      <c r="R44" s="5">
        <v>349377</v>
      </c>
      <c r="S44" s="5">
        <v>151539</v>
      </c>
      <c r="T44" s="3">
        <f t="shared" si="5"/>
        <v>152723</v>
      </c>
      <c r="U44" s="5">
        <v>304262</v>
      </c>
      <c r="V44" s="4">
        <f t="shared" si="6"/>
        <v>0.87087014886497971</v>
      </c>
      <c r="W44" s="5">
        <v>352323</v>
      </c>
      <c r="X44" s="5">
        <v>143660</v>
      </c>
      <c r="Y44" s="3">
        <f t="shared" si="7"/>
        <v>164143</v>
      </c>
      <c r="Z44" s="5">
        <v>307803</v>
      </c>
      <c r="AA44" s="4">
        <f t="shared" si="8"/>
        <v>0.87363867814477059</v>
      </c>
      <c r="AB44" s="5">
        <v>424236</v>
      </c>
      <c r="AC44" s="5">
        <v>174486</v>
      </c>
      <c r="AD44" s="3">
        <f t="shared" si="9"/>
        <v>208465</v>
      </c>
      <c r="AE44" s="5">
        <v>382951</v>
      </c>
      <c r="AF44" s="4">
        <f t="shared" si="10"/>
        <v>0.90268388349880724</v>
      </c>
      <c r="AG44" s="5">
        <v>358309</v>
      </c>
      <c r="AH44" s="5">
        <v>165519</v>
      </c>
      <c r="AI44" s="3">
        <f t="shared" si="11"/>
        <v>154202</v>
      </c>
      <c r="AJ44" s="5">
        <v>319721</v>
      </c>
      <c r="AK44" s="4">
        <f t="shared" si="12"/>
        <v>0.89230524491430585</v>
      </c>
      <c r="AL44" s="5">
        <v>359722</v>
      </c>
      <c r="AM44" s="5">
        <v>173341</v>
      </c>
      <c r="AN44" s="3">
        <f t="shared" si="13"/>
        <v>150218</v>
      </c>
      <c r="AO44" s="5">
        <v>323559</v>
      </c>
      <c r="AP44" s="4">
        <f t="shared" si="14"/>
        <v>0.89946959040592456</v>
      </c>
      <c r="AQ44" s="3">
        <v>432157</v>
      </c>
      <c r="AR44" s="3">
        <v>213067</v>
      </c>
      <c r="AS44" s="3">
        <f t="shared" si="15"/>
        <v>178602</v>
      </c>
      <c r="AT44" s="3">
        <v>391669</v>
      </c>
      <c r="AU44" s="4">
        <f t="shared" si="16"/>
        <v>0.90631182648898434</v>
      </c>
      <c r="AV44" s="5">
        <v>367733</v>
      </c>
      <c r="AW44" s="10">
        <v>181970</v>
      </c>
      <c r="AX44" s="3">
        <f t="shared" si="17"/>
        <v>145697</v>
      </c>
      <c r="AY44" s="5">
        <v>327667</v>
      </c>
      <c r="AZ44" s="4">
        <f t="shared" si="18"/>
        <v>0.89104594909893864</v>
      </c>
      <c r="BA44" s="10">
        <v>337773</v>
      </c>
      <c r="BB44" s="10">
        <v>180668</v>
      </c>
      <c r="BC44" s="3">
        <f t="shared" si="19"/>
        <v>150761</v>
      </c>
      <c r="BD44" s="5">
        <v>331429</v>
      </c>
      <c r="BE44" s="4">
        <f t="shared" si="20"/>
        <v>0.98121815538838209</v>
      </c>
      <c r="BF44" s="10">
        <v>408499</v>
      </c>
      <c r="BG44" s="10">
        <v>198734</v>
      </c>
      <c r="BH44" s="3">
        <f t="shared" si="23"/>
        <v>201492</v>
      </c>
      <c r="BI44" s="5">
        <v>400226</v>
      </c>
      <c r="BJ44" s="4">
        <f t="shared" si="24"/>
        <v>0.97974780844016751</v>
      </c>
    </row>
    <row r="45" spans="1:62" x14ac:dyDescent="0.3">
      <c r="A45" s="16">
        <v>37</v>
      </c>
      <c r="B45" s="2" t="s">
        <v>38</v>
      </c>
      <c r="C45" s="5">
        <v>250172</v>
      </c>
      <c r="D45" s="5">
        <v>120224</v>
      </c>
      <c r="E45" s="3">
        <f t="shared" si="0"/>
        <v>112358</v>
      </c>
      <c r="F45" s="5">
        <v>232582</v>
      </c>
      <c r="G45" s="4">
        <f t="shared" si="1"/>
        <v>0.9296883743984139</v>
      </c>
      <c r="H45" s="5">
        <v>249985</v>
      </c>
      <c r="I45" s="5">
        <v>129578</v>
      </c>
      <c r="J45" s="3">
        <f t="shared" si="2"/>
        <v>104755</v>
      </c>
      <c r="K45" s="5">
        <v>234333</v>
      </c>
      <c r="L45" s="4">
        <f t="shared" si="3"/>
        <v>0.93738824329459769</v>
      </c>
      <c r="M45" s="9">
        <v>300587</v>
      </c>
      <c r="N45" s="9">
        <v>147753</v>
      </c>
      <c r="O45" s="5">
        <v>284476</v>
      </c>
      <c r="P45" s="5">
        <v>285022</v>
      </c>
      <c r="Q45" s="4">
        <f t="shared" si="4"/>
        <v>0.94821798680581659</v>
      </c>
      <c r="R45" s="5">
        <v>247712</v>
      </c>
      <c r="S45" s="5">
        <v>126259</v>
      </c>
      <c r="T45" s="3">
        <f t="shared" si="5"/>
        <v>109600</v>
      </c>
      <c r="U45" s="5">
        <v>235859</v>
      </c>
      <c r="V45" s="4">
        <f t="shared" si="6"/>
        <v>0.95215007750936576</v>
      </c>
      <c r="W45" s="5">
        <v>250023</v>
      </c>
      <c r="X45" s="5">
        <v>121502</v>
      </c>
      <c r="Y45" s="3">
        <f t="shared" si="7"/>
        <v>116280</v>
      </c>
      <c r="Z45" s="5">
        <v>237782</v>
      </c>
      <c r="AA45" s="4">
        <f t="shared" si="8"/>
        <v>0.95104050427360687</v>
      </c>
      <c r="AB45" s="5">
        <v>306096</v>
      </c>
      <c r="AC45" s="5">
        <v>141966</v>
      </c>
      <c r="AD45" s="3">
        <f t="shared" si="9"/>
        <v>151902</v>
      </c>
      <c r="AE45" s="5">
        <v>293868</v>
      </c>
      <c r="AF45" s="4">
        <f t="shared" si="10"/>
        <v>0.96005174847106789</v>
      </c>
      <c r="AG45" s="5">
        <v>252706</v>
      </c>
      <c r="AH45" s="5">
        <v>136990</v>
      </c>
      <c r="AI45" s="3">
        <f t="shared" si="11"/>
        <v>106725</v>
      </c>
      <c r="AJ45" s="5">
        <v>243715</v>
      </c>
      <c r="AK45" s="4">
        <f t="shared" si="12"/>
        <v>0.96442110594920583</v>
      </c>
      <c r="AL45" s="5">
        <v>254538</v>
      </c>
      <c r="AM45" s="5">
        <v>149327</v>
      </c>
      <c r="AN45" s="3">
        <f t="shared" si="13"/>
        <v>96702</v>
      </c>
      <c r="AO45" s="5">
        <v>246029</v>
      </c>
      <c r="AP45" s="4">
        <f t="shared" si="14"/>
        <v>0.96657080671648243</v>
      </c>
      <c r="AQ45" s="3">
        <v>310997</v>
      </c>
      <c r="AR45" s="3">
        <v>177127</v>
      </c>
      <c r="AS45" s="3">
        <f t="shared" si="15"/>
        <v>122787</v>
      </c>
      <c r="AT45" s="3">
        <v>299914</v>
      </c>
      <c r="AU45" s="4">
        <f t="shared" si="16"/>
        <v>0.96436300028617639</v>
      </c>
      <c r="AV45" s="5">
        <v>259359</v>
      </c>
      <c r="AW45" s="10">
        <v>149842</v>
      </c>
      <c r="AX45" s="3">
        <f t="shared" si="17"/>
        <v>98683</v>
      </c>
      <c r="AY45" s="5">
        <v>248525</v>
      </c>
      <c r="AZ45" s="4">
        <f t="shared" si="18"/>
        <v>0.95822778465370395</v>
      </c>
      <c r="BA45" s="10">
        <v>254394</v>
      </c>
      <c r="BB45" s="10">
        <v>147568</v>
      </c>
      <c r="BC45" s="3">
        <f t="shared" si="19"/>
        <v>102921</v>
      </c>
      <c r="BD45" s="5">
        <v>250489</v>
      </c>
      <c r="BE45" s="4">
        <f t="shared" si="20"/>
        <v>0.9846497951995723</v>
      </c>
      <c r="BF45" s="10">
        <v>309142</v>
      </c>
      <c r="BG45" s="10">
        <v>156753</v>
      </c>
      <c r="BH45" s="3">
        <f t="shared" si="23"/>
        <v>148079</v>
      </c>
      <c r="BI45" s="5">
        <v>304832</v>
      </c>
      <c r="BJ45" s="4">
        <f t="shared" si="24"/>
        <v>0.98605818685264379</v>
      </c>
    </row>
    <row r="46" spans="1:62" x14ac:dyDescent="0.3">
      <c r="A46" s="16">
        <v>38</v>
      </c>
      <c r="B46" s="2" t="s">
        <v>39</v>
      </c>
      <c r="C46" s="5">
        <v>2272</v>
      </c>
      <c r="D46" s="5">
        <v>613</v>
      </c>
      <c r="E46" s="3">
        <f t="shared" si="0"/>
        <v>1489</v>
      </c>
      <c r="F46" s="5">
        <v>2102</v>
      </c>
      <c r="G46" s="4">
        <f t="shared" si="1"/>
        <v>0.92517605633802813</v>
      </c>
      <c r="H46" s="5">
        <v>2410</v>
      </c>
      <c r="I46" s="5">
        <v>741</v>
      </c>
      <c r="J46" s="3">
        <f t="shared" si="2"/>
        <v>1498</v>
      </c>
      <c r="K46" s="5">
        <v>2239</v>
      </c>
      <c r="L46" s="4">
        <f t="shared" si="3"/>
        <v>0.929045643153527</v>
      </c>
      <c r="M46" s="9">
        <v>5863</v>
      </c>
      <c r="N46" s="9">
        <v>2005</v>
      </c>
      <c r="O46" s="5">
        <v>5485</v>
      </c>
      <c r="P46" s="5">
        <v>5539</v>
      </c>
      <c r="Q46" s="4">
        <f t="shared" si="4"/>
        <v>0.94473818864062764</v>
      </c>
      <c r="R46" s="5">
        <v>2354</v>
      </c>
      <c r="S46" s="5">
        <v>698</v>
      </c>
      <c r="T46" s="3">
        <f t="shared" si="5"/>
        <v>1426</v>
      </c>
      <c r="U46" s="5">
        <v>2124</v>
      </c>
      <c r="V46" s="4">
        <f t="shared" si="6"/>
        <v>0.90229396771452841</v>
      </c>
      <c r="W46" s="5">
        <v>2487</v>
      </c>
      <c r="X46" s="5">
        <v>643</v>
      </c>
      <c r="Y46" s="3">
        <f t="shared" si="7"/>
        <v>1595</v>
      </c>
      <c r="Z46" s="5">
        <v>2238</v>
      </c>
      <c r="AA46" s="4">
        <f t="shared" si="8"/>
        <v>0.89987937273823881</v>
      </c>
      <c r="AB46" s="5">
        <v>6137</v>
      </c>
      <c r="AC46" s="5">
        <v>2120</v>
      </c>
      <c r="AD46" s="3">
        <f t="shared" si="9"/>
        <v>4054</v>
      </c>
      <c r="AE46" s="5">
        <v>6174</v>
      </c>
      <c r="AF46" s="4">
        <f t="shared" si="10"/>
        <v>1.0060290043995437</v>
      </c>
      <c r="AG46" s="5">
        <v>2383</v>
      </c>
      <c r="AH46" s="5">
        <v>764</v>
      </c>
      <c r="AI46" s="3">
        <f t="shared" si="11"/>
        <v>1615</v>
      </c>
      <c r="AJ46" s="5">
        <v>2379</v>
      </c>
      <c r="AK46" s="4">
        <f t="shared" si="12"/>
        <v>0.99832144355853969</v>
      </c>
      <c r="AL46" s="5">
        <v>2468</v>
      </c>
      <c r="AM46" s="5">
        <v>818</v>
      </c>
      <c r="AN46" s="3">
        <f t="shared" si="13"/>
        <v>1646</v>
      </c>
      <c r="AO46" s="5">
        <v>2464</v>
      </c>
      <c r="AP46" s="4">
        <f t="shared" si="14"/>
        <v>0.99837925445705022</v>
      </c>
      <c r="AQ46" s="3">
        <v>6357</v>
      </c>
      <c r="AR46" s="3">
        <v>2495</v>
      </c>
      <c r="AS46" s="3">
        <f t="shared" si="15"/>
        <v>3899</v>
      </c>
      <c r="AT46" s="3">
        <v>6394</v>
      </c>
      <c r="AU46" s="4">
        <f t="shared" si="16"/>
        <v>1.0058203555136072</v>
      </c>
      <c r="AV46" s="5">
        <v>2401</v>
      </c>
      <c r="AW46" s="10">
        <v>960</v>
      </c>
      <c r="AX46" s="3">
        <f t="shared" si="17"/>
        <v>1363</v>
      </c>
      <c r="AY46" s="5">
        <v>2323</v>
      </c>
      <c r="AZ46" s="4">
        <f t="shared" si="18"/>
        <v>0.96751353602665557</v>
      </c>
      <c r="BA46" s="10">
        <v>2316</v>
      </c>
      <c r="BB46" s="10">
        <v>983</v>
      </c>
      <c r="BC46" s="3">
        <f t="shared" si="19"/>
        <v>1413</v>
      </c>
      <c r="BD46" s="5">
        <v>2396</v>
      </c>
      <c r="BE46" s="4">
        <f t="shared" si="20"/>
        <v>1.0345423143350605</v>
      </c>
      <c r="BF46" s="10">
        <v>6380</v>
      </c>
      <c r="BG46" s="10">
        <v>2301</v>
      </c>
      <c r="BH46" s="3">
        <f t="shared" si="23"/>
        <v>4304</v>
      </c>
      <c r="BI46" s="5">
        <v>6605</v>
      </c>
      <c r="BJ46" s="4">
        <f t="shared" si="24"/>
        <v>1.0352664576802508</v>
      </c>
    </row>
    <row r="47" spans="1:62" x14ac:dyDescent="0.3">
      <c r="A47" s="16">
        <v>97</v>
      </c>
      <c r="B47" s="2" t="s">
        <v>40</v>
      </c>
      <c r="C47" s="5">
        <v>82</v>
      </c>
      <c r="D47" s="5">
        <v>61</v>
      </c>
      <c r="E47" s="3">
        <f t="shared" si="0"/>
        <v>5</v>
      </c>
      <c r="F47" s="5">
        <v>66</v>
      </c>
      <c r="G47" s="4">
        <f t="shared" si="1"/>
        <v>0.80487804878048785</v>
      </c>
      <c r="H47" s="5">
        <v>81</v>
      </c>
      <c r="I47" s="5">
        <v>60</v>
      </c>
      <c r="J47" s="3">
        <f t="shared" si="2"/>
        <v>5</v>
      </c>
      <c r="K47" s="5">
        <v>65</v>
      </c>
      <c r="L47" s="4">
        <f t="shared" si="3"/>
        <v>0.80246913580246915</v>
      </c>
      <c r="M47" s="9">
        <v>87</v>
      </c>
      <c r="N47" s="9">
        <v>63</v>
      </c>
      <c r="O47" s="5">
        <v>71</v>
      </c>
      <c r="P47" s="5">
        <v>71</v>
      </c>
      <c r="Q47" s="4">
        <f t="shared" si="4"/>
        <v>0.81609195402298851</v>
      </c>
      <c r="R47" s="5">
        <v>80</v>
      </c>
      <c r="S47" s="5">
        <v>60</v>
      </c>
      <c r="T47" s="3">
        <f t="shared" si="5"/>
        <v>4</v>
      </c>
      <c r="U47" s="5">
        <v>64</v>
      </c>
      <c r="V47" s="4">
        <f t="shared" si="6"/>
        <v>0.8</v>
      </c>
      <c r="W47" s="5">
        <v>83</v>
      </c>
      <c r="X47" s="5">
        <v>61</v>
      </c>
      <c r="Y47" s="3">
        <f t="shared" si="7"/>
        <v>4</v>
      </c>
      <c r="Z47" s="5">
        <v>65</v>
      </c>
      <c r="AA47" s="4">
        <f t="shared" si="8"/>
        <v>0.7831325301204819</v>
      </c>
      <c r="AB47" s="5">
        <v>87</v>
      </c>
      <c r="AC47" s="5">
        <v>60</v>
      </c>
      <c r="AD47" s="3">
        <f t="shared" si="9"/>
        <v>10</v>
      </c>
      <c r="AE47" s="5">
        <v>70</v>
      </c>
      <c r="AF47" s="4">
        <f t="shared" si="10"/>
        <v>0.8045977011494253</v>
      </c>
      <c r="AG47" s="5">
        <v>80</v>
      </c>
      <c r="AH47" s="5">
        <v>60</v>
      </c>
      <c r="AI47" s="3">
        <f t="shared" si="11"/>
        <v>4</v>
      </c>
      <c r="AJ47" s="5">
        <v>64</v>
      </c>
      <c r="AK47" s="4">
        <f t="shared" si="12"/>
        <v>0.8</v>
      </c>
      <c r="AL47" s="5">
        <v>81</v>
      </c>
      <c r="AM47" s="5">
        <v>58</v>
      </c>
      <c r="AN47" s="3">
        <f t="shared" si="13"/>
        <v>7</v>
      </c>
      <c r="AO47" s="5">
        <v>65</v>
      </c>
      <c r="AP47" s="4">
        <f t="shared" si="14"/>
        <v>0.80246913580246915</v>
      </c>
      <c r="AQ47" s="3">
        <v>87</v>
      </c>
      <c r="AR47" s="3">
        <v>66</v>
      </c>
      <c r="AS47" s="3">
        <f t="shared" si="15"/>
        <v>4</v>
      </c>
      <c r="AT47" s="3">
        <v>70</v>
      </c>
      <c r="AU47" s="4">
        <f t="shared" si="16"/>
        <v>0.8045977011494253</v>
      </c>
      <c r="AV47" s="5">
        <v>83</v>
      </c>
      <c r="AW47" s="10">
        <v>62</v>
      </c>
      <c r="AX47" s="3">
        <f t="shared" si="17"/>
        <v>3</v>
      </c>
      <c r="AY47" s="5">
        <v>65</v>
      </c>
      <c r="AZ47" s="4">
        <f t="shared" si="18"/>
        <v>0.7831325301204819</v>
      </c>
      <c r="BA47" s="10">
        <v>79</v>
      </c>
      <c r="BB47" s="10">
        <v>61</v>
      </c>
      <c r="BC47" s="3">
        <f t="shared" si="19"/>
        <v>6</v>
      </c>
      <c r="BD47" s="5">
        <v>67</v>
      </c>
      <c r="BE47" s="4">
        <f t="shared" si="20"/>
        <v>0.84810126582278478</v>
      </c>
      <c r="BF47" s="10">
        <v>86</v>
      </c>
      <c r="BG47" s="10">
        <v>68</v>
      </c>
      <c r="BH47" s="3">
        <f t="shared" si="23"/>
        <v>7</v>
      </c>
      <c r="BI47" s="5">
        <v>75</v>
      </c>
      <c r="BJ47" s="4">
        <f t="shared" si="24"/>
        <v>0.87209302325581395</v>
      </c>
    </row>
    <row r="48" spans="1:62" ht="15.6" x14ac:dyDescent="0.3">
      <c r="A48" s="24" t="s">
        <v>41</v>
      </c>
      <c r="B48" s="24"/>
      <c r="C48" s="7">
        <f>SUM(C10:C47)</f>
        <v>7396603</v>
      </c>
      <c r="D48" s="7">
        <f>SUM(D10:D47)</f>
        <v>4078514</v>
      </c>
      <c r="E48" s="8">
        <f>F48-D48</f>
        <v>2892082</v>
      </c>
      <c r="F48" s="7">
        <f>SUM(F10:F47)</f>
        <v>6970596</v>
      </c>
      <c r="G48" s="6">
        <f>F48/C48</f>
        <v>0.94240504728995189</v>
      </c>
      <c r="H48" s="7">
        <f>SUM(H10:H47)</f>
        <v>7495580</v>
      </c>
      <c r="I48" s="7">
        <f>SUM(I10:I47)</f>
        <v>4298548</v>
      </c>
      <c r="J48" s="8">
        <f t="shared" ref="J48" si="25">K48-I48</f>
        <v>2779853</v>
      </c>
      <c r="K48" s="7">
        <f>SUM(K10:K47)</f>
        <v>7078401</v>
      </c>
      <c r="L48" s="6">
        <f t="shared" ref="L48" si="26">K48/H48</f>
        <v>0.94434333300425055</v>
      </c>
      <c r="M48" s="7">
        <f>SUM(M10:M47)</f>
        <v>11841205</v>
      </c>
      <c r="N48" s="7">
        <f>SUM(N10:N47)</f>
        <v>6453051</v>
      </c>
      <c r="O48" s="7">
        <f t="shared" ref="O48" si="27">P48-N48</f>
        <v>4723391</v>
      </c>
      <c r="P48" s="7">
        <f>SUM(P10:P47)</f>
        <v>11176442</v>
      </c>
      <c r="Q48" s="6">
        <f t="shared" ref="Q48" si="28">P48/M48</f>
        <v>0.94386018990465914</v>
      </c>
      <c r="R48" s="7">
        <f>SUM(R10:R47)</f>
        <v>7543421</v>
      </c>
      <c r="S48" s="7">
        <f>SUM(S10:S47)</f>
        <v>4233055</v>
      </c>
      <c r="T48" s="8">
        <f>U48-S48</f>
        <v>2871563</v>
      </c>
      <c r="U48" s="7">
        <f>SUM(U10:U47)</f>
        <v>7104618</v>
      </c>
      <c r="V48" s="6">
        <f>U48/R48</f>
        <v>0.94182970829813162</v>
      </c>
      <c r="W48" s="7">
        <f>SUM(W10:W47)</f>
        <v>7631076</v>
      </c>
      <c r="X48" s="7">
        <f>SUM(X10:X47)</f>
        <v>4167575</v>
      </c>
      <c r="Y48" s="8">
        <f t="shared" ref="Y48" si="29">Z48-X48</f>
        <v>3037944</v>
      </c>
      <c r="Z48" s="7">
        <f>SUM(Z10:Z47)</f>
        <v>7205519</v>
      </c>
      <c r="AA48" s="6">
        <f t="shared" ref="AA48" si="30">Z48/W48</f>
        <v>0.94423368342812997</v>
      </c>
      <c r="AB48" s="7">
        <f>SUM(AB10:AB47)</f>
        <v>12040422</v>
      </c>
      <c r="AC48" s="7">
        <f>SUM(AC10:AC47)</f>
        <v>6430811</v>
      </c>
      <c r="AD48" s="8">
        <f>AE48-AC48</f>
        <v>5143372</v>
      </c>
      <c r="AE48" s="7">
        <f>SUM(AE10:AE47)</f>
        <v>11574183</v>
      </c>
      <c r="AF48" s="6">
        <f>AE48/AB48</f>
        <v>0.9612771877929196</v>
      </c>
      <c r="AG48" s="7">
        <f>SUM(AG10:AG47)</f>
        <v>7706566</v>
      </c>
      <c r="AH48" s="7">
        <f>SUM(AH10:AH47)</f>
        <v>4553744</v>
      </c>
      <c r="AI48" s="8">
        <f>AJ48-AH48</f>
        <v>2802611</v>
      </c>
      <c r="AJ48" s="7">
        <f>SUM(AJ10:AJ47)</f>
        <v>7356355</v>
      </c>
      <c r="AK48" s="6">
        <f>AJ48/AG48</f>
        <v>0.95455680260183329</v>
      </c>
      <c r="AL48" s="7">
        <f>SUM(AL10:AL47)</f>
        <v>7799229</v>
      </c>
      <c r="AM48" s="7">
        <f>SUM(AM10:AM47)</f>
        <v>4675136</v>
      </c>
      <c r="AN48" s="8">
        <f t="shared" ref="AN48" si="31">AO48-AM48</f>
        <v>2784819</v>
      </c>
      <c r="AO48" s="7">
        <f>SUM(AO10:AO47)</f>
        <v>7459955</v>
      </c>
      <c r="AP48" s="6">
        <f t="shared" ref="AP48" si="32">AO48/AL48</f>
        <v>0.95649903343009934</v>
      </c>
      <c r="AQ48" s="7">
        <f>SUM(AQ10:AQ47)</f>
        <v>12230251</v>
      </c>
      <c r="AR48" s="7">
        <f>SUM(AR10:AR47)</f>
        <v>7340946</v>
      </c>
      <c r="AS48" s="8">
        <f>AT48-AR48</f>
        <v>4440328</v>
      </c>
      <c r="AT48" s="7">
        <f>SUM(AT10:AT47)</f>
        <v>11781274</v>
      </c>
      <c r="AU48" s="6">
        <f>AT48/AQ48</f>
        <v>0.96328963322175476</v>
      </c>
      <c r="AV48" s="7">
        <f>SUM(AV10:AV47)</f>
        <v>7986389</v>
      </c>
      <c r="AW48" s="7">
        <f>SUM(AW10:AW47)</f>
        <v>4908766</v>
      </c>
      <c r="AX48" s="8">
        <f t="shared" ref="AX48" si="33">AY48-AW48</f>
        <v>2608517</v>
      </c>
      <c r="AY48" s="7">
        <f>SUM(AY10:AY47)</f>
        <v>7517283</v>
      </c>
      <c r="AZ48" s="6">
        <f t="shared" ref="AZ48" si="34">AY48/AV48</f>
        <v>0.94126181431933753</v>
      </c>
      <c r="BA48" s="7">
        <f>SUM(BA10:BA47)</f>
        <v>7721452</v>
      </c>
      <c r="BB48" s="7">
        <f>SUM(BB10:BB47)</f>
        <v>4858369</v>
      </c>
      <c r="BC48" s="8">
        <f t="shared" ref="BC48" si="35">BD48-BB48</f>
        <v>2771770</v>
      </c>
      <c r="BD48" s="7">
        <f>SUM(BD10:BD47)</f>
        <v>7630139</v>
      </c>
      <c r="BE48" s="6">
        <f t="shared" ref="BE48" si="36">BD48/BA48</f>
        <v>0.98817411543839162</v>
      </c>
      <c r="BF48" s="7">
        <f>SUM(BF10:BF47)</f>
        <v>12067413</v>
      </c>
      <c r="BG48" s="7">
        <f>SUM(BG10:BG47)</f>
        <v>6992381</v>
      </c>
      <c r="BH48" s="8">
        <f>BI48-BG48</f>
        <v>5014022</v>
      </c>
      <c r="BI48" s="7">
        <f>SUM(BI10:BI47)</f>
        <v>12006403</v>
      </c>
      <c r="BJ48" s="6">
        <f>BI48/BF48</f>
        <v>0.99494423535516685</v>
      </c>
    </row>
  </sheetData>
  <mergeCells count="16">
    <mergeCell ref="A48:B48"/>
    <mergeCell ref="AB8:AF8"/>
    <mergeCell ref="AG8:AK8"/>
    <mergeCell ref="W8:AA8"/>
    <mergeCell ref="R8:V8"/>
    <mergeCell ref="M8:Q8"/>
    <mergeCell ref="BF8:BJ8"/>
    <mergeCell ref="A3:B3"/>
    <mergeCell ref="A8:A9"/>
    <mergeCell ref="B8:B9"/>
    <mergeCell ref="C8:G8"/>
    <mergeCell ref="H8:L8"/>
    <mergeCell ref="BA8:BE8"/>
    <mergeCell ref="AV8:AZ8"/>
    <mergeCell ref="AQ8:AU8"/>
    <mergeCell ref="AL8:AP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2021-04-12T06:01:25Z</dcterms:created>
  <dcterms:modified xsi:type="dcterms:W3CDTF">2026-09-09T11:40:53Z</dcterms:modified>
</cp:coreProperties>
</file>