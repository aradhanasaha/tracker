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Jul 24\GST Statistics Downloads 31ts Jul 24\Downloads\New Settlement\"/>
    </mc:Choice>
  </mc:AlternateContent>
  <xr:revisionPtr revIDLastSave="0" documentId="13_ncr:1_{86A7FA06-01D9-4007-8324-B800B0698A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lement_2019_20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4" i="7" l="1"/>
  <c r="AO43" i="7"/>
  <c r="AO42" i="7"/>
  <c r="AO41" i="7"/>
  <c r="AO40" i="7"/>
  <c r="AO39" i="7"/>
  <c r="AO38" i="7"/>
  <c r="AO37" i="7"/>
  <c r="AO36" i="7"/>
  <c r="AO35" i="7"/>
  <c r="AO34" i="7"/>
  <c r="AO33" i="7"/>
  <c r="AO32" i="7"/>
  <c r="AO31" i="7"/>
  <c r="AO30" i="7"/>
  <c r="AO29" i="7"/>
  <c r="AO28" i="7"/>
  <c r="AO27" i="7"/>
  <c r="AO26" i="7"/>
  <c r="AO25" i="7"/>
  <c r="AO24" i="7"/>
  <c r="AO23" i="7"/>
  <c r="AO22" i="7"/>
  <c r="AO21" i="7"/>
  <c r="AO20" i="7"/>
  <c r="AO19" i="7"/>
  <c r="AO18" i="7"/>
  <c r="AO17" i="7"/>
  <c r="AO16" i="7"/>
  <c r="AO15" i="7"/>
  <c r="AO14" i="7"/>
  <c r="AO13" i="7"/>
  <c r="AO12" i="7"/>
  <c r="AO11" i="7"/>
  <c r="AO10" i="7"/>
  <c r="AO9" i="7"/>
  <c r="AO8" i="7"/>
  <c r="AO45" i="7" s="1"/>
  <c r="AO7" i="7"/>
  <c r="AL44" i="7"/>
  <c r="AL43" i="7"/>
  <c r="AL42" i="7"/>
  <c r="AL41" i="7"/>
  <c r="AL40" i="7"/>
  <c r="AL39" i="7"/>
  <c r="AL38" i="7"/>
  <c r="AL37" i="7"/>
  <c r="AL36" i="7"/>
  <c r="AL35" i="7"/>
  <c r="AL34" i="7"/>
  <c r="AL33" i="7"/>
  <c r="AL32" i="7"/>
  <c r="AL31" i="7"/>
  <c r="AL30" i="7"/>
  <c r="AL29" i="7"/>
  <c r="AL28" i="7"/>
  <c r="AL27" i="7"/>
  <c r="AL26" i="7"/>
  <c r="AL25" i="7"/>
  <c r="AL24" i="7"/>
  <c r="AL23" i="7"/>
  <c r="AL22" i="7"/>
  <c r="AL21" i="7"/>
  <c r="AL20" i="7"/>
  <c r="AL19" i="7"/>
  <c r="AL18" i="7"/>
  <c r="AL17" i="7"/>
  <c r="AL16" i="7"/>
  <c r="AL15" i="7"/>
  <c r="AL14" i="7"/>
  <c r="AL13" i="7"/>
  <c r="AL12" i="7"/>
  <c r="AL11" i="7"/>
  <c r="AL10" i="7"/>
  <c r="AL9" i="7"/>
  <c r="AL45" i="7" s="1"/>
  <c r="AL8" i="7"/>
  <c r="AL7" i="7"/>
  <c r="AI44" i="7"/>
  <c r="AI43" i="7"/>
  <c r="AI42" i="7"/>
  <c r="AI41" i="7"/>
  <c r="AI40" i="7"/>
  <c r="AI39" i="7"/>
  <c r="AI38" i="7"/>
  <c r="AI37" i="7"/>
  <c r="AI36" i="7"/>
  <c r="AI35" i="7"/>
  <c r="AI34" i="7"/>
  <c r="AI33" i="7"/>
  <c r="AI32" i="7"/>
  <c r="AI31" i="7"/>
  <c r="AI30" i="7"/>
  <c r="AI29" i="7"/>
  <c r="AI28" i="7"/>
  <c r="AI27" i="7"/>
  <c r="AI26" i="7"/>
  <c r="AI25" i="7"/>
  <c r="AI24" i="7"/>
  <c r="AI23" i="7"/>
  <c r="AI22" i="7"/>
  <c r="AI21" i="7"/>
  <c r="AI20" i="7"/>
  <c r="AI19" i="7"/>
  <c r="AI18" i="7"/>
  <c r="AI17" i="7"/>
  <c r="AI16" i="7"/>
  <c r="AI15" i="7"/>
  <c r="AI14" i="7"/>
  <c r="AI13" i="7"/>
  <c r="AI12" i="7"/>
  <c r="AI11" i="7"/>
  <c r="AI10" i="7"/>
  <c r="AI9" i="7"/>
  <c r="AI8" i="7"/>
  <c r="AI7" i="7"/>
  <c r="AI45" i="7" s="1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45" i="7" s="1"/>
  <c r="AF13" i="7"/>
  <c r="AF12" i="7"/>
  <c r="AF11" i="7"/>
  <c r="AF10" i="7"/>
  <c r="AF9" i="7"/>
  <c r="AF8" i="7"/>
  <c r="AF7" i="7"/>
  <c r="AC44" i="7"/>
  <c r="AC43" i="7"/>
  <c r="AC42" i="7"/>
  <c r="AC41" i="7"/>
  <c r="AC40" i="7"/>
  <c r="AC39" i="7"/>
  <c r="AC38" i="7"/>
  <c r="AC37" i="7"/>
  <c r="AC36" i="7"/>
  <c r="AC35" i="7"/>
  <c r="AC34" i="7"/>
  <c r="AC33" i="7"/>
  <c r="AC32" i="7"/>
  <c r="AC31" i="7"/>
  <c r="E31" i="7" s="1"/>
  <c r="AC30" i="7"/>
  <c r="AC29" i="7"/>
  <c r="AC28" i="7"/>
  <c r="AC27" i="7"/>
  <c r="AC26" i="7"/>
  <c r="AC25" i="7"/>
  <c r="AC24" i="7"/>
  <c r="AC23" i="7"/>
  <c r="AC22" i="7"/>
  <c r="AC21" i="7"/>
  <c r="AC20" i="7"/>
  <c r="AC19" i="7"/>
  <c r="E19" i="7" s="1"/>
  <c r="AC18" i="7"/>
  <c r="AC17" i="7"/>
  <c r="AC16" i="7"/>
  <c r="AC15" i="7"/>
  <c r="E15" i="7" s="1"/>
  <c r="AC14" i="7"/>
  <c r="AC13" i="7"/>
  <c r="AC12" i="7"/>
  <c r="AC11" i="7"/>
  <c r="AC10" i="7"/>
  <c r="AC9" i="7"/>
  <c r="AC8" i="7"/>
  <c r="AC7" i="7"/>
  <c r="AC45" i="7" s="1"/>
  <c r="Z44" i="7"/>
  <c r="Z43" i="7"/>
  <c r="Z42" i="7"/>
  <c r="Z41" i="7"/>
  <c r="Z40" i="7"/>
  <c r="Z39" i="7"/>
  <c r="Z38" i="7"/>
  <c r="Z37" i="7"/>
  <c r="Z36" i="7"/>
  <c r="Z35" i="7"/>
  <c r="Z34" i="7"/>
  <c r="Z33" i="7"/>
  <c r="Z32" i="7"/>
  <c r="Z31" i="7"/>
  <c r="Z30" i="7"/>
  <c r="Z29" i="7"/>
  <c r="Z28" i="7"/>
  <c r="Z27" i="7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45" i="7" s="1"/>
  <c r="Z12" i="7"/>
  <c r="Z11" i="7"/>
  <c r="Z10" i="7"/>
  <c r="Z9" i="7"/>
  <c r="Z8" i="7"/>
  <c r="Z7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45" i="7" s="1"/>
  <c r="W8" i="7"/>
  <c r="W7" i="7"/>
  <c r="T44" i="7"/>
  <c r="T43" i="7"/>
  <c r="T42" i="7"/>
  <c r="T41" i="7"/>
  <c r="T40" i="7"/>
  <c r="T39" i="7"/>
  <c r="T38" i="7"/>
  <c r="T37" i="7"/>
  <c r="T36" i="7"/>
  <c r="T35" i="7"/>
  <c r="T34" i="7"/>
  <c r="T33" i="7"/>
  <c r="E33" i="7" s="1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45" i="7" s="1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45" i="7" s="1"/>
  <c r="Q7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7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C45" i="7" s="1"/>
  <c r="F45" i="7"/>
  <c r="AN45" i="7"/>
  <c r="AM45" i="7"/>
  <c r="AK45" i="7"/>
  <c r="AJ45" i="7"/>
  <c r="AH45" i="7"/>
  <c r="AG45" i="7"/>
  <c r="AE45" i="7"/>
  <c r="AD45" i="7"/>
  <c r="AB45" i="7"/>
  <c r="AA45" i="7"/>
  <c r="Y45" i="7"/>
  <c r="X45" i="7"/>
  <c r="V45" i="7"/>
  <c r="U45" i="7"/>
  <c r="S45" i="7"/>
  <c r="R45" i="7"/>
  <c r="P45" i="7"/>
  <c r="O45" i="7"/>
  <c r="M45" i="7"/>
  <c r="L45" i="7"/>
  <c r="K45" i="7"/>
  <c r="J45" i="7"/>
  <c r="I45" i="7"/>
  <c r="G45" i="7"/>
  <c r="E11" i="7" l="1"/>
  <c r="E27" i="7"/>
  <c r="E43" i="7"/>
  <c r="E24" i="7"/>
  <c r="E18" i="7"/>
  <c r="E14" i="7"/>
  <c r="E30" i="7"/>
  <c r="E39" i="7"/>
  <c r="E23" i="7"/>
  <c r="E38" i="7"/>
  <c r="E32" i="7"/>
  <c r="E40" i="7"/>
  <c r="E10" i="7"/>
  <c r="E26" i="7"/>
  <c r="E34" i="7"/>
  <c r="E42" i="7"/>
  <c r="E12" i="7"/>
  <c r="E20" i="7"/>
  <c r="E28" i="7"/>
  <c r="E37" i="7"/>
  <c r="E29" i="7"/>
  <c r="E21" i="7"/>
  <c r="E13" i="7"/>
  <c r="E9" i="7"/>
  <c r="E25" i="7"/>
  <c r="E35" i="7"/>
  <c r="E22" i="7"/>
  <c r="E8" i="7"/>
  <c r="E16" i="7"/>
  <c r="E17" i="7"/>
  <c r="N45" i="7"/>
  <c r="E41" i="7"/>
  <c r="E44" i="7"/>
  <c r="E36" i="7"/>
  <c r="E7" i="7"/>
  <c r="H45" i="7"/>
  <c r="D45" i="7"/>
  <c r="E45" i="7" l="1"/>
</calcChain>
</file>

<file path=xl/sharedStrings.xml><?xml version="1.0" encoding="utf-8"?>
<sst xmlns="http://schemas.openxmlformats.org/spreadsheetml/2006/main" count="84" uniqueCount="48">
  <si>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</si>
  <si>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</si>
  <si>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</si>
  <si>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</si>
  <si>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</si>
  <si>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</si>
  <si>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</si>
  <si>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</si>
  <si>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</si>
  <si>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</si>
  <si>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</si>
  <si>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</si>
  <si>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</si>
  <si>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</si>
  <si>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</si>
  <si>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</si>
  <si>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</si>
  <si>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</si>
  <si>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</si>
  <si>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</si>
  <si>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</si>
  <si>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</si>
  <si>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</si>
  <si>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</si>
  <si>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</si>
  <si>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</si>
  <si>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</si>
  <si>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</si>
  <si>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</si>
  <si>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</si>
  <si>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</si>
  <si>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</si>
  <si>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Other Territory</t>
  </si>
  <si>
    <t>Total</t>
  </si>
  <si>
    <t>Chhattisgarh</t>
  </si>
  <si>
    <t>Gujarat</t>
  </si>
  <si>
    <t>Maharashtra</t>
  </si>
  <si>
    <t>State Cd</t>
  </si>
  <si>
    <t>State</t>
  </si>
  <si>
    <t>FINANCIAL YEAR 2019-2020</t>
  </si>
  <si>
    <t>(Rs. In Crore)</t>
  </si>
  <si>
    <t>SETTLEMENT OF IGST WITH STATES/UTs</t>
  </si>
  <si>
    <t>Andaman and Nicobar Island</t>
  </si>
  <si>
    <t>Ladakh</t>
  </si>
  <si>
    <t>Regular Settlement</t>
  </si>
  <si>
    <t>Adhoc Settlement</t>
  </si>
  <si>
    <t>Financial Year (2019-20)</t>
  </si>
  <si>
    <t>All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</si>
</sst>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2" fillId="2" borderId="0" xfId="0" applyFont="1" applyFill="1"/>
    <xf numFmtId="17" fontId="7" fillId="3" borderId="1" xfId="0" applyNumberFormat="1" applyFont="1" applyFill="1" applyBorder="1" applyAlignment="1">
      <alignment horizontal="center" vertical="center" wrapText="1"/>
    </xf>
    <xf numFmtId="17" fontId="7" fillId="2" borderId="1" xfId="0" applyNumberFormat="1" applyFont="1" applyFill="1" applyBorder="1" applyAlignment="1">
      <alignment horizontal="center" vertical="center" wrapText="1"/>
    </xf>
    <xf numFmtId="43" fontId="8" fillId="3" borderId="1" xfId="1" applyFont="1" applyFill="1" applyBorder="1" applyAlignment="1">
      <alignment vertical="center"/>
    </xf>
    <xf numFmtId="43" fontId="3" fillId="3" borderId="1" xfId="1" applyFont="1" applyFill="1" applyBorder="1" applyAlignment="1">
      <alignment vertical="center"/>
    </xf>
    <xf numFmtId="43" fontId="0" fillId="0" borderId="1" xfId="1" applyFont="1" applyBorder="1"/>
    <xf numFmtId="43" fontId="3" fillId="0" borderId="1" xfId="1" applyFont="1" applyBorder="1" applyAlignment="1">
      <alignment horizontal="right" vertical="center"/>
    </xf>
    <xf numFmtId="43" fontId="4" fillId="0" borderId="1" xfId="1" applyFont="1" applyBorder="1" applyAlignment="1">
      <alignment vertical="center" wrapText="1"/>
    </xf>
    <xf numFmtId="164" fontId="8" fillId="3" borderId="1" xfId="0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7" fontId="6" fillId="2" borderId="2" xfId="0" applyNumberFormat="1" applyFont="1" applyFill="1" applyBorder="1" applyAlignment="1">
      <alignment horizontal="center" vertical="center" wrapText="1"/>
    </xf>
    <xf numFmtId="17" fontId="6" fillId="2" borderId="4" xfId="0" applyNumberFormat="1" applyFont="1" applyFill="1" applyBorder="1" applyAlignment="1">
      <alignment horizontal="center" vertical="center" wrapText="1"/>
    </xf>
    <xf numFmtId="17" fontId="6" fillId="2" borderId="3" xfId="0" applyNumberFormat="1" applyFont="1" applyFill="1" applyBorder="1" applyAlignment="1">
      <alignment horizontal="center" vertical="center" wrapText="1"/>
    </xf>
    <xf numFmtId="17" fontId="6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5"/>
  <sheetViews>
    <sheetView tabSelected="1" zoomScale="80" workbookViewId="0">
      <selection activeCell="Y16" sqref="Y16"/>
    </sheetView>
  </sheetViews>
  <sheetFormatPr defaultColWidth="8.77734375" defaultRowHeight="14.4" x14ac:dyDescent="0.3"/>
  <cols>
    <col min="2" max="2" width="23.6640625" bestFit="1" customWidth="1"/>
    <col min="3" max="5" width="17.21875" customWidth="1"/>
    <col min="6" max="42" width="11.5546875" customWidth="1"/>
  </cols>
  <sheetData>
    <row r="1" spans="1:41" ht="22.95" customHeight="1" x14ac:dyDescent="0.35">
      <c r="A1" s="3" t="s">
        <v>41</v>
      </c>
      <c r="B1" s="3"/>
      <c r="C1" s="3"/>
    </row>
    <row r="2" spans="1:41" ht="22.95" customHeight="1" x14ac:dyDescent="0.35">
      <c r="A2" s="2"/>
      <c r="B2" s="2"/>
      <c r="C2" s="2"/>
    </row>
    <row r="3" spans="1:41" ht="22.95" customHeight="1" x14ac:dyDescent="0.35">
      <c r="A3" s="19" t="s">
        <v>39</v>
      </c>
      <c r="B3" s="19"/>
      <c r="C3" s="3" t="s">
        <v>40</v>
      </c>
    </row>
    <row r="5" spans="1:41" ht="15.6" x14ac:dyDescent="0.3">
      <c r="C5" s="12" t="s">
        <v>46</v>
      </c>
      <c r="D5" s="13"/>
      <c r="E5" s="14"/>
      <c r="F5" s="15">
        <v>43556</v>
      </c>
      <c r="G5" s="16"/>
      <c r="H5" s="17"/>
      <c r="I5" s="15">
        <v>43586</v>
      </c>
      <c r="J5" s="16"/>
      <c r="K5" s="17"/>
      <c r="L5" s="15">
        <v>43617</v>
      </c>
      <c r="M5" s="16"/>
      <c r="N5" s="17"/>
      <c r="O5" s="18">
        <v>43647</v>
      </c>
      <c r="P5" s="18"/>
      <c r="Q5" s="18"/>
      <c r="R5" s="18">
        <v>43678</v>
      </c>
      <c r="S5" s="18"/>
      <c r="T5" s="18"/>
      <c r="U5" s="18">
        <v>43709</v>
      </c>
      <c r="V5" s="18"/>
      <c r="W5" s="18"/>
      <c r="X5" s="18">
        <v>43739</v>
      </c>
      <c r="Y5" s="18"/>
      <c r="Z5" s="18"/>
      <c r="AA5" s="18">
        <v>43770</v>
      </c>
      <c r="AB5" s="18"/>
      <c r="AC5" s="18"/>
      <c r="AD5" s="18">
        <v>43800</v>
      </c>
      <c r="AE5" s="18"/>
      <c r="AF5" s="18"/>
      <c r="AG5" s="18">
        <v>43831</v>
      </c>
      <c r="AH5" s="18"/>
      <c r="AI5" s="18"/>
      <c r="AJ5" s="18">
        <v>43862</v>
      </c>
      <c r="AK5" s="18"/>
      <c r="AL5" s="18"/>
      <c r="AM5" s="18">
        <v>43891</v>
      </c>
      <c r="AN5" s="18"/>
      <c r="AO5" s="18"/>
    </row>
    <row r="6" spans="1:41" ht="28.8" x14ac:dyDescent="0.3">
      <c r="A6" s="4" t="s">
        <v>37</v>
      </c>
      <c r="B6" s="4" t="s">
        <v>38</v>
      </c>
      <c r="C6" s="4" t="s">
        <v>44</v>
      </c>
      <c r="D6" s="4" t="s">
        <v>45</v>
      </c>
      <c r="E6" s="4" t="s">
        <v>33</v>
      </c>
      <c r="F6" s="5" t="s">
        <v>44</v>
      </c>
      <c r="G6" s="5" t="s">
        <v>45</v>
      </c>
      <c r="H6" s="5" t="s">
        <v>33</v>
      </c>
      <c r="I6" s="5" t="s">
        <v>44</v>
      </c>
      <c r="J6" s="5" t="s">
        <v>45</v>
      </c>
      <c r="K6" s="5" t="s">
        <v>33</v>
      </c>
      <c r="L6" s="5" t="s">
        <v>44</v>
      </c>
      <c r="M6" s="5" t="s">
        <v>45</v>
      </c>
      <c r="N6" s="5" t="s">
        <v>33</v>
      </c>
      <c r="O6" s="5" t="s">
        <v>44</v>
      </c>
      <c r="P6" s="5" t="s">
        <v>45</v>
      </c>
      <c r="Q6" s="5" t="s">
        <v>33</v>
      </c>
      <c r="R6" s="5" t="s">
        <v>44</v>
      </c>
      <c r="S6" s="5" t="s">
        <v>45</v>
      </c>
      <c r="T6" s="5" t="s">
        <v>33</v>
      </c>
      <c r="U6" s="5" t="s">
        <v>44</v>
      </c>
      <c r="V6" s="5" t="s">
        <v>45</v>
      </c>
      <c r="W6" s="5" t="s">
        <v>33</v>
      </c>
      <c r="X6" s="5" t="s">
        <v>44</v>
      </c>
      <c r="Y6" s="5" t="s">
        <v>45</v>
      </c>
      <c r="Z6" s="5" t="s">
        <v>33</v>
      </c>
      <c r="AA6" s="5" t="s">
        <v>44</v>
      </c>
      <c r="AB6" s="5" t="s">
        <v>45</v>
      </c>
      <c r="AC6" s="5" t="s">
        <v>33</v>
      </c>
      <c r="AD6" s="5" t="s">
        <v>44</v>
      </c>
      <c r="AE6" s="5" t="s">
        <v>45</v>
      </c>
      <c r="AF6" s="5" t="s">
        <v>33</v>
      </c>
      <c r="AG6" s="5" t="s">
        <v>44</v>
      </c>
      <c r="AH6" s="5" t="s">
        <v>45</v>
      </c>
      <c r="AI6" s="5" t="s">
        <v>33</v>
      </c>
      <c r="AJ6" s="5" t="s">
        <v>44</v>
      </c>
      <c r="AK6" s="5" t="s">
        <v>45</v>
      </c>
      <c r="AL6" s="5" t="s">
        <v>33</v>
      </c>
      <c r="AM6" s="5" t="s">
        <v>44</v>
      </c>
      <c r="AN6" s="5" t="s">
        <v>45</v>
      </c>
      <c r="AO6" s="5" t="s">
        <v>33</v>
      </c>
    </row>
    <row r="7" spans="1:41" x14ac:dyDescent="0.3">
      <c r="A7" s="1">
        <v>1</v>
      </c>
      <c r="B7" s="1" t="s">
        <v>0</v>
      </c>
      <c r="C7" s="7">
        <f>F7+I7+L7+O7+R7+U7+X7+AA7+AD7+AG7+AJ7+AM7</f>
        <v>2760.330327378841</v>
      </c>
      <c r="D7" s="7">
        <f t="shared" ref="D7:E22" si="0">G7+J7+M7+P7+S7+V7+Y7+AB7+AE7+AH7+AK7+AN7</f>
        <v>1.3635550904794655</v>
      </c>
      <c r="E7" s="7">
        <f t="shared" si="0"/>
        <v>2761.6938824693207</v>
      </c>
      <c r="F7" s="8">
        <v>252.49238600000001</v>
      </c>
      <c r="G7" s="8">
        <v>71.520354495503923</v>
      </c>
      <c r="H7" s="8">
        <f>F7+G7</f>
        <v>324.01274049550392</v>
      </c>
      <c r="I7" s="8">
        <v>245.36959780000001</v>
      </c>
      <c r="J7" s="8">
        <v>0</v>
      </c>
      <c r="K7" s="8">
        <f>I7+J7</f>
        <v>245.36959780000001</v>
      </c>
      <c r="L7" s="8">
        <v>271.7274759</v>
      </c>
      <c r="M7" s="8">
        <v>0</v>
      </c>
      <c r="N7" s="8">
        <f>L7+M7</f>
        <v>271.7274759</v>
      </c>
      <c r="O7" s="8">
        <v>285.15974999999997</v>
      </c>
      <c r="P7" s="8">
        <v>23.638963644999997</v>
      </c>
      <c r="Q7" s="8">
        <f>O7+P7</f>
        <v>308.79871364499996</v>
      </c>
      <c r="R7" s="8">
        <v>169.43734907884104</v>
      </c>
      <c r="S7" s="8">
        <v>-30.5828487</v>
      </c>
      <c r="T7" s="8">
        <f>R7+S7</f>
        <v>138.85450037884104</v>
      </c>
      <c r="U7" s="8">
        <v>124.2177255</v>
      </c>
      <c r="V7" s="8">
        <v>-15.4755755</v>
      </c>
      <c r="W7" s="8">
        <f>U7+V7</f>
        <v>108.74215</v>
      </c>
      <c r="X7" s="8">
        <v>127.80703339999999</v>
      </c>
      <c r="Y7" s="8">
        <v>-27.423133669999999</v>
      </c>
      <c r="Z7" s="8">
        <f>X7+Y7</f>
        <v>100.38389973</v>
      </c>
      <c r="AA7" s="8">
        <v>198.83339710000001</v>
      </c>
      <c r="AB7" s="8">
        <v>0</v>
      </c>
      <c r="AC7" s="8">
        <f>AA7+AB7</f>
        <v>198.83339710000001</v>
      </c>
      <c r="AD7" s="9">
        <v>345</v>
      </c>
      <c r="AE7" s="8">
        <v>-56</v>
      </c>
      <c r="AF7" s="8">
        <f>AD7+AE7</f>
        <v>289</v>
      </c>
      <c r="AG7" s="9">
        <v>273</v>
      </c>
      <c r="AH7" s="8">
        <v>0</v>
      </c>
      <c r="AI7" s="8">
        <f>AG7+AH7</f>
        <v>273</v>
      </c>
      <c r="AJ7" s="10">
        <v>255.5</v>
      </c>
      <c r="AK7" s="8">
        <v>0</v>
      </c>
      <c r="AL7" s="8">
        <f>AJ7+AK7</f>
        <v>255.5</v>
      </c>
      <c r="AM7" s="10">
        <v>211.78561260000001</v>
      </c>
      <c r="AN7" s="8">
        <v>35.685794819975534</v>
      </c>
      <c r="AO7" s="8">
        <f>AM7+AN7</f>
        <v>247.47140741997555</v>
      </c>
    </row>
    <row r="8" spans="1:41" x14ac:dyDescent="0.3">
      <c r="A8" s="1">
        <v>2</v>
      </c>
      <c r="B8" s="1" t="s">
        <v>1</v>
      </c>
      <c r="C8" s="7">
        <f t="shared" ref="C8:E44" si="1">F8+I8+L8+O8+R8+U8+X8+AA8+AD8+AG8+AJ8+AM8</f>
        <v>1669.1552875449088</v>
      </c>
      <c r="D8" s="7">
        <f t="shared" si="0"/>
        <v>-3.4925012843616123</v>
      </c>
      <c r="E8" s="7">
        <f t="shared" si="0"/>
        <v>1665.6627862605469</v>
      </c>
      <c r="F8" s="8">
        <v>115.6907851</v>
      </c>
      <c r="G8" s="8">
        <v>54.53571457492383</v>
      </c>
      <c r="H8" s="8">
        <f t="shared" ref="H8:H44" si="2">F8+G8</f>
        <v>170.22649967492384</v>
      </c>
      <c r="I8" s="8">
        <v>129.4196465</v>
      </c>
      <c r="J8" s="8">
        <v>0</v>
      </c>
      <c r="K8" s="8">
        <f t="shared" ref="K8:K44" si="3">I8+J8</f>
        <v>129.4196465</v>
      </c>
      <c r="L8" s="8">
        <v>137.0526634</v>
      </c>
      <c r="M8" s="8">
        <v>0</v>
      </c>
      <c r="N8" s="8">
        <f t="shared" ref="N8:N44" si="4">L8+M8</f>
        <v>137.0526634</v>
      </c>
      <c r="O8" s="8">
        <v>155.92231409999999</v>
      </c>
      <c r="P8" s="8">
        <v>1.3992899419999958</v>
      </c>
      <c r="Q8" s="8">
        <f t="shared" ref="Q8:Q44" si="5">O8+P8</f>
        <v>157.32160404199999</v>
      </c>
      <c r="R8" s="8">
        <v>123.60531244490859</v>
      </c>
      <c r="S8" s="8">
        <v>-22.310326499999999</v>
      </c>
      <c r="T8" s="8">
        <f t="shared" ref="T8:T44" si="6">R8+S8</f>
        <v>101.29498594490859</v>
      </c>
      <c r="U8" s="8">
        <v>156.25824840000001</v>
      </c>
      <c r="V8" s="8">
        <v>-16.2415725</v>
      </c>
      <c r="W8" s="8">
        <f t="shared" ref="W8:W44" si="7">U8+V8</f>
        <v>140.01667590000002</v>
      </c>
      <c r="X8" s="8">
        <v>112.3441054</v>
      </c>
      <c r="Y8" s="8">
        <v>-24.105304190000002</v>
      </c>
      <c r="Z8" s="8">
        <f t="shared" ref="Z8:Z44" si="8">X8+Y8</f>
        <v>88.238801210000005</v>
      </c>
      <c r="AA8" s="8">
        <v>181.15418320000001</v>
      </c>
      <c r="AB8" s="8">
        <v>0</v>
      </c>
      <c r="AC8" s="8">
        <f t="shared" ref="AC8:AC44" si="9">AA8+AB8</f>
        <v>181.15418320000001</v>
      </c>
      <c r="AD8" s="9">
        <v>149</v>
      </c>
      <c r="AE8" s="8">
        <v>-23.999999999999996</v>
      </c>
      <c r="AF8" s="8">
        <f t="shared" ref="AF8:AF44" si="10">AD8+AE8</f>
        <v>125</v>
      </c>
      <c r="AG8" s="9">
        <v>140</v>
      </c>
      <c r="AH8" s="8">
        <v>0</v>
      </c>
      <c r="AI8" s="8">
        <f t="shared" ref="AI8:AI44" si="11">AG8+AH8</f>
        <v>140</v>
      </c>
      <c r="AJ8" s="10">
        <v>137</v>
      </c>
      <c r="AK8" s="8">
        <v>0</v>
      </c>
      <c r="AL8" s="8">
        <f t="shared" ref="AL8:AL44" si="12">AJ8+AK8</f>
        <v>137</v>
      </c>
      <c r="AM8" s="10">
        <v>131.70802900000001</v>
      </c>
      <c r="AN8" s="8">
        <v>27.229697388714563</v>
      </c>
      <c r="AO8" s="8">
        <f t="shared" ref="AO8:AO44" si="13">AM8+AN8</f>
        <v>158.93772638871457</v>
      </c>
    </row>
    <row r="9" spans="1:41" x14ac:dyDescent="0.3">
      <c r="A9" s="1">
        <v>3</v>
      </c>
      <c r="B9" s="1" t="s">
        <v>2</v>
      </c>
      <c r="C9" s="7">
        <f t="shared" si="1"/>
        <v>6565.9038492721866</v>
      </c>
      <c r="D9" s="7">
        <f t="shared" si="0"/>
        <v>59.678440411586081</v>
      </c>
      <c r="E9" s="7">
        <f t="shared" si="0"/>
        <v>6625.5822896837717</v>
      </c>
      <c r="F9" s="8">
        <v>533.6755551</v>
      </c>
      <c r="G9" s="8">
        <v>217.15505120898786</v>
      </c>
      <c r="H9" s="8">
        <f t="shared" si="2"/>
        <v>750.83060630898785</v>
      </c>
      <c r="I9" s="8">
        <v>498.33761770000001</v>
      </c>
      <c r="J9" s="8">
        <v>0</v>
      </c>
      <c r="K9" s="8">
        <f t="shared" si="3"/>
        <v>498.33761770000001</v>
      </c>
      <c r="L9" s="8">
        <v>468.79358309999998</v>
      </c>
      <c r="M9" s="8">
        <v>0</v>
      </c>
      <c r="N9" s="8">
        <f t="shared" si="4"/>
        <v>468.79358309999998</v>
      </c>
      <c r="O9" s="8">
        <v>717.38703020000003</v>
      </c>
      <c r="P9" s="8">
        <v>69.468064154999979</v>
      </c>
      <c r="Q9" s="8">
        <f t="shared" si="5"/>
        <v>786.85509435500001</v>
      </c>
      <c r="R9" s="8">
        <v>519.50423627218629</v>
      </c>
      <c r="S9" s="8">
        <v>-93.768697099999997</v>
      </c>
      <c r="T9" s="8">
        <f t="shared" si="6"/>
        <v>425.73553917218629</v>
      </c>
      <c r="U9" s="8">
        <v>562.92458779999993</v>
      </c>
      <c r="V9" s="8">
        <v>-67.855358300000006</v>
      </c>
      <c r="W9" s="8">
        <f t="shared" si="7"/>
        <v>495.06922949999989</v>
      </c>
      <c r="X9" s="8">
        <v>449.41917050000001</v>
      </c>
      <c r="Y9" s="8">
        <v>-96.430389270000006</v>
      </c>
      <c r="Z9" s="8">
        <f t="shared" si="8"/>
        <v>352.98878122999997</v>
      </c>
      <c r="AA9" s="8">
        <v>541.56818269999997</v>
      </c>
      <c r="AB9" s="8">
        <v>0</v>
      </c>
      <c r="AC9" s="8">
        <f t="shared" si="9"/>
        <v>541.56818269999997</v>
      </c>
      <c r="AD9" s="9">
        <v>501</v>
      </c>
      <c r="AE9" s="8">
        <v>-81</v>
      </c>
      <c r="AF9" s="8">
        <f t="shared" si="10"/>
        <v>420</v>
      </c>
      <c r="AG9" s="9">
        <v>625</v>
      </c>
      <c r="AH9" s="8">
        <v>0</v>
      </c>
      <c r="AI9" s="8">
        <f t="shared" si="11"/>
        <v>625</v>
      </c>
      <c r="AJ9" s="10">
        <v>619.70000000000005</v>
      </c>
      <c r="AK9" s="8">
        <v>0</v>
      </c>
      <c r="AL9" s="8">
        <f t="shared" si="12"/>
        <v>619.70000000000005</v>
      </c>
      <c r="AM9" s="10">
        <v>528.59388590000003</v>
      </c>
      <c r="AN9" s="8">
        <v>112.10976971759825</v>
      </c>
      <c r="AO9" s="8">
        <f t="shared" si="13"/>
        <v>640.70365561759832</v>
      </c>
    </row>
    <row r="10" spans="1:41" x14ac:dyDescent="0.3">
      <c r="A10" s="1">
        <v>4</v>
      </c>
      <c r="B10" s="1" t="s">
        <v>3</v>
      </c>
      <c r="C10" s="7">
        <f t="shared" si="1"/>
        <v>825.40418335892525</v>
      </c>
      <c r="D10" s="7">
        <f t="shared" si="0"/>
        <v>0.5093119108993065</v>
      </c>
      <c r="E10" s="7">
        <f t="shared" si="0"/>
        <v>825.91349526982458</v>
      </c>
      <c r="F10" s="8">
        <v>65.374088599999993</v>
      </c>
      <c r="G10" s="8">
        <v>21.891570277871015</v>
      </c>
      <c r="H10" s="8">
        <f t="shared" si="2"/>
        <v>87.265658877871005</v>
      </c>
      <c r="I10" s="8">
        <v>75.1019699</v>
      </c>
      <c r="J10" s="8">
        <v>0</v>
      </c>
      <c r="K10" s="8">
        <f t="shared" si="3"/>
        <v>75.1019699</v>
      </c>
      <c r="L10" s="8">
        <v>64.919252200000003</v>
      </c>
      <c r="M10" s="8">
        <v>0</v>
      </c>
      <c r="N10" s="8">
        <f t="shared" si="4"/>
        <v>64.919252200000003</v>
      </c>
      <c r="O10" s="8">
        <v>66.113773499999994</v>
      </c>
      <c r="P10" s="8">
        <v>9.9211410870000023</v>
      </c>
      <c r="Q10" s="8">
        <f t="shared" si="5"/>
        <v>76.034914587000003</v>
      </c>
      <c r="R10" s="8">
        <v>60.97598985892531</v>
      </c>
      <c r="S10" s="8">
        <v>-11.005952799999999</v>
      </c>
      <c r="T10" s="8">
        <f t="shared" si="6"/>
        <v>49.970037058925314</v>
      </c>
      <c r="U10" s="8">
        <v>67.471768699999998</v>
      </c>
      <c r="V10" s="8">
        <v>-8.5201647000000005</v>
      </c>
      <c r="W10" s="8">
        <f t="shared" si="7"/>
        <v>58.951603999999996</v>
      </c>
      <c r="X10" s="8">
        <v>57.929759799999999</v>
      </c>
      <c r="Y10" s="8">
        <v>-12.42979751</v>
      </c>
      <c r="Z10" s="8">
        <f t="shared" si="8"/>
        <v>45.499962289999999</v>
      </c>
      <c r="AA10" s="8">
        <v>85.147417599999997</v>
      </c>
      <c r="AB10" s="8">
        <v>0</v>
      </c>
      <c r="AC10" s="8">
        <f t="shared" si="9"/>
        <v>85.147417599999997</v>
      </c>
      <c r="AD10" s="9">
        <v>64</v>
      </c>
      <c r="AE10" s="8">
        <v>-10.250000000000002</v>
      </c>
      <c r="AF10" s="8">
        <f t="shared" si="10"/>
        <v>53.75</v>
      </c>
      <c r="AG10" s="9">
        <v>86</v>
      </c>
      <c r="AH10" s="8">
        <v>0</v>
      </c>
      <c r="AI10" s="8">
        <f t="shared" si="11"/>
        <v>86</v>
      </c>
      <c r="AJ10" s="10">
        <v>71.5</v>
      </c>
      <c r="AK10" s="8">
        <v>0</v>
      </c>
      <c r="AL10" s="8">
        <f t="shared" si="12"/>
        <v>71.5</v>
      </c>
      <c r="AM10" s="10">
        <v>60.8701632</v>
      </c>
      <c r="AN10" s="8">
        <v>10.902515556028291</v>
      </c>
      <c r="AO10" s="8">
        <f t="shared" si="13"/>
        <v>71.772678756028284</v>
      </c>
    </row>
    <row r="11" spans="1:41" x14ac:dyDescent="0.3">
      <c r="A11" s="1">
        <v>5</v>
      </c>
      <c r="B11" s="1" t="s">
        <v>4</v>
      </c>
      <c r="C11" s="7">
        <f t="shared" si="1"/>
        <v>871.53805344164789</v>
      </c>
      <c r="D11" s="7">
        <f t="shared" si="0"/>
        <v>129.08624094703103</v>
      </c>
      <c r="E11" s="7">
        <f t="shared" si="0"/>
        <v>1000.6242943886788</v>
      </c>
      <c r="F11" s="8">
        <v>71.355502700000002</v>
      </c>
      <c r="G11" s="8">
        <v>74.445211826822501</v>
      </c>
      <c r="H11" s="8">
        <f t="shared" si="2"/>
        <v>145.8007145268225</v>
      </c>
      <c r="I11" s="8">
        <v>92.107900700000002</v>
      </c>
      <c r="J11" s="8">
        <v>0</v>
      </c>
      <c r="K11" s="8">
        <f t="shared" si="3"/>
        <v>92.107900700000002</v>
      </c>
      <c r="L11" s="8">
        <v>75.331323800000007</v>
      </c>
      <c r="M11" s="8">
        <v>0</v>
      </c>
      <c r="N11" s="8">
        <f t="shared" si="4"/>
        <v>75.331323800000007</v>
      </c>
      <c r="O11" s="8">
        <v>109.8046239</v>
      </c>
      <c r="P11" s="8">
        <v>41.615322426999995</v>
      </c>
      <c r="Q11" s="8">
        <f t="shared" si="5"/>
        <v>151.41994632699999</v>
      </c>
      <c r="R11" s="8">
        <v>55.811502041647806</v>
      </c>
      <c r="S11" s="8">
        <v>-10.073780899999999</v>
      </c>
      <c r="T11" s="8">
        <f t="shared" si="6"/>
        <v>45.73772114164781</v>
      </c>
      <c r="U11" s="8">
        <v>105.79226519999999</v>
      </c>
      <c r="V11" s="8">
        <v>-10.272248299999999</v>
      </c>
      <c r="W11" s="8">
        <f t="shared" si="7"/>
        <v>95.520016899999987</v>
      </c>
      <c r="X11" s="8">
        <v>-30.450854700000001</v>
      </c>
      <c r="Y11" s="8">
        <v>0</v>
      </c>
      <c r="Z11" s="8">
        <f t="shared" si="8"/>
        <v>-30.450854700000001</v>
      </c>
      <c r="AA11" s="8">
        <v>76.1937298</v>
      </c>
      <c r="AB11" s="8">
        <v>0</v>
      </c>
      <c r="AC11" s="8">
        <f t="shared" si="9"/>
        <v>76.1937298</v>
      </c>
      <c r="AD11" s="9">
        <v>42</v>
      </c>
      <c r="AE11" s="8">
        <v>-3.75</v>
      </c>
      <c r="AF11" s="8">
        <f t="shared" si="10"/>
        <v>38.25</v>
      </c>
      <c r="AG11" s="9">
        <v>109</v>
      </c>
      <c r="AH11" s="8">
        <v>0</v>
      </c>
      <c r="AI11" s="8">
        <f t="shared" si="11"/>
        <v>109</v>
      </c>
      <c r="AJ11" s="10">
        <v>94.5</v>
      </c>
      <c r="AK11" s="8">
        <v>0</v>
      </c>
      <c r="AL11" s="8">
        <f t="shared" si="12"/>
        <v>94.5</v>
      </c>
      <c r="AM11" s="10">
        <v>70.092060000000004</v>
      </c>
      <c r="AN11" s="8">
        <v>37.12173589320853</v>
      </c>
      <c r="AO11" s="8">
        <f t="shared" si="13"/>
        <v>107.21379589320853</v>
      </c>
    </row>
    <row r="12" spans="1:41" x14ac:dyDescent="0.3">
      <c r="A12" s="1">
        <v>6</v>
      </c>
      <c r="B12" s="1" t="s">
        <v>5</v>
      </c>
      <c r="C12" s="7">
        <f t="shared" si="1"/>
        <v>4933.3064895519765</v>
      </c>
      <c r="D12" s="7">
        <f t="shared" si="0"/>
        <v>115.59821835374223</v>
      </c>
      <c r="E12" s="7">
        <f t="shared" si="0"/>
        <v>5048.9047079057182</v>
      </c>
      <c r="F12" s="8">
        <v>377.30292020000002</v>
      </c>
      <c r="G12" s="8">
        <v>228.54146738049997</v>
      </c>
      <c r="H12" s="8">
        <f t="shared" si="2"/>
        <v>605.84438758049998</v>
      </c>
      <c r="I12" s="8">
        <v>376.21202599999998</v>
      </c>
      <c r="J12" s="8">
        <v>0</v>
      </c>
      <c r="K12" s="8">
        <f t="shared" si="3"/>
        <v>376.21202599999998</v>
      </c>
      <c r="L12" s="8">
        <v>-150.53387470000001</v>
      </c>
      <c r="M12" s="8">
        <v>0</v>
      </c>
      <c r="N12" s="8">
        <f t="shared" si="4"/>
        <v>-150.53387470000001</v>
      </c>
      <c r="O12" s="8">
        <v>753.01142489999995</v>
      </c>
      <c r="P12" s="8">
        <v>78.924265448000028</v>
      </c>
      <c r="Q12" s="8">
        <f t="shared" si="5"/>
        <v>831.93569034799998</v>
      </c>
      <c r="R12" s="8">
        <v>553.51533605197608</v>
      </c>
      <c r="S12" s="8">
        <v>-99.9075816</v>
      </c>
      <c r="T12" s="8">
        <f t="shared" si="6"/>
        <v>453.60775445197606</v>
      </c>
      <c r="U12" s="8">
        <v>508.1360717</v>
      </c>
      <c r="V12" s="8">
        <v>-60.749014799999998</v>
      </c>
      <c r="W12" s="8">
        <f t="shared" si="7"/>
        <v>447.3870569</v>
      </c>
      <c r="X12" s="8">
        <v>375.10608639999998</v>
      </c>
      <c r="Y12" s="8">
        <v>-80.485275889999997</v>
      </c>
      <c r="Z12" s="8">
        <f t="shared" si="8"/>
        <v>294.62081050999996</v>
      </c>
      <c r="AA12" s="8">
        <v>583.84202740000001</v>
      </c>
      <c r="AB12" s="8">
        <v>0</v>
      </c>
      <c r="AC12" s="8">
        <f t="shared" si="9"/>
        <v>583.84202740000001</v>
      </c>
      <c r="AD12" s="9">
        <v>403</v>
      </c>
      <c r="AE12" s="8">
        <v>-64.75</v>
      </c>
      <c r="AF12" s="8">
        <f t="shared" si="10"/>
        <v>338.25</v>
      </c>
      <c r="AG12" s="9">
        <v>400</v>
      </c>
      <c r="AH12" s="8">
        <v>0</v>
      </c>
      <c r="AI12" s="8">
        <f t="shared" si="11"/>
        <v>400</v>
      </c>
      <c r="AJ12" s="10">
        <v>429.7</v>
      </c>
      <c r="AK12" s="8">
        <v>0</v>
      </c>
      <c r="AL12" s="8">
        <f t="shared" si="12"/>
        <v>429.7</v>
      </c>
      <c r="AM12" s="10">
        <v>324.01447159999998</v>
      </c>
      <c r="AN12" s="8">
        <v>114.02435781524224</v>
      </c>
      <c r="AO12" s="8">
        <f t="shared" si="13"/>
        <v>438.03882941524222</v>
      </c>
    </row>
    <row r="13" spans="1:41" x14ac:dyDescent="0.3">
      <c r="A13" s="1">
        <v>7</v>
      </c>
      <c r="B13" s="1" t="s">
        <v>6</v>
      </c>
      <c r="C13" s="7">
        <f t="shared" si="1"/>
        <v>7204.5682199054409</v>
      </c>
      <c r="D13" s="7">
        <f t="shared" si="0"/>
        <v>542.78246171384296</v>
      </c>
      <c r="E13" s="7">
        <f t="shared" si="0"/>
        <v>7747.3506816192839</v>
      </c>
      <c r="F13" s="8">
        <v>661.2796826</v>
      </c>
      <c r="G13" s="8">
        <v>251.85329456931214</v>
      </c>
      <c r="H13" s="8">
        <f t="shared" si="2"/>
        <v>913.1329771693122</v>
      </c>
      <c r="I13" s="8">
        <v>276.47191099999998</v>
      </c>
      <c r="J13" s="8">
        <v>0</v>
      </c>
      <c r="K13" s="8">
        <f t="shared" si="3"/>
        <v>276.47191099999998</v>
      </c>
      <c r="L13" s="8">
        <v>529.71639149999999</v>
      </c>
      <c r="M13" s="8">
        <v>0</v>
      </c>
      <c r="N13" s="8">
        <f t="shared" si="4"/>
        <v>529.71639149999999</v>
      </c>
      <c r="O13" s="8">
        <v>734.51200779999999</v>
      </c>
      <c r="P13" s="8">
        <v>556.226866438</v>
      </c>
      <c r="Q13" s="8">
        <f t="shared" si="5"/>
        <v>1290.7388742379999</v>
      </c>
      <c r="R13" s="8">
        <v>586.64566710544091</v>
      </c>
      <c r="S13" s="8">
        <v>-105.8874905</v>
      </c>
      <c r="T13" s="8">
        <f t="shared" si="6"/>
        <v>480.75817660544089</v>
      </c>
      <c r="U13" s="8">
        <v>113.621781</v>
      </c>
      <c r="V13" s="8">
        <v>-67.515654600000005</v>
      </c>
      <c r="W13" s="8">
        <f t="shared" si="7"/>
        <v>46.106126399999994</v>
      </c>
      <c r="X13" s="8">
        <v>630.39980219999995</v>
      </c>
      <c r="Y13" s="8">
        <v>-135.2628066</v>
      </c>
      <c r="Z13" s="8">
        <f t="shared" si="8"/>
        <v>495.13699559999998</v>
      </c>
      <c r="AA13" s="8">
        <v>635.64993030000005</v>
      </c>
      <c r="AB13" s="8">
        <v>0</v>
      </c>
      <c r="AC13" s="8">
        <f t="shared" si="9"/>
        <v>635.64993030000005</v>
      </c>
      <c r="AD13" s="9">
        <v>730</v>
      </c>
      <c r="AE13" s="8">
        <v>-82.25</v>
      </c>
      <c r="AF13" s="8">
        <f t="shared" si="10"/>
        <v>647.75</v>
      </c>
      <c r="AG13" s="9">
        <v>1057</v>
      </c>
      <c r="AH13" s="8">
        <v>0</v>
      </c>
      <c r="AI13" s="8">
        <f t="shared" si="11"/>
        <v>1057</v>
      </c>
      <c r="AJ13" s="10">
        <v>645.4</v>
      </c>
      <c r="AK13" s="8">
        <v>0</v>
      </c>
      <c r="AL13" s="8">
        <f t="shared" si="12"/>
        <v>645.4</v>
      </c>
      <c r="AM13" s="10">
        <v>603.87104639999995</v>
      </c>
      <c r="AN13" s="8">
        <v>125.61825240653086</v>
      </c>
      <c r="AO13" s="8">
        <f t="shared" si="13"/>
        <v>729.48929880653077</v>
      </c>
    </row>
    <row r="14" spans="1:41" x14ac:dyDescent="0.3">
      <c r="A14" s="1">
        <v>8</v>
      </c>
      <c r="B14" s="1" t="s">
        <v>7</v>
      </c>
      <c r="C14" s="7">
        <f t="shared" si="1"/>
        <v>9422.0089855308634</v>
      </c>
      <c r="D14" s="7">
        <f t="shared" si="0"/>
        <v>-39.965018062367562</v>
      </c>
      <c r="E14" s="7">
        <f t="shared" si="0"/>
        <v>9382.0439674684949</v>
      </c>
      <c r="F14" s="8">
        <v>731.87252939999996</v>
      </c>
      <c r="G14" s="8">
        <v>257.47237585834796</v>
      </c>
      <c r="H14" s="8">
        <f t="shared" si="2"/>
        <v>989.34490525834792</v>
      </c>
      <c r="I14" s="8">
        <v>787.58258209999997</v>
      </c>
      <c r="J14" s="8">
        <v>0</v>
      </c>
      <c r="K14" s="8">
        <f t="shared" si="3"/>
        <v>787.58258209999997</v>
      </c>
      <c r="L14" s="8">
        <v>784.52444649999995</v>
      </c>
      <c r="M14" s="8">
        <v>0</v>
      </c>
      <c r="N14" s="8">
        <f t="shared" si="4"/>
        <v>784.52444649999995</v>
      </c>
      <c r="O14" s="8">
        <v>970.11063430000002</v>
      </c>
      <c r="P14" s="8">
        <v>78.037377828999979</v>
      </c>
      <c r="Q14" s="8">
        <f t="shared" si="5"/>
        <v>1048.1480121290001</v>
      </c>
      <c r="R14" s="8">
        <v>770.71769903086272</v>
      </c>
      <c r="S14" s="8">
        <v>-139.11184829999999</v>
      </c>
      <c r="T14" s="8">
        <f t="shared" si="6"/>
        <v>631.6058507308627</v>
      </c>
      <c r="U14" s="8">
        <v>771.83817549999992</v>
      </c>
      <c r="V14" s="8">
        <v>-97.151459000000003</v>
      </c>
      <c r="W14" s="8">
        <f t="shared" si="7"/>
        <v>674.68671649999987</v>
      </c>
      <c r="X14" s="8">
        <v>649.6740393</v>
      </c>
      <c r="Y14" s="8">
        <v>-139.398416</v>
      </c>
      <c r="Z14" s="8">
        <f t="shared" si="8"/>
        <v>510.27562330000001</v>
      </c>
      <c r="AA14" s="8">
        <v>882.9124448</v>
      </c>
      <c r="AB14" s="8">
        <v>0</v>
      </c>
      <c r="AC14" s="8">
        <f t="shared" si="9"/>
        <v>882.9124448</v>
      </c>
      <c r="AD14" s="9">
        <v>786</v>
      </c>
      <c r="AE14" s="8">
        <v>-128.25</v>
      </c>
      <c r="AF14" s="8">
        <f t="shared" si="10"/>
        <v>657.75</v>
      </c>
      <c r="AG14" s="9">
        <v>838</v>
      </c>
      <c r="AH14" s="8">
        <v>0</v>
      </c>
      <c r="AI14" s="8">
        <f t="shared" si="11"/>
        <v>838</v>
      </c>
      <c r="AJ14" s="10">
        <v>765.5</v>
      </c>
      <c r="AK14" s="8">
        <v>0</v>
      </c>
      <c r="AL14" s="8">
        <f t="shared" si="12"/>
        <v>765.5</v>
      </c>
      <c r="AM14" s="10">
        <v>683.27643460000002</v>
      </c>
      <c r="AN14" s="8">
        <v>128.4369515502845</v>
      </c>
      <c r="AO14" s="8">
        <f t="shared" si="13"/>
        <v>811.71338615028458</v>
      </c>
    </row>
    <row r="15" spans="1:41" x14ac:dyDescent="0.3">
      <c r="A15" s="1">
        <v>9</v>
      </c>
      <c r="B15" s="1" t="s">
        <v>8</v>
      </c>
      <c r="C15" s="7">
        <f t="shared" si="1"/>
        <v>24363.182918119579</v>
      </c>
      <c r="D15" s="7">
        <f t="shared" si="0"/>
        <v>-522.81851657287552</v>
      </c>
      <c r="E15" s="7">
        <f t="shared" si="0"/>
        <v>23840.3644015467</v>
      </c>
      <c r="F15" s="8">
        <v>2074.4838875999999</v>
      </c>
      <c r="G15" s="8">
        <v>500.56400309872049</v>
      </c>
      <c r="H15" s="8">
        <f t="shared" si="2"/>
        <v>2575.0478906987205</v>
      </c>
      <c r="I15" s="8">
        <v>2102.2960963999999</v>
      </c>
      <c r="J15" s="8">
        <v>0</v>
      </c>
      <c r="K15" s="8">
        <f t="shared" si="3"/>
        <v>2102.2960963999999</v>
      </c>
      <c r="L15" s="8">
        <v>2045.3950212</v>
      </c>
      <c r="M15" s="8">
        <v>0</v>
      </c>
      <c r="N15" s="8">
        <f t="shared" si="4"/>
        <v>2045.3950212</v>
      </c>
      <c r="O15" s="8">
        <v>2386.834085</v>
      </c>
      <c r="P15" s="8">
        <v>-25.898833805999971</v>
      </c>
      <c r="Q15" s="8">
        <f t="shared" si="5"/>
        <v>2360.9352511940001</v>
      </c>
      <c r="R15" s="8">
        <v>1854.0769833195775</v>
      </c>
      <c r="S15" s="8">
        <v>-334.65440890000002</v>
      </c>
      <c r="T15" s="8">
        <f t="shared" si="6"/>
        <v>1519.4225744195774</v>
      </c>
      <c r="U15" s="8">
        <v>1919.5323761</v>
      </c>
      <c r="V15" s="8">
        <v>-234.78233320000001</v>
      </c>
      <c r="W15" s="8">
        <f t="shared" si="7"/>
        <v>1684.7500428999999</v>
      </c>
      <c r="X15" s="8">
        <v>1692.9054602000001</v>
      </c>
      <c r="Y15" s="8">
        <v>-363.24114150000003</v>
      </c>
      <c r="Z15" s="8">
        <f t="shared" si="8"/>
        <v>1329.6643187</v>
      </c>
      <c r="AA15" s="8">
        <v>2210.5617686000001</v>
      </c>
      <c r="AB15" s="8">
        <v>0</v>
      </c>
      <c r="AC15" s="8">
        <f t="shared" si="9"/>
        <v>2210.5617686000001</v>
      </c>
      <c r="AD15" s="9">
        <v>1945</v>
      </c>
      <c r="AE15" s="8">
        <v>-314.5</v>
      </c>
      <c r="AF15" s="8">
        <f t="shared" si="10"/>
        <v>1630.5</v>
      </c>
      <c r="AG15" s="9">
        <v>2223</v>
      </c>
      <c r="AH15" s="8">
        <v>0</v>
      </c>
      <c r="AI15" s="8">
        <f t="shared" si="11"/>
        <v>2223</v>
      </c>
      <c r="AJ15" s="10">
        <v>2029.5</v>
      </c>
      <c r="AK15" s="8">
        <v>0</v>
      </c>
      <c r="AL15" s="8">
        <f t="shared" si="12"/>
        <v>2029.5</v>
      </c>
      <c r="AM15" s="10">
        <v>1879.5972397</v>
      </c>
      <c r="AN15" s="8">
        <v>249.69419773440404</v>
      </c>
      <c r="AO15" s="8">
        <f t="shared" si="13"/>
        <v>2129.2914374344041</v>
      </c>
    </row>
    <row r="16" spans="1:41" x14ac:dyDescent="0.3">
      <c r="A16" s="1">
        <v>10</v>
      </c>
      <c r="B16" s="1" t="s">
        <v>9</v>
      </c>
      <c r="C16" s="7">
        <f t="shared" si="1"/>
        <v>9458.7008555780994</v>
      </c>
      <c r="D16" s="7">
        <f t="shared" si="0"/>
        <v>-183.14164650948291</v>
      </c>
      <c r="E16" s="7">
        <f t="shared" si="0"/>
        <v>9275.5592090686168</v>
      </c>
      <c r="F16" s="8">
        <v>797.20684010000002</v>
      </c>
      <c r="G16" s="8">
        <v>189.37685943641341</v>
      </c>
      <c r="H16" s="8">
        <f t="shared" si="2"/>
        <v>986.58369953641341</v>
      </c>
      <c r="I16" s="8">
        <v>721.14969619999999</v>
      </c>
      <c r="J16" s="8">
        <v>0</v>
      </c>
      <c r="K16" s="8">
        <f t="shared" si="3"/>
        <v>721.14969619999999</v>
      </c>
      <c r="L16" s="8">
        <v>874.20634489999998</v>
      </c>
      <c r="M16" s="8">
        <v>0</v>
      </c>
      <c r="N16" s="8">
        <f t="shared" si="4"/>
        <v>874.20634489999998</v>
      </c>
      <c r="O16" s="8">
        <v>904.80293640000002</v>
      </c>
      <c r="P16" s="8">
        <v>25.321956736999994</v>
      </c>
      <c r="Q16" s="8">
        <f t="shared" si="5"/>
        <v>930.12489313700007</v>
      </c>
      <c r="R16" s="8">
        <v>719.35168487809949</v>
      </c>
      <c r="S16" s="8">
        <v>-129.84046240000001</v>
      </c>
      <c r="T16" s="8">
        <f t="shared" si="6"/>
        <v>589.51122247809951</v>
      </c>
      <c r="U16" s="8">
        <v>692.08823439999992</v>
      </c>
      <c r="V16" s="8">
        <v>-89.007051799999999</v>
      </c>
      <c r="W16" s="8">
        <f t="shared" si="7"/>
        <v>603.08118259999992</v>
      </c>
      <c r="X16" s="8">
        <v>667.37270920000003</v>
      </c>
      <c r="Y16" s="8">
        <v>-143.19596129999999</v>
      </c>
      <c r="Z16" s="8">
        <f t="shared" si="8"/>
        <v>524.17674790000001</v>
      </c>
      <c r="AA16" s="8">
        <v>847.92884140000001</v>
      </c>
      <c r="AB16" s="8">
        <v>0</v>
      </c>
      <c r="AC16" s="8">
        <f t="shared" si="9"/>
        <v>847.92884140000001</v>
      </c>
      <c r="AD16" s="9">
        <v>801</v>
      </c>
      <c r="AE16" s="8">
        <v>-130.25</v>
      </c>
      <c r="AF16" s="8">
        <f t="shared" si="10"/>
        <v>670.75</v>
      </c>
      <c r="AG16" s="9">
        <v>823</v>
      </c>
      <c r="AH16" s="8">
        <v>0</v>
      </c>
      <c r="AI16" s="8">
        <f t="shared" si="11"/>
        <v>823</v>
      </c>
      <c r="AJ16" s="10">
        <v>812.9</v>
      </c>
      <c r="AK16" s="8">
        <v>0</v>
      </c>
      <c r="AL16" s="8">
        <f t="shared" si="12"/>
        <v>812.9</v>
      </c>
      <c r="AM16" s="10">
        <v>797.69356809999999</v>
      </c>
      <c r="AN16" s="8">
        <v>94.453012817103655</v>
      </c>
      <c r="AO16" s="8">
        <f t="shared" si="13"/>
        <v>892.14658091710362</v>
      </c>
    </row>
    <row r="17" spans="1:41" x14ac:dyDescent="0.3">
      <c r="A17" s="1">
        <v>11</v>
      </c>
      <c r="B17" s="1" t="s">
        <v>10</v>
      </c>
      <c r="C17" s="7">
        <f t="shared" si="1"/>
        <v>259.56323590683354</v>
      </c>
      <c r="D17" s="7">
        <f t="shared" si="0"/>
        <v>-16.250260912320147</v>
      </c>
      <c r="E17" s="7">
        <f t="shared" si="0"/>
        <v>243.31297499451341</v>
      </c>
      <c r="F17" s="8">
        <v>23.936260999999998</v>
      </c>
      <c r="G17" s="8">
        <v>3.6831384487481951</v>
      </c>
      <c r="H17" s="8">
        <f t="shared" si="2"/>
        <v>27.619399448748194</v>
      </c>
      <c r="I17" s="8">
        <v>27.2661604</v>
      </c>
      <c r="J17" s="8">
        <v>0</v>
      </c>
      <c r="K17" s="8">
        <f t="shared" si="3"/>
        <v>27.2661604</v>
      </c>
      <c r="L17" s="8">
        <v>18.126132399999999</v>
      </c>
      <c r="M17" s="8">
        <v>0</v>
      </c>
      <c r="N17" s="8">
        <f t="shared" si="4"/>
        <v>18.126132399999999</v>
      </c>
      <c r="O17" s="8">
        <v>18.593013299999999</v>
      </c>
      <c r="P17" s="8">
        <v>-8.1598722830000003</v>
      </c>
      <c r="Q17" s="8">
        <f t="shared" si="5"/>
        <v>10.433141016999999</v>
      </c>
      <c r="R17" s="8">
        <v>20.755815006833572</v>
      </c>
      <c r="S17" s="8">
        <v>-3.7463519999999999</v>
      </c>
      <c r="T17" s="8">
        <f t="shared" si="6"/>
        <v>17.00946300683357</v>
      </c>
      <c r="U17" s="8">
        <v>27.2048445</v>
      </c>
      <c r="V17" s="8">
        <v>-2.44591</v>
      </c>
      <c r="W17" s="8">
        <f t="shared" si="7"/>
        <v>24.758934499999999</v>
      </c>
      <c r="X17" s="8">
        <v>18.375032699999998</v>
      </c>
      <c r="Y17" s="8">
        <v>-3.9426701729999998</v>
      </c>
      <c r="Z17" s="8">
        <f t="shared" si="8"/>
        <v>14.432362526999999</v>
      </c>
      <c r="AA17" s="8">
        <v>25.7355199</v>
      </c>
      <c r="AB17" s="8">
        <v>0</v>
      </c>
      <c r="AC17" s="8">
        <f t="shared" si="9"/>
        <v>25.7355199</v>
      </c>
      <c r="AD17" s="9">
        <v>22</v>
      </c>
      <c r="AE17" s="8">
        <v>-3.5</v>
      </c>
      <c r="AF17" s="8">
        <f t="shared" si="10"/>
        <v>18.5</v>
      </c>
      <c r="AG17" s="9">
        <v>17</v>
      </c>
      <c r="AH17" s="8">
        <v>0</v>
      </c>
      <c r="AI17" s="8">
        <f t="shared" si="11"/>
        <v>17</v>
      </c>
      <c r="AJ17" s="10">
        <v>20.2</v>
      </c>
      <c r="AK17" s="8">
        <v>0</v>
      </c>
      <c r="AL17" s="8">
        <f t="shared" si="12"/>
        <v>20.2</v>
      </c>
      <c r="AM17" s="10">
        <v>20.370456699999998</v>
      </c>
      <c r="AN17" s="8">
        <v>1.8614050949316594</v>
      </c>
      <c r="AO17" s="8">
        <f t="shared" si="13"/>
        <v>22.231861794931657</v>
      </c>
    </row>
    <row r="18" spans="1:41" x14ac:dyDescent="0.3">
      <c r="A18" s="1">
        <v>12</v>
      </c>
      <c r="B18" s="1" t="s">
        <v>11</v>
      </c>
      <c r="C18" s="7">
        <f t="shared" si="1"/>
        <v>502.33315028245363</v>
      </c>
      <c r="D18" s="7">
        <f t="shared" si="0"/>
        <v>-23.738119745674041</v>
      </c>
      <c r="E18" s="7">
        <f t="shared" si="0"/>
        <v>478.59503053677963</v>
      </c>
      <c r="F18" s="8">
        <v>41.781245499999997</v>
      </c>
      <c r="G18" s="8">
        <v>3.8418388186819681</v>
      </c>
      <c r="H18" s="8">
        <f t="shared" si="2"/>
        <v>45.623084318681968</v>
      </c>
      <c r="I18" s="8">
        <v>33.368924499999999</v>
      </c>
      <c r="J18" s="8">
        <v>0</v>
      </c>
      <c r="K18" s="8">
        <f t="shared" si="3"/>
        <v>33.368924499999999</v>
      </c>
      <c r="L18" s="8">
        <v>42.291425799999999</v>
      </c>
      <c r="M18" s="8">
        <v>0</v>
      </c>
      <c r="N18" s="8">
        <f t="shared" si="4"/>
        <v>42.291425799999999</v>
      </c>
      <c r="O18" s="8">
        <v>33.412086100000003</v>
      </c>
      <c r="P18" s="8">
        <v>-2.4848253649999998</v>
      </c>
      <c r="Q18" s="8">
        <f t="shared" si="5"/>
        <v>30.927260735000004</v>
      </c>
      <c r="R18" s="8">
        <v>33.292932382453657</v>
      </c>
      <c r="S18" s="8">
        <v>-6.0092578000000003</v>
      </c>
      <c r="T18" s="8">
        <f t="shared" si="6"/>
        <v>27.283674582453656</v>
      </c>
      <c r="U18" s="8">
        <v>32.490485800000002</v>
      </c>
      <c r="V18" s="8">
        <v>-4.2937982000000003</v>
      </c>
      <c r="W18" s="8">
        <f t="shared" si="7"/>
        <v>28.196687600000001</v>
      </c>
      <c r="X18" s="8">
        <v>31.256785099999998</v>
      </c>
      <c r="Y18" s="8">
        <v>-6.7066652969999998</v>
      </c>
      <c r="Z18" s="8">
        <f t="shared" si="8"/>
        <v>24.550119802999998</v>
      </c>
      <c r="AA18" s="8">
        <v>45.273222799999999</v>
      </c>
      <c r="AB18" s="8">
        <v>0</v>
      </c>
      <c r="AC18" s="8">
        <f t="shared" si="9"/>
        <v>45.273222799999999</v>
      </c>
      <c r="AD18" s="9">
        <v>62</v>
      </c>
      <c r="AE18" s="8">
        <v>-10</v>
      </c>
      <c r="AF18" s="8">
        <f t="shared" si="10"/>
        <v>52</v>
      </c>
      <c r="AG18" s="9">
        <v>52</v>
      </c>
      <c r="AH18" s="8">
        <v>0</v>
      </c>
      <c r="AI18" s="8">
        <f t="shared" si="11"/>
        <v>52</v>
      </c>
      <c r="AJ18" s="10">
        <v>47.1</v>
      </c>
      <c r="AK18" s="8">
        <v>0</v>
      </c>
      <c r="AL18" s="8">
        <f t="shared" si="12"/>
        <v>47.1</v>
      </c>
      <c r="AM18" s="10">
        <v>48.066042299999999</v>
      </c>
      <c r="AN18" s="8">
        <v>1.9145880976439926</v>
      </c>
      <c r="AO18" s="8">
        <f t="shared" si="13"/>
        <v>49.980630397643992</v>
      </c>
    </row>
    <row r="19" spans="1:41" x14ac:dyDescent="0.3">
      <c r="A19" s="1">
        <v>13</v>
      </c>
      <c r="B19" s="1" t="s">
        <v>12</v>
      </c>
      <c r="C19" s="7">
        <f t="shared" si="1"/>
        <v>457.97564530135003</v>
      </c>
      <c r="D19" s="7">
        <f t="shared" si="0"/>
        <v>-23.467554245963427</v>
      </c>
      <c r="E19" s="7">
        <f t="shared" si="0"/>
        <v>434.50809105538656</v>
      </c>
      <c r="F19" s="8">
        <v>40.821662600000003</v>
      </c>
      <c r="G19" s="8">
        <v>3.8428891983925815</v>
      </c>
      <c r="H19" s="8">
        <f t="shared" si="2"/>
        <v>44.664551798392587</v>
      </c>
      <c r="I19" s="8">
        <v>36.292648999999997</v>
      </c>
      <c r="J19" s="8">
        <v>0</v>
      </c>
      <c r="K19" s="8">
        <f t="shared" si="3"/>
        <v>36.292648999999997</v>
      </c>
      <c r="L19" s="8">
        <v>35.683654400000002</v>
      </c>
      <c r="M19" s="8">
        <v>0</v>
      </c>
      <c r="N19" s="8">
        <f t="shared" si="4"/>
        <v>35.683654400000002</v>
      </c>
      <c r="O19" s="8">
        <v>32.005576900000001</v>
      </c>
      <c r="P19" s="8">
        <v>-3.2214636179999996</v>
      </c>
      <c r="Q19" s="8">
        <f t="shared" si="5"/>
        <v>28.784113282</v>
      </c>
      <c r="R19" s="8">
        <v>34.069481401350046</v>
      </c>
      <c r="S19" s="8">
        <v>-6.1494222000000001</v>
      </c>
      <c r="T19" s="8">
        <f t="shared" si="6"/>
        <v>27.920059201350046</v>
      </c>
      <c r="U19" s="8">
        <v>35.4043274</v>
      </c>
      <c r="V19" s="8">
        <v>-4.5506770999999997</v>
      </c>
      <c r="W19" s="8">
        <f t="shared" si="7"/>
        <v>30.853650299999998</v>
      </c>
      <c r="X19" s="8">
        <v>29.3776647</v>
      </c>
      <c r="Y19" s="8">
        <v>-6.3034686240000006</v>
      </c>
      <c r="Z19" s="8">
        <f t="shared" si="8"/>
        <v>23.074196076</v>
      </c>
      <c r="AA19" s="8">
        <v>38.246189899999997</v>
      </c>
      <c r="AB19" s="8">
        <v>0</v>
      </c>
      <c r="AC19" s="8">
        <f t="shared" si="9"/>
        <v>38.246189899999997</v>
      </c>
      <c r="AD19" s="9">
        <v>55</v>
      </c>
      <c r="AE19" s="8">
        <v>-9</v>
      </c>
      <c r="AF19" s="8">
        <f t="shared" si="10"/>
        <v>46</v>
      </c>
      <c r="AG19" s="9">
        <v>46</v>
      </c>
      <c r="AH19" s="8">
        <v>0</v>
      </c>
      <c r="AI19" s="8">
        <f t="shared" si="11"/>
        <v>46</v>
      </c>
      <c r="AJ19" s="10">
        <v>37.9</v>
      </c>
      <c r="AK19" s="8">
        <v>0</v>
      </c>
      <c r="AL19" s="8">
        <f t="shared" si="12"/>
        <v>37.9</v>
      </c>
      <c r="AM19" s="10">
        <v>37.174439</v>
      </c>
      <c r="AN19" s="8">
        <v>1.9145880976439926</v>
      </c>
      <c r="AO19" s="8">
        <f t="shared" si="13"/>
        <v>39.089027097643992</v>
      </c>
    </row>
    <row r="20" spans="1:41" x14ac:dyDescent="0.3">
      <c r="A20" s="1">
        <v>14</v>
      </c>
      <c r="B20" s="1" t="s">
        <v>13</v>
      </c>
      <c r="C20" s="7">
        <f t="shared" si="1"/>
        <v>589.74973235973357</v>
      </c>
      <c r="D20" s="7">
        <f t="shared" si="0"/>
        <v>-31.804538654561192</v>
      </c>
      <c r="E20" s="7">
        <f t="shared" si="0"/>
        <v>557.94519370517241</v>
      </c>
      <c r="F20" s="8">
        <v>44.449663899999997</v>
      </c>
      <c r="G20" s="8">
        <v>5.2078471285344872</v>
      </c>
      <c r="H20" s="8">
        <f t="shared" si="2"/>
        <v>49.657511028534486</v>
      </c>
      <c r="I20" s="8">
        <v>39.4548974</v>
      </c>
      <c r="J20" s="8">
        <v>0</v>
      </c>
      <c r="K20" s="8">
        <f t="shared" si="3"/>
        <v>39.4548974</v>
      </c>
      <c r="L20" s="8">
        <v>49.6998137</v>
      </c>
      <c r="M20" s="8">
        <v>0</v>
      </c>
      <c r="N20" s="8">
        <f t="shared" si="4"/>
        <v>49.6998137</v>
      </c>
      <c r="O20" s="8">
        <v>47.925727700000003</v>
      </c>
      <c r="P20" s="8">
        <v>-5.1784786730000008</v>
      </c>
      <c r="Q20" s="8">
        <f t="shared" si="5"/>
        <v>42.747249027000002</v>
      </c>
      <c r="R20" s="8">
        <v>46.599739459733563</v>
      </c>
      <c r="S20" s="8">
        <v>-8.4110899000000003</v>
      </c>
      <c r="T20" s="8">
        <f t="shared" si="6"/>
        <v>38.188649559733562</v>
      </c>
      <c r="U20" s="8">
        <v>48.518346299999997</v>
      </c>
      <c r="V20" s="8">
        <v>-6.2506642000000001</v>
      </c>
      <c r="W20" s="8">
        <f t="shared" si="7"/>
        <v>42.267682099999995</v>
      </c>
      <c r="X20" s="8">
        <v>38.580637400000001</v>
      </c>
      <c r="Y20" s="8">
        <v>-8.2781201430000007</v>
      </c>
      <c r="Z20" s="8">
        <f t="shared" si="8"/>
        <v>30.302517256999998</v>
      </c>
      <c r="AA20" s="8">
        <v>56.772348999999998</v>
      </c>
      <c r="AB20" s="8">
        <v>0</v>
      </c>
      <c r="AC20" s="8">
        <f t="shared" si="9"/>
        <v>56.772348999999998</v>
      </c>
      <c r="AD20" s="9">
        <v>70</v>
      </c>
      <c r="AE20" s="8">
        <v>-11.5</v>
      </c>
      <c r="AF20" s="8">
        <f t="shared" si="10"/>
        <v>58.5</v>
      </c>
      <c r="AG20" s="9">
        <v>50</v>
      </c>
      <c r="AH20" s="8">
        <v>0</v>
      </c>
      <c r="AI20" s="8">
        <f t="shared" si="11"/>
        <v>50</v>
      </c>
      <c r="AJ20" s="10">
        <v>55.5</v>
      </c>
      <c r="AK20" s="8">
        <v>0</v>
      </c>
      <c r="AL20" s="8">
        <f t="shared" si="12"/>
        <v>55.5</v>
      </c>
      <c r="AM20" s="10">
        <v>42.248557499999997</v>
      </c>
      <c r="AN20" s="8">
        <v>2.6059671329043237</v>
      </c>
      <c r="AO20" s="8">
        <f t="shared" si="13"/>
        <v>44.854524632904322</v>
      </c>
    </row>
    <row r="21" spans="1:41" x14ac:dyDescent="0.3">
      <c r="A21" s="1">
        <v>15</v>
      </c>
      <c r="B21" s="1" t="s">
        <v>14</v>
      </c>
      <c r="C21" s="7">
        <f t="shared" si="1"/>
        <v>389.13285964179272</v>
      </c>
      <c r="D21" s="7">
        <f t="shared" si="0"/>
        <v>-19.725699509316623</v>
      </c>
      <c r="E21" s="7">
        <f t="shared" si="0"/>
        <v>369.40716013247612</v>
      </c>
      <c r="F21" s="8">
        <v>32.494786599999998</v>
      </c>
      <c r="G21" s="8">
        <v>2.8346747304503803</v>
      </c>
      <c r="H21" s="8">
        <f t="shared" si="2"/>
        <v>35.329461330450378</v>
      </c>
      <c r="I21" s="8">
        <v>35.3415289</v>
      </c>
      <c r="J21" s="8">
        <v>0</v>
      </c>
      <c r="K21" s="8">
        <f t="shared" si="3"/>
        <v>35.3415289</v>
      </c>
      <c r="L21" s="8">
        <v>30.950553200000002</v>
      </c>
      <c r="M21" s="8">
        <v>0</v>
      </c>
      <c r="N21" s="8">
        <f t="shared" si="4"/>
        <v>30.950553200000002</v>
      </c>
      <c r="O21" s="8">
        <v>25.640753400000001</v>
      </c>
      <c r="P21" s="8">
        <v>-2.5093096350000001</v>
      </c>
      <c r="Q21" s="8">
        <f t="shared" si="5"/>
        <v>23.131443765</v>
      </c>
      <c r="R21" s="8">
        <v>26.316714841792734</v>
      </c>
      <c r="S21" s="8">
        <v>-4.7500749999999998</v>
      </c>
      <c r="T21" s="8">
        <f t="shared" si="6"/>
        <v>21.566639841792735</v>
      </c>
      <c r="U21" s="8">
        <v>29.082741500000001</v>
      </c>
      <c r="V21" s="8">
        <v>-3.7937816</v>
      </c>
      <c r="W21" s="8">
        <f t="shared" si="7"/>
        <v>25.288959900000002</v>
      </c>
      <c r="X21" s="8">
        <v>28.863514200000001</v>
      </c>
      <c r="Y21" s="8">
        <v>-6.1931490780000003</v>
      </c>
      <c r="Z21" s="8">
        <f t="shared" si="8"/>
        <v>22.670365122</v>
      </c>
      <c r="AA21" s="8">
        <v>37.465209899999998</v>
      </c>
      <c r="AB21" s="8">
        <v>0</v>
      </c>
      <c r="AC21" s="8">
        <f t="shared" si="9"/>
        <v>37.465209899999998</v>
      </c>
      <c r="AD21" s="9">
        <v>42</v>
      </c>
      <c r="AE21" s="8">
        <v>-6.75</v>
      </c>
      <c r="AF21" s="8">
        <f t="shared" si="10"/>
        <v>35.25</v>
      </c>
      <c r="AG21" s="9">
        <v>34</v>
      </c>
      <c r="AH21" s="8">
        <v>0</v>
      </c>
      <c r="AI21" s="8">
        <f t="shared" si="11"/>
        <v>34</v>
      </c>
      <c r="AJ21" s="10">
        <v>37.5</v>
      </c>
      <c r="AK21" s="8">
        <v>0</v>
      </c>
      <c r="AL21" s="8">
        <f t="shared" si="12"/>
        <v>37.5</v>
      </c>
      <c r="AM21" s="10">
        <v>29.4770571</v>
      </c>
      <c r="AN21" s="8">
        <v>1.4359410732329947</v>
      </c>
      <c r="AO21" s="8">
        <f t="shared" si="13"/>
        <v>30.912998173232996</v>
      </c>
    </row>
    <row r="22" spans="1:41" x14ac:dyDescent="0.3">
      <c r="A22" s="1">
        <v>16</v>
      </c>
      <c r="B22" s="1" t="s">
        <v>15</v>
      </c>
      <c r="C22" s="7">
        <f t="shared" si="1"/>
        <v>629.17655579910172</v>
      </c>
      <c r="D22" s="7">
        <f t="shared" si="0"/>
        <v>-14.761771583499238</v>
      </c>
      <c r="E22" s="7">
        <f t="shared" si="0"/>
        <v>614.41478421560237</v>
      </c>
      <c r="F22" s="8">
        <v>58.716180600000001</v>
      </c>
      <c r="G22" s="8">
        <v>11.835228416431788</v>
      </c>
      <c r="H22" s="8">
        <f t="shared" si="2"/>
        <v>70.551409016431791</v>
      </c>
      <c r="I22" s="8">
        <v>53.774523500000001</v>
      </c>
      <c r="J22" s="8">
        <v>0</v>
      </c>
      <c r="K22" s="8">
        <f t="shared" si="3"/>
        <v>53.774523500000001</v>
      </c>
      <c r="L22" s="8">
        <v>59.196953200000003</v>
      </c>
      <c r="M22" s="8">
        <v>0</v>
      </c>
      <c r="N22" s="8">
        <f t="shared" si="4"/>
        <v>59.196953200000003</v>
      </c>
      <c r="O22" s="8">
        <v>56.277214499999999</v>
      </c>
      <c r="P22" s="8">
        <v>-0.45127580700000181</v>
      </c>
      <c r="Q22" s="8">
        <f t="shared" si="5"/>
        <v>55.825938692999998</v>
      </c>
      <c r="R22" s="8">
        <v>44.10392299910162</v>
      </c>
      <c r="S22" s="8">
        <v>-7.9606038000000003</v>
      </c>
      <c r="T22" s="8">
        <f t="shared" si="6"/>
        <v>36.143319199101619</v>
      </c>
      <c r="U22" s="8">
        <v>50.136678699999997</v>
      </c>
      <c r="V22" s="8">
        <v>-6.2111609999999997</v>
      </c>
      <c r="W22" s="8">
        <f t="shared" si="7"/>
        <v>43.9255177</v>
      </c>
      <c r="X22" s="8">
        <v>43.703298799999999</v>
      </c>
      <c r="Y22" s="8">
        <v>-9.3772726940000002</v>
      </c>
      <c r="Z22" s="8">
        <f t="shared" si="8"/>
        <v>34.326026106</v>
      </c>
      <c r="AA22" s="8">
        <v>54.491604600000002</v>
      </c>
      <c r="AB22" s="8">
        <v>0</v>
      </c>
      <c r="AC22" s="8">
        <f t="shared" si="9"/>
        <v>54.491604600000002</v>
      </c>
      <c r="AD22" s="9">
        <v>52</v>
      </c>
      <c r="AE22" s="8">
        <v>-8.5</v>
      </c>
      <c r="AF22" s="8">
        <f t="shared" si="10"/>
        <v>43.5</v>
      </c>
      <c r="AG22" s="9">
        <v>49</v>
      </c>
      <c r="AH22" s="8">
        <v>0</v>
      </c>
      <c r="AI22" s="8">
        <f t="shared" si="11"/>
        <v>49</v>
      </c>
      <c r="AJ22" s="10">
        <v>51.1</v>
      </c>
      <c r="AK22" s="8">
        <v>0</v>
      </c>
      <c r="AL22" s="8">
        <f t="shared" si="12"/>
        <v>51.1</v>
      </c>
      <c r="AM22" s="10">
        <v>56.676178899999996</v>
      </c>
      <c r="AN22" s="8">
        <v>5.9033133010689784</v>
      </c>
      <c r="AO22" s="8">
        <f t="shared" si="13"/>
        <v>62.579492201068973</v>
      </c>
    </row>
    <row r="23" spans="1:41" x14ac:dyDescent="0.3">
      <c r="A23" s="1">
        <v>17</v>
      </c>
      <c r="B23" s="1" t="s">
        <v>16</v>
      </c>
      <c r="C23" s="7">
        <f t="shared" si="1"/>
        <v>548.67865239682271</v>
      </c>
      <c r="D23" s="7">
        <f t="shared" si="1"/>
        <v>-12.543106692612753</v>
      </c>
      <c r="E23" s="7">
        <f t="shared" si="1"/>
        <v>536.13554570421002</v>
      </c>
      <c r="F23" s="8">
        <v>51.666534400000003</v>
      </c>
      <c r="G23" s="8">
        <v>9.546000864277266</v>
      </c>
      <c r="H23" s="8">
        <f t="shared" si="2"/>
        <v>61.212535264277271</v>
      </c>
      <c r="I23" s="8">
        <v>44.176225700000003</v>
      </c>
      <c r="J23" s="8">
        <v>0</v>
      </c>
      <c r="K23" s="8">
        <f t="shared" si="3"/>
        <v>44.176225700000003</v>
      </c>
      <c r="L23" s="8">
        <v>48.754604899999997</v>
      </c>
      <c r="M23" s="8">
        <v>0</v>
      </c>
      <c r="N23" s="8">
        <f t="shared" si="4"/>
        <v>48.754604899999997</v>
      </c>
      <c r="O23" s="8">
        <v>46.739279799999998</v>
      </c>
      <c r="P23" s="8">
        <v>1.6661522219999991</v>
      </c>
      <c r="Q23" s="8">
        <f t="shared" si="5"/>
        <v>48.405432021999999</v>
      </c>
      <c r="R23" s="8">
        <v>36.624344796822761</v>
      </c>
      <c r="S23" s="8">
        <v>-6.6105660999999998</v>
      </c>
      <c r="T23" s="8">
        <f t="shared" si="6"/>
        <v>30.013778696822762</v>
      </c>
      <c r="U23" s="8">
        <v>39.535032800000003</v>
      </c>
      <c r="V23" s="8">
        <v>-5.1977416999999999</v>
      </c>
      <c r="W23" s="8">
        <f t="shared" si="7"/>
        <v>34.337291100000002</v>
      </c>
      <c r="X23" s="8">
        <v>37.207181499999997</v>
      </c>
      <c r="Y23" s="8">
        <v>-7.9834222230000007</v>
      </c>
      <c r="Z23" s="8">
        <f t="shared" si="8"/>
        <v>29.223759276999996</v>
      </c>
      <c r="AA23" s="8">
        <v>52.2418561</v>
      </c>
      <c r="AB23" s="8">
        <v>0</v>
      </c>
      <c r="AC23" s="8">
        <f t="shared" si="9"/>
        <v>52.2418561</v>
      </c>
      <c r="AD23" s="9">
        <v>53</v>
      </c>
      <c r="AE23" s="8">
        <v>-8.75</v>
      </c>
      <c r="AF23" s="8">
        <f t="shared" si="10"/>
        <v>44.25</v>
      </c>
      <c r="AG23" s="9">
        <v>51</v>
      </c>
      <c r="AH23" s="8">
        <v>0</v>
      </c>
      <c r="AI23" s="8">
        <f t="shared" si="11"/>
        <v>51</v>
      </c>
      <c r="AJ23" s="10">
        <v>53</v>
      </c>
      <c r="AK23" s="8">
        <v>0</v>
      </c>
      <c r="AL23" s="8">
        <f t="shared" si="12"/>
        <v>53</v>
      </c>
      <c r="AM23" s="10">
        <v>34.733592399999999</v>
      </c>
      <c r="AN23" s="8">
        <v>4.7864702441099825</v>
      </c>
      <c r="AO23" s="8">
        <f t="shared" si="13"/>
        <v>39.520062644109984</v>
      </c>
    </row>
    <row r="24" spans="1:41" x14ac:dyDescent="0.3">
      <c r="A24" s="1">
        <v>18</v>
      </c>
      <c r="B24" s="1" t="s">
        <v>17</v>
      </c>
      <c r="C24" s="7">
        <f t="shared" si="1"/>
        <v>4309.0722719809237</v>
      </c>
      <c r="D24" s="7">
        <f t="shared" si="1"/>
        <v>-80.819036772755169</v>
      </c>
      <c r="E24" s="7">
        <f t="shared" si="1"/>
        <v>4228.253235208168</v>
      </c>
      <c r="F24" s="8">
        <v>363.51201520000001</v>
      </c>
      <c r="G24" s="8">
        <v>89.814967969460326</v>
      </c>
      <c r="H24" s="8">
        <f t="shared" si="2"/>
        <v>453.32698316946033</v>
      </c>
      <c r="I24" s="8">
        <v>366.73132570000001</v>
      </c>
      <c r="J24" s="8">
        <v>0</v>
      </c>
      <c r="K24" s="8">
        <f t="shared" si="3"/>
        <v>366.73132570000001</v>
      </c>
      <c r="L24" s="8">
        <v>420.1849909</v>
      </c>
      <c r="M24" s="8">
        <v>0</v>
      </c>
      <c r="N24" s="8">
        <f t="shared" si="4"/>
        <v>420.1849909</v>
      </c>
      <c r="O24" s="8">
        <v>381.65929069999999</v>
      </c>
      <c r="P24" s="8">
        <v>1.5296848740000115</v>
      </c>
      <c r="Q24" s="8">
        <f t="shared" si="5"/>
        <v>383.18897557399998</v>
      </c>
      <c r="R24" s="8">
        <v>310.5236271809236</v>
      </c>
      <c r="S24" s="8">
        <v>-56.048428299999998</v>
      </c>
      <c r="T24" s="8">
        <f t="shared" si="6"/>
        <v>254.47519888092359</v>
      </c>
      <c r="U24" s="8">
        <v>343.65976979999999</v>
      </c>
      <c r="V24" s="8">
        <v>-41.623551499999998</v>
      </c>
      <c r="W24" s="8">
        <f t="shared" si="7"/>
        <v>302.03621829999997</v>
      </c>
      <c r="X24" s="8">
        <v>289.05602549999998</v>
      </c>
      <c r="Y24" s="8">
        <v>-62.021798099999998</v>
      </c>
      <c r="Z24" s="8">
        <f t="shared" si="8"/>
        <v>227.03422739999996</v>
      </c>
      <c r="AA24" s="8">
        <v>455.83065010000001</v>
      </c>
      <c r="AB24" s="8">
        <v>0</v>
      </c>
      <c r="AC24" s="8">
        <f t="shared" si="9"/>
        <v>455.83065010000001</v>
      </c>
      <c r="AD24" s="9">
        <v>352</v>
      </c>
      <c r="AE24" s="8">
        <v>-57.25</v>
      </c>
      <c r="AF24" s="8">
        <f t="shared" si="10"/>
        <v>294.75</v>
      </c>
      <c r="AG24" s="9">
        <v>337</v>
      </c>
      <c r="AH24" s="8">
        <v>0</v>
      </c>
      <c r="AI24" s="8">
        <f t="shared" si="11"/>
        <v>337</v>
      </c>
      <c r="AJ24" s="10">
        <v>357.2</v>
      </c>
      <c r="AK24" s="8">
        <v>0</v>
      </c>
      <c r="AL24" s="8">
        <f t="shared" si="12"/>
        <v>357.2</v>
      </c>
      <c r="AM24" s="10">
        <v>331.7145769</v>
      </c>
      <c r="AN24" s="8">
        <v>44.780088283784494</v>
      </c>
      <c r="AO24" s="8">
        <f t="shared" si="13"/>
        <v>376.49466518378449</v>
      </c>
    </row>
    <row r="25" spans="1:41" x14ac:dyDescent="0.3">
      <c r="A25" s="1">
        <v>19</v>
      </c>
      <c r="B25" s="1" t="s">
        <v>18</v>
      </c>
      <c r="C25" s="7">
        <f t="shared" si="1"/>
        <v>10069.001315146132</v>
      </c>
      <c r="D25" s="7">
        <f t="shared" si="1"/>
        <v>-31.647435113792653</v>
      </c>
      <c r="E25" s="7">
        <f t="shared" si="1"/>
        <v>10037.353880032339</v>
      </c>
      <c r="F25" s="8">
        <v>737.4552754</v>
      </c>
      <c r="G25" s="8">
        <v>301.57481882201694</v>
      </c>
      <c r="H25" s="8">
        <f t="shared" si="2"/>
        <v>1039.0300942220169</v>
      </c>
      <c r="I25" s="8">
        <v>682.27206939999996</v>
      </c>
      <c r="J25" s="8">
        <v>0</v>
      </c>
      <c r="K25" s="8">
        <f t="shared" si="3"/>
        <v>682.27206939999996</v>
      </c>
      <c r="L25" s="8">
        <v>733.83919189999995</v>
      </c>
      <c r="M25" s="8">
        <v>0</v>
      </c>
      <c r="N25" s="8">
        <f t="shared" si="4"/>
        <v>733.83919189999995</v>
      </c>
      <c r="O25" s="8">
        <v>1051.5328062000001</v>
      </c>
      <c r="P25" s="8">
        <v>92.228656390999987</v>
      </c>
      <c r="Q25" s="8">
        <f t="shared" si="5"/>
        <v>1143.7614625910001</v>
      </c>
      <c r="R25" s="8">
        <v>904.82286224613131</v>
      </c>
      <c r="S25" s="8">
        <v>-163.3173611</v>
      </c>
      <c r="T25" s="8">
        <f t="shared" si="6"/>
        <v>741.50550114613134</v>
      </c>
      <c r="U25" s="8">
        <v>866.98671920000004</v>
      </c>
      <c r="V25" s="8">
        <v>-106.6469965</v>
      </c>
      <c r="W25" s="8">
        <f t="shared" si="7"/>
        <v>760.33972270000004</v>
      </c>
      <c r="X25" s="8">
        <v>828.13999430000001</v>
      </c>
      <c r="Y25" s="8">
        <v>-177.69126739999999</v>
      </c>
      <c r="Z25" s="8">
        <f t="shared" si="8"/>
        <v>650.4487269</v>
      </c>
      <c r="AA25" s="8">
        <v>1013.1321102000001</v>
      </c>
      <c r="AB25" s="8">
        <v>0</v>
      </c>
      <c r="AC25" s="8">
        <f t="shared" si="9"/>
        <v>1013.1321102000001</v>
      </c>
      <c r="AD25" s="9">
        <v>797</v>
      </c>
      <c r="AE25" s="8">
        <v>-128.25</v>
      </c>
      <c r="AF25" s="8">
        <f t="shared" si="10"/>
        <v>668.75</v>
      </c>
      <c r="AG25" s="9">
        <v>897</v>
      </c>
      <c r="AH25" s="8">
        <v>0</v>
      </c>
      <c r="AI25" s="8">
        <f t="shared" si="11"/>
        <v>897</v>
      </c>
      <c r="AJ25" s="10">
        <v>784</v>
      </c>
      <c r="AK25" s="8">
        <v>0</v>
      </c>
      <c r="AL25" s="8">
        <f t="shared" si="12"/>
        <v>784</v>
      </c>
      <c r="AM25" s="10">
        <v>772.82028630000002</v>
      </c>
      <c r="AN25" s="8">
        <v>150.45471467319044</v>
      </c>
      <c r="AO25" s="8">
        <f t="shared" si="13"/>
        <v>923.27500097319046</v>
      </c>
    </row>
    <row r="26" spans="1:41" x14ac:dyDescent="0.3">
      <c r="A26" s="1">
        <v>20</v>
      </c>
      <c r="B26" s="1" t="s">
        <v>19</v>
      </c>
      <c r="C26" s="7">
        <f t="shared" si="1"/>
        <v>2663.0306852774434</v>
      </c>
      <c r="D26" s="7">
        <f t="shared" si="1"/>
        <v>31.945527441081786</v>
      </c>
      <c r="E26" s="7">
        <f t="shared" si="1"/>
        <v>2694.9762127185254</v>
      </c>
      <c r="F26" s="8">
        <v>170.1280443</v>
      </c>
      <c r="G26" s="8">
        <v>96.192423409557293</v>
      </c>
      <c r="H26" s="8">
        <f t="shared" si="2"/>
        <v>266.32046770955731</v>
      </c>
      <c r="I26" s="8">
        <v>179.9699746</v>
      </c>
      <c r="J26" s="8">
        <v>0</v>
      </c>
      <c r="K26" s="8">
        <f t="shared" si="3"/>
        <v>179.9699746</v>
      </c>
      <c r="L26" s="8">
        <v>187.27512569999999</v>
      </c>
      <c r="M26" s="8">
        <v>0</v>
      </c>
      <c r="N26" s="8">
        <f t="shared" si="4"/>
        <v>187.27512569999999</v>
      </c>
      <c r="O26" s="8">
        <v>271.35547050000002</v>
      </c>
      <c r="P26" s="8">
        <v>29.729710855000008</v>
      </c>
      <c r="Q26" s="8">
        <f t="shared" si="5"/>
        <v>301.08518135500003</v>
      </c>
      <c r="R26" s="8">
        <v>238.35171917744356</v>
      </c>
      <c r="S26" s="8">
        <v>-43.021651400000003</v>
      </c>
      <c r="T26" s="8">
        <f t="shared" si="6"/>
        <v>195.33006777744356</v>
      </c>
      <c r="U26" s="8">
        <v>244.129097</v>
      </c>
      <c r="V26" s="8">
        <v>-27.9792703</v>
      </c>
      <c r="W26" s="8">
        <f t="shared" si="7"/>
        <v>216.14982670000001</v>
      </c>
      <c r="X26" s="8">
        <v>133.74280949999999</v>
      </c>
      <c r="Y26" s="8">
        <v>-28.696753569999998</v>
      </c>
      <c r="Z26" s="8">
        <f t="shared" si="8"/>
        <v>105.04605592999999</v>
      </c>
      <c r="AA26" s="8">
        <v>339.65338850000001</v>
      </c>
      <c r="AB26" s="8">
        <v>0</v>
      </c>
      <c r="AC26" s="8">
        <f t="shared" si="9"/>
        <v>339.65338850000001</v>
      </c>
      <c r="AD26" s="9">
        <v>260</v>
      </c>
      <c r="AE26" s="8">
        <v>-42.249999999999993</v>
      </c>
      <c r="AF26" s="8">
        <f t="shared" si="10"/>
        <v>217.75</v>
      </c>
      <c r="AG26" s="9">
        <v>268</v>
      </c>
      <c r="AH26" s="8">
        <v>0</v>
      </c>
      <c r="AI26" s="8">
        <f t="shared" si="11"/>
        <v>268</v>
      </c>
      <c r="AJ26" s="10">
        <v>197.9</v>
      </c>
      <c r="AK26" s="8">
        <v>0</v>
      </c>
      <c r="AL26" s="8">
        <f t="shared" si="12"/>
        <v>197.9</v>
      </c>
      <c r="AM26" s="10">
        <v>172.52505600000001</v>
      </c>
      <c r="AN26" s="8">
        <v>47.971068446524484</v>
      </c>
      <c r="AO26" s="8">
        <f t="shared" si="13"/>
        <v>220.4961244465245</v>
      </c>
    </row>
    <row r="27" spans="1:41" x14ac:dyDescent="0.3">
      <c r="A27" s="1">
        <v>21</v>
      </c>
      <c r="B27" s="1" t="s">
        <v>20</v>
      </c>
      <c r="C27" s="7">
        <f t="shared" si="1"/>
        <v>4295.1013192783457</v>
      </c>
      <c r="D27" s="7">
        <f t="shared" si="1"/>
        <v>91.992427214716557</v>
      </c>
      <c r="E27" s="7">
        <f t="shared" si="1"/>
        <v>4387.093746493063</v>
      </c>
      <c r="F27" s="8">
        <v>332.5181268</v>
      </c>
      <c r="G27" s="8">
        <v>165.80003645203857</v>
      </c>
      <c r="H27" s="8">
        <f t="shared" si="2"/>
        <v>498.31816325203857</v>
      </c>
      <c r="I27" s="8">
        <v>261.52941099999998</v>
      </c>
      <c r="J27" s="8">
        <v>0</v>
      </c>
      <c r="K27" s="8">
        <f t="shared" si="3"/>
        <v>261.52941099999998</v>
      </c>
      <c r="L27" s="8">
        <v>276.64862590000001</v>
      </c>
      <c r="M27" s="8">
        <v>0</v>
      </c>
      <c r="N27" s="8">
        <f t="shared" si="4"/>
        <v>276.64862590000001</v>
      </c>
      <c r="O27" s="8">
        <v>391.63349570000003</v>
      </c>
      <c r="P27" s="8">
        <v>85.108098844999986</v>
      </c>
      <c r="Q27" s="8">
        <f t="shared" si="5"/>
        <v>476.741594545</v>
      </c>
      <c r="R27" s="8">
        <v>356.46265057834626</v>
      </c>
      <c r="S27" s="8">
        <v>-64.340261299999995</v>
      </c>
      <c r="T27" s="8">
        <f t="shared" si="6"/>
        <v>292.12238927834625</v>
      </c>
      <c r="U27" s="8">
        <v>363.21625560000001</v>
      </c>
      <c r="V27" s="8">
        <v>-43.003875999999998</v>
      </c>
      <c r="W27" s="8">
        <f t="shared" si="7"/>
        <v>320.21237960000002</v>
      </c>
      <c r="X27" s="8">
        <v>307.69517990000003</v>
      </c>
      <c r="Y27" s="8">
        <v>-66.021140000000003</v>
      </c>
      <c r="Z27" s="8">
        <f t="shared" si="8"/>
        <v>241.67403990000003</v>
      </c>
      <c r="AA27" s="8">
        <v>377.46812060000002</v>
      </c>
      <c r="AB27" s="8">
        <v>0</v>
      </c>
      <c r="AC27" s="8">
        <f t="shared" si="9"/>
        <v>377.46812060000002</v>
      </c>
      <c r="AD27" s="9">
        <v>420</v>
      </c>
      <c r="AE27" s="8">
        <v>-68.25</v>
      </c>
      <c r="AF27" s="8">
        <f t="shared" si="10"/>
        <v>351.75</v>
      </c>
      <c r="AG27" s="9">
        <v>408</v>
      </c>
      <c r="AH27" s="8">
        <v>0</v>
      </c>
      <c r="AI27" s="8">
        <f t="shared" si="11"/>
        <v>408</v>
      </c>
      <c r="AJ27" s="10">
        <v>398.7</v>
      </c>
      <c r="AK27" s="8">
        <v>0</v>
      </c>
      <c r="AL27" s="8">
        <f t="shared" si="12"/>
        <v>398.7</v>
      </c>
      <c r="AM27" s="10">
        <v>401.22945320000002</v>
      </c>
      <c r="AN27" s="8">
        <v>82.699569217678018</v>
      </c>
      <c r="AO27" s="8">
        <f t="shared" si="13"/>
        <v>483.92902241767803</v>
      </c>
    </row>
    <row r="28" spans="1:41" x14ac:dyDescent="0.3">
      <c r="A28" s="1">
        <v>22</v>
      </c>
      <c r="B28" s="1" t="s">
        <v>34</v>
      </c>
      <c r="C28" s="7">
        <f t="shared" si="1"/>
        <v>2043.9071934266126</v>
      </c>
      <c r="D28" s="7">
        <f t="shared" si="1"/>
        <v>100.74845855048233</v>
      </c>
      <c r="E28" s="7">
        <f t="shared" si="1"/>
        <v>2144.6556519770947</v>
      </c>
      <c r="F28" s="8">
        <v>140.36239069999999</v>
      </c>
      <c r="G28" s="8">
        <v>110.39490758521754</v>
      </c>
      <c r="H28" s="8">
        <f t="shared" si="2"/>
        <v>250.75729828521753</v>
      </c>
      <c r="I28" s="8">
        <v>132.03657250000001</v>
      </c>
      <c r="J28" s="8">
        <v>0</v>
      </c>
      <c r="K28" s="8">
        <f t="shared" si="3"/>
        <v>132.03657250000001</v>
      </c>
      <c r="L28" s="8">
        <v>146.49149080000001</v>
      </c>
      <c r="M28" s="8">
        <v>0</v>
      </c>
      <c r="N28" s="8">
        <f t="shared" si="4"/>
        <v>146.49149080000001</v>
      </c>
      <c r="O28" s="8">
        <v>235.3666149</v>
      </c>
      <c r="P28" s="8">
        <v>66.090683318000004</v>
      </c>
      <c r="Q28" s="8">
        <f t="shared" si="5"/>
        <v>301.45729821800001</v>
      </c>
      <c r="R28" s="8">
        <v>191.49359072661244</v>
      </c>
      <c r="S28" s="8">
        <v>-34.563923199999998</v>
      </c>
      <c r="T28" s="8">
        <f t="shared" si="6"/>
        <v>156.92966752661243</v>
      </c>
      <c r="U28" s="8">
        <v>197.79059319999999</v>
      </c>
      <c r="V28" s="8">
        <v>-23.278715099999999</v>
      </c>
      <c r="W28" s="8">
        <f t="shared" si="7"/>
        <v>174.51187809999999</v>
      </c>
      <c r="X28" s="8">
        <v>197.7888528</v>
      </c>
      <c r="Y28" s="8">
        <v>-42.438901860000001</v>
      </c>
      <c r="Z28" s="8">
        <f t="shared" si="8"/>
        <v>155.34995093999999</v>
      </c>
      <c r="AA28" s="8">
        <v>215.3789404</v>
      </c>
      <c r="AB28" s="8">
        <v>0</v>
      </c>
      <c r="AC28" s="8">
        <f t="shared" si="9"/>
        <v>215.3789404</v>
      </c>
      <c r="AD28" s="9">
        <v>184</v>
      </c>
      <c r="AE28" s="8">
        <v>-30.5</v>
      </c>
      <c r="AF28" s="8">
        <f t="shared" si="10"/>
        <v>153.5</v>
      </c>
      <c r="AG28" s="9">
        <v>167</v>
      </c>
      <c r="AH28" s="8">
        <v>0</v>
      </c>
      <c r="AI28" s="8">
        <f t="shared" si="11"/>
        <v>167</v>
      </c>
      <c r="AJ28" s="10">
        <v>136.19999999999999</v>
      </c>
      <c r="AK28" s="8">
        <v>0</v>
      </c>
      <c r="AL28" s="8">
        <f t="shared" si="12"/>
        <v>136.19999999999999</v>
      </c>
      <c r="AM28" s="10">
        <v>99.998147399999993</v>
      </c>
      <c r="AN28" s="8">
        <v>55.04440780726479</v>
      </c>
      <c r="AO28" s="8">
        <f t="shared" si="13"/>
        <v>155.0425552072648</v>
      </c>
    </row>
    <row r="29" spans="1:41" x14ac:dyDescent="0.3">
      <c r="A29" s="1">
        <v>23</v>
      </c>
      <c r="B29" s="1" t="s">
        <v>21</v>
      </c>
      <c r="C29" s="7">
        <f t="shared" si="1"/>
        <v>9927.0174668124109</v>
      </c>
      <c r="D29" s="7">
        <f t="shared" si="1"/>
        <v>-140.41826538752287</v>
      </c>
      <c r="E29" s="7">
        <f t="shared" si="1"/>
        <v>9786.5992014248877</v>
      </c>
      <c r="F29" s="8">
        <v>820.44737239999995</v>
      </c>
      <c r="G29" s="8">
        <v>230.0211522842622</v>
      </c>
      <c r="H29" s="8">
        <f t="shared" si="2"/>
        <v>1050.4685246842621</v>
      </c>
      <c r="I29" s="8">
        <v>757.02314100000001</v>
      </c>
      <c r="J29" s="8">
        <v>0</v>
      </c>
      <c r="K29" s="8">
        <f t="shared" si="3"/>
        <v>757.02314100000001</v>
      </c>
      <c r="L29" s="8">
        <v>890.8289168</v>
      </c>
      <c r="M29" s="8">
        <v>0</v>
      </c>
      <c r="N29" s="8">
        <f t="shared" si="4"/>
        <v>890.8289168</v>
      </c>
      <c r="O29" s="8">
        <v>1058.7198272000001</v>
      </c>
      <c r="P29" s="8">
        <v>25.884960075000009</v>
      </c>
      <c r="Q29" s="8">
        <f t="shared" si="5"/>
        <v>1084.604787275</v>
      </c>
      <c r="R29" s="8">
        <v>803.53924721241151</v>
      </c>
      <c r="S29" s="8">
        <v>-145.03602290000001</v>
      </c>
      <c r="T29" s="8">
        <f t="shared" si="6"/>
        <v>658.50322431241148</v>
      </c>
      <c r="U29" s="8">
        <v>743.3615969</v>
      </c>
      <c r="V29" s="8">
        <v>-93.2342127</v>
      </c>
      <c r="W29" s="8">
        <f t="shared" si="7"/>
        <v>650.12738420000005</v>
      </c>
      <c r="X29" s="8">
        <v>640.00173659999996</v>
      </c>
      <c r="Y29" s="8">
        <v>-137.32306199999999</v>
      </c>
      <c r="Z29" s="8">
        <f t="shared" si="8"/>
        <v>502.67867459999997</v>
      </c>
      <c r="AA29" s="8">
        <v>970.27873150000005</v>
      </c>
      <c r="AB29" s="8">
        <v>0</v>
      </c>
      <c r="AC29" s="8">
        <f t="shared" si="9"/>
        <v>970.27873150000005</v>
      </c>
      <c r="AD29" s="9">
        <v>837</v>
      </c>
      <c r="AE29" s="8">
        <v>-135.5</v>
      </c>
      <c r="AF29" s="8">
        <f t="shared" si="10"/>
        <v>701.5</v>
      </c>
      <c r="AG29" s="9">
        <v>870</v>
      </c>
      <c r="AH29" s="8">
        <v>0</v>
      </c>
      <c r="AI29" s="8">
        <f t="shared" si="11"/>
        <v>870</v>
      </c>
      <c r="AJ29" s="10">
        <v>815.8</v>
      </c>
      <c r="AK29" s="8">
        <v>0</v>
      </c>
      <c r="AL29" s="8">
        <f t="shared" si="12"/>
        <v>815.8</v>
      </c>
      <c r="AM29" s="10">
        <v>720.01689720000002</v>
      </c>
      <c r="AN29" s="8">
        <v>114.76891985321491</v>
      </c>
      <c r="AO29" s="8">
        <f t="shared" si="13"/>
        <v>834.78581705321494</v>
      </c>
    </row>
    <row r="30" spans="1:41" x14ac:dyDescent="0.3">
      <c r="A30" s="1">
        <v>24</v>
      </c>
      <c r="B30" s="1" t="s">
        <v>35</v>
      </c>
      <c r="C30" s="7">
        <f t="shared" si="1"/>
        <v>7449.7334825652124</v>
      </c>
      <c r="D30" s="7">
        <f t="shared" si="1"/>
        <v>293.40089204304991</v>
      </c>
      <c r="E30" s="7">
        <f t="shared" si="1"/>
        <v>7743.1343746082621</v>
      </c>
      <c r="F30" s="8">
        <v>590.66429849999997</v>
      </c>
      <c r="G30" s="8">
        <v>433.00237967826502</v>
      </c>
      <c r="H30" s="8">
        <f t="shared" si="2"/>
        <v>1023.666678178265</v>
      </c>
      <c r="I30" s="8">
        <v>438.91743359999998</v>
      </c>
      <c r="J30" s="8">
        <v>0</v>
      </c>
      <c r="K30" s="8">
        <f t="shared" si="3"/>
        <v>438.91743359999998</v>
      </c>
      <c r="L30" s="8">
        <v>419.16601070000002</v>
      </c>
      <c r="M30" s="8">
        <v>0</v>
      </c>
      <c r="N30" s="8">
        <f t="shared" si="4"/>
        <v>419.16601070000002</v>
      </c>
      <c r="O30" s="8">
        <v>1115.1512364</v>
      </c>
      <c r="P30" s="8">
        <v>46.283737170000023</v>
      </c>
      <c r="Q30" s="8">
        <f t="shared" si="5"/>
        <v>1161.43497357</v>
      </c>
      <c r="R30" s="8">
        <v>838.70776126521184</v>
      </c>
      <c r="S30" s="8">
        <v>-151.38381659999999</v>
      </c>
      <c r="T30" s="8">
        <f t="shared" si="6"/>
        <v>687.32394466521191</v>
      </c>
      <c r="U30" s="8">
        <v>829.68785909999997</v>
      </c>
      <c r="V30" s="8">
        <v>-74.892994200000004</v>
      </c>
      <c r="W30" s="8">
        <f t="shared" si="7"/>
        <v>754.79486489999999</v>
      </c>
      <c r="X30" s="8">
        <v>407.02768500000002</v>
      </c>
      <c r="Y30" s="8">
        <v>-87.334588019999998</v>
      </c>
      <c r="Z30" s="8">
        <f t="shared" si="8"/>
        <v>319.69309698000001</v>
      </c>
      <c r="AA30" s="8">
        <v>437.36576530000002</v>
      </c>
      <c r="AB30" s="8">
        <v>0</v>
      </c>
      <c r="AC30" s="8">
        <f t="shared" si="9"/>
        <v>437.36576530000002</v>
      </c>
      <c r="AD30" s="9">
        <v>563</v>
      </c>
      <c r="AE30" s="8">
        <v>-88.25</v>
      </c>
      <c r="AF30" s="8">
        <f t="shared" si="10"/>
        <v>474.75</v>
      </c>
      <c r="AG30" s="9">
        <v>656</v>
      </c>
      <c r="AH30" s="8">
        <v>0</v>
      </c>
      <c r="AI30" s="8">
        <f t="shared" si="11"/>
        <v>656</v>
      </c>
      <c r="AJ30" s="10">
        <v>674.6</v>
      </c>
      <c r="AK30" s="8">
        <v>0</v>
      </c>
      <c r="AL30" s="8">
        <f t="shared" si="12"/>
        <v>674.6</v>
      </c>
      <c r="AM30" s="10">
        <v>479.44543270000003</v>
      </c>
      <c r="AN30" s="8">
        <v>215.97617401478487</v>
      </c>
      <c r="AO30" s="8">
        <f t="shared" si="13"/>
        <v>695.42160671478496</v>
      </c>
    </row>
    <row r="31" spans="1:41" x14ac:dyDescent="0.3">
      <c r="A31" s="1">
        <v>25</v>
      </c>
      <c r="B31" s="1" t="s">
        <v>22</v>
      </c>
      <c r="C31" s="7">
        <f t="shared" si="1"/>
        <v>16.039294102486419</v>
      </c>
      <c r="D31" s="7">
        <f t="shared" si="1"/>
        <v>19.990583790372767</v>
      </c>
      <c r="E31" s="7">
        <f t="shared" si="1"/>
        <v>36.02987789285919</v>
      </c>
      <c r="F31" s="8">
        <v>1.1506137999999999</v>
      </c>
      <c r="G31" s="8">
        <v>9.698796958550453</v>
      </c>
      <c r="H31" s="8">
        <f t="shared" si="2"/>
        <v>10.849410758550453</v>
      </c>
      <c r="I31" s="8">
        <v>-0.43639410000000001</v>
      </c>
      <c r="J31" s="8">
        <v>0</v>
      </c>
      <c r="K31" s="8">
        <f t="shared" si="3"/>
        <v>-0.43639410000000001</v>
      </c>
      <c r="L31" s="8">
        <v>-3.0732024999999998</v>
      </c>
      <c r="M31" s="8">
        <v>0</v>
      </c>
      <c r="N31" s="8">
        <f t="shared" si="4"/>
        <v>-3.0732024999999998</v>
      </c>
      <c r="O31" s="8">
        <v>3.0320708999999999</v>
      </c>
      <c r="P31" s="8">
        <v>6.5096009090000004</v>
      </c>
      <c r="Q31" s="8">
        <f t="shared" si="5"/>
        <v>9.5416718090000003</v>
      </c>
      <c r="R31" s="8">
        <v>3.6332283024864203</v>
      </c>
      <c r="S31" s="8">
        <v>-0.65578499999999995</v>
      </c>
      <c r="T31" s="8">
        <f t="shared" si="6"/>
        <v>2.9774433024864204</v>
      </c>
      <c r="U31" s="8">
        <v>5.3373220000000003</v>
      </c>
      <c r="V31" s="8">
        <v>-4.4726599999999998E-2</v>
      </c>
      <c r="W31" s="8">
        <f t="shared" si="7"/>
        <v>5.2925954000000006</v>
      </c>
      <c r="X31" s="8">
        <v>0.4984731</v>
      </c>
      <c r="Y31" s="8">
        <v>-0.106955724</v>
      </c>
      <c r="Z31" s="8">
        <f t="shared" si="8"/>
        <v>0.39151737600000003</v>
      </c>
      <c r="AA31" s="8">
        <v>0.97931950000000001</v>
      </c>
      <c r="AB31" s="8">
        <v>0</v>
      </c>
      <c r="AC31" s="8">
        <f t="shared" si="9"/>
        <v>0.97931950000000001</v>
      </c>
      <c r="AD31" s="9">
        <v>1</v>
      </c>
      <c r="AE31" s="8">
        <v>-0.25</v>
      </c>
      <c r="AF31" s="8">
        <f t="shared" si="10"/>
        <v>0.75</v>
      </c>
      <c r="AG31" s="9">
        <v>0</v>
      </c>
      <c r="AH31" s="8">
        <v>0</v>
      </c>
      <c r="AI31" s="8">
        <f t="shared" si="11"/>
        <v>0</v>
      </c>
      <c r="AJ31" s="10">
        <v>3.1</v>
      </c>
      <c r="AK31" s="8">
        <v>0</v>
      </c>
      <c r="AL31" s="8">
        <f t="shared" si="12"/>
        <v>3.1</v>
      </c>
      <c r="AM31" s="10">
        <v>0.81786309999999995</v>
      </c>
      <c r="AN31" s="8">
        <v>4.8396532468223148</v>
      </c>
      <c r="AO31" s="8">
        <f t="shared" si="13"/>
        <v>5.6575163468223151</v>
      </c>
    </row>
    <row r="32" spans="1:41" x14ac:dyDescent="0.3">
      <c r="A32" s="1">
        <v>26</v>
      </c>
      <c r="B32" s="1" t="s">
        <v>23</v>
      </c>
      <c r="C32" s="7">
        <f t="shared" si="1"/>
        <v>111.14790839147653</v>
      </c>
      <c r="D32" s="7">
        <f t="shared" si="1"/>
        <v>9.8159163419275117</v>
      </c>
      <c r="E32" s="7">
        <f t="shared" si="1"/>
        <v>120.96382473340407</v>
      </c>
      <c r="F32" s="8">
        <v>9.6965819999999994</v>
      </c>
      <c r="G32" s="8">
        <v>11.500002107995535</v>
      </c>
      <c r="H32" s="8">
        <f t="shared" si="2"/>
        <v>21.196584107995534</v>
      </c>
      <c r="I32" s="8">
        <v>-2.4912032000000002</v>
      </c>
      <c r="J32" s="8">
        <v>0</v>
      </c>
      <c r="K32" s="8">
        <f t="shared" si="3"/>
        <v>-2.4912032000000002</v>
      </c>
      <c r="L32" s="8">
        <v>-10.6353834</v>
      </c>
      <c r="M32" s="8">
        <v>0</v>
      </c>
      <c r="N32" s="8">
        <f t="shared" si="4"/>
        <v>-10.6353834</v>
      </c>
      <c r="O32" s="8">
        <v>13.420359700000001</v>
      </c>
      <c r="P32" s="8">
        <v>-0.66082798300000078</v>
      </c>
      <c r="Q32" s="8">
        <f t="shared" si="5"/>
        <v>12.759531717</v>
      </c>
      <c r="R32" s="8">
        <v>12.223151091476552</v>
      </c>
      <c r="S32" s="8">
        <v>-2.2062360000000001</v>
      </c>
      <c r="T32" s="8">
        <f t="shared" si="6"/>
        <v>10.016915091476552</v>
      </c>
      <c r="U32" s="8">
        <v>26.8881351</v>
      </c>
      <c r="V32" s="8">
        <v>-1.9601961999999999</v>
      </c>
      <c r="W32" s="8">
        <f t="shared" si="7"/>
        <v>24.927938900000001</v>
      </c>
      <c r="X32" s="8">
        <v>8.6247764999999994</v>
      </c>
      <c r="Y32" s="8">
        <v>-1.8505898760000001</v>
      </c>
      <c r="Z32" s="8">
        <f t="shared" si="8"/>
        <v>6.7741866239999995</v>
      </c>
      <c r="AA32" s="8">
        <v>15.778961000000001</v>
      </c>
      <c r="AB32" s="8">
        <v>0</v>
      </c>
      <c r="AC32" s="8">
        <f t="shared" si="9"/>
        <v>15.778961000000001</v>
      </c>
      <c r="AD32" s="9">
        <v>6</v>
      </c>
      <c r="AE32" s="8">
        <v>-0.74999999999999989</v>
      </c>
      <c r="AF32" s="8">
        <f t="shared" si="10"/>
        <v>5.25</v>
      </c>
      <c r="AG32" s="9">
        <v>10</v>
      </c>
      <c r="AH32" s="8">
        <v>0</v>
      </c>
      <c r="AI32" s="8">
        <f t="shared" si="11"/>
        <v>10</v>
      </c>
      <c r="AJ32" s="10">
        <v>12.1</v>
      </c>
      <c r="AK32" s="8">
        <v>0</v>
      </c>
      <c r="AL32" s="8">
        <f t="shared" si="12"/>
        <v>12.1</v>
      </c>
      <c r="AM32" s="10">
        <v>9.5425295999999999</v>
      </c>
      <c r="AN32" s="8">
        <v>5.7437642929319788</v>
      </c>
      <c r="AO32" s="8">
        <f t="shared" si="13"/>
        <v>15.28629389293198</v>
      </c>
    </row>
    <row r="33" spans="1:41" x14ac:dyDescent="0.3">
      <c r="A33" s="1">
        <v>27</v>
      </c>
      <c r="B33" s="1" t="s">
        <v>36</v>
      </c>
      <c r="C33" s="7">
        <f t="shared" si="1"/>
        <v>20690.790031930643</v>
      </c>
      <c r="D33" s="7">
        <f t="shared" si="1"/>
        <v>802.43218570430213</v>
      </c>
      <c r="E33" s="7">
        <f t="shared" si="1"/>
        <v>21493.22221763495</v>
      </c>
      <c r="F33" s="8">
        <v>1731.6513964999999</v>
      </c>
      <c r="G33" s="8">
        <v>907.89720340907343</v>
      </c>
      <c r="H33" s="8">
        <f t="shared" si="2"/>
        <v>2639.5485999090733</v>
      </c>
      <c r="I33" s="8">
        <v>1233.2086844</v>
      </c>
      <c r="J33" s="8">
        <v>0</v>
      </c>
      <c r="K33" s="8">
        <f t="shared" si="3"/>
        <v>1233.2086844</v>
      </c>
      <c r="L33" s="8">
        <v>497.90596019999998</v>
      </c>
      <c r="M33" s="8">
        <v>0</v>
      </c>
      <c r="N33" s="8">
        <f t="shared" si="4"/>
        <v>497.90596019999998</v>
      </c>
      <c r="O33" s="8">
        <v>2463.3605968000002</v>
      </c>
      <c r="P33" s="8">
        <v>662.0992251969999</v>
      </c>
      <c r="Q33" s="8">
        <f t="shared" si="5"/>
        <v>3125.4598219970003</v>
      </c>
      <c r="R33" s="8">
        <v>2050.1477498306426</v>
      </c>
      <c r="S33" s="8">
        <v>-370.04449629999999</v>
      </c>
      <c r="T33" s="8">
        <f t="shared" si="6"/>
        <v>1680.1032535306426</v>
      </c>
      <c r="U33" s="8">
        <v>1584.1062151000001</v>
      </c>
      <c r="V33" s="8">
        <v>-215.7134892</v>
      </c>
      <c r="W33" s="8">
        <f t="shared" si="7"/>
        <v>1368.3927259000002</v>
      </c>
      <c r="X33" s="8">
        <v>1682.2866971000001</v>
      </c>
      <c r="Y33" s="8">
        <v>-360.96270850000002</v>
      </c>
      <c r="Z33" s="8">
        <f t="shared" si="8"/>
        <v>1321.3239886000001</v>
      </c>
      <c r="AA33" s="8">
        <v>1720.2625393000001</v>
      </c>
      <c r="AB33" s="8">
        <v>0</v>
      </c>
      <c r="AC33" s="8">
        <f t="shared" si="9"/>
        <v>1720.2625393000001</v>
      </c>
      <c r="AD33" s="9">
        <v>2176</v>
      </c>
      <c r="AE33" s="8">
        <v>-273.75</v>
      </c>
      <c r="AF33" s="8">
        <f t="shared" si="10"/>
        <v>1902.25</v>
      </c>
      <c r="AG33" s="9">
        <v>2203</v>
      </c>
      <c r="AH33" s="8">
        <v>0</v>
      </c>
      <c r="AI33" s="8">
        <f t="shared" si="11"/>
        <v>2203</v>
      </c>
      <c r="AJ33" s="10">
        <v>1909</v>
      </c>
      <c r="AK33" s="8">
        <v>0</v>
      </c>
      <c r="AL33" s="8">
        <f t="shared" si="12"/>
        <v>1909</v>
      </c>
      <c r="AM33" s="10">
        <v>1439.8601927</v>
      </c>
      <c r="AN33" s="8">
        <v>452.90645109822896</v>
      </c>
      <c r="AO33" s="8">
        <f t="shared" si="13"/>
        <v>1892.7666437982289</v>
      </c>
    </row>
    <row r="34" spans="1:41" x14ac:dyDescent="0.3">
      <c r="A34" s="1">
        <v>29</v>
      </c>
      <c r="B34" s="1" t="s">
        <v>24</v>
      </c>
      <c r="C34" s="7">
        <f t="shared" si="1"/>
        <v>15703.453948020759</v>
      </c>
      <c r="D34" s="7">
        <f t="shared" si="1"/>
        <v>174.34081279308253</v>
      </c>
      <c r="E34" s="7">
        <f t="shared" si="1"/>
        <v>15877.794760813844</v>
      </c>
      <c r="F34" s="8">
        <v>1175.3313956</v>
      </c>
      <c r="G34" s="8">
        <v>542.35831167544393</v>
      </c>
      <c r="H34" s="8">
        <f t="shared" si="2"/>
        <v>1717.6897072754439</v>
      </c>
      <c r="I34" s="8">
        <v>1139.5323166999999</v>
      </c>
      <c r="J34" s="8">
        <v>0</v>
      </c>
      <c r="K34" s="8">
        <f t="shared" si="3"/>
        <v>1139.5323166999999</v>
      </c>
      <c r="L34" s="8">
        <v>1092.5054258</v>
      </c>
      <c r="M34" s="8">
        <v>0</v>
      </c>
      <c r="N34" s="8">
        <f t="shared" si="4"/>
        <v>1092.5054258</v>
      </c>
      <c r="O34" s="8">
        <v>1629.4435264000001</v>
      </c>
      <c r="P34" s="8">
        <v>201.32154492000001</v>
      </c>
      <c r="Q34" s="8">
        <f t="shared" si="5"/>
        <v>1830.7650713200001</v>
      </c>
      <c r="R34" s="8">
        <v>1341.214144620759</v>
      </c>
      <c r="S34" s="8">
        <v>-242.08446079999999</v>
      </c>
      <c r="T34" s="8">
        <f t="shared" si="6"/>
        <v>1099.1296838207591</v>
      </c>
      <c r="U34" s="8">
        <v>1409.0194165999999</v>
      </c>
      <c r="V34" s="8">
        <v>-169.34846870000001</v>
      </c>
      <c r="W34" s="8">
        <f t="shared" si="7"/>
        <v>1239.6709478999999</v>
      </c>
      <c r="X34" s="8">
        <v>1132.2728400999999</v>
      </c>
      <c r="Y34" s="8">
        <v>-242.94804909999999</v>
      </c>
      <c r="Z34" s="8">
        <f t="shared" si="8"/>
        <v>889.324791</v>
      </c>
      <c r="AA34" s="8">
        <v>1440.7435353999999</v>
      </c>
      <c r="AB34" s="8">
        <v>0</v>
      </c>
      <c r="AC34" s="8">
        <f t="shared" si="9"/>
        <v>1440.7435353999999</v>
      </c>
      <c r="AD34" s="9">
        <v>1183</v>
      </c>
      <c r="AE34" s="8">
        <v>-185.5</v>
      </c>
      <c r="AF34" s="8">
        <f t="shared" si="10"/>
        <v>997.5</v>
      </c>
      <c r="AG34" s="9">
        <v>1471</v>
      </c>
      <c r="AH34" s="8">
        <v>0</v>
      </c>
      <c r="AI34" s="8">
        <f t="shared" si="11"/>
        <v>1471</v>
      </c>
      <c r="AJ34" s="10">
        <v>1382.7</v>
      </c>
      <c r="AK34" s="8">
        <v>0</v>
      </c>
      <c r="AL34" s="8">
        <f t="shared" si="12"/>
        <v>1382.7</v>
      </c>
      <c r="AM34" s="10">
        <v>1306.6913468</v>
      </c>
      <c r="AN34" s="8">
        <v>270.54193479763865</v>
      </c>
      <c r="AO34" s="8">
        <f t="shared" si="13"/>
        <v>1577.2332815976388</v>
      </c>
    </row>
    <row r="35" spans="1:41" x14ac:dyDescent="0.3">
      <c r="A35" s="1">
        <v>30</v>
      </c>
      <c r="B35" s="1" t="s">
        <v>25</v>
      </c>
      <c r="C35" s="7">
        <f t="shared" si="1"/>
        <v>863.78418128851627</v>
      </c>
      <c r="D35" s="7">
        <f t="shared" si="1"/>
        <v>6.3676090627241813</v>
      </c>
      <c r="E35" s="7">
        <f t="shared" si="1"/>
        <v>870.15179035124049</v>
      </c>
      <c r="F35" s="8">
        <v>46.224870600000003</v>
      </c>
      <c r="G35" s="8">
        <v>32.732532759037909</v>
      </c>
      <c r="H35" s="8">
        <f t="shared" si="2"/>
        <v>78.957403359037912</v>
      </c>
      <c r="I35" s="8">
        <v>57.027639299999997</v>
      </c>
      <c r="J35" s="8">
        <v>0</v>
      </c>
      <c r="K35" s="8">
        <f t="shared" si="3"/>
        <v>57.027639299999997</v>
      </c>
      <c r="L35" s="8">
        <v>52.543274199999999</v>
      </c>
      <c r="M35" s="8">
        <v>0</v>
      </c>
      <c r="N35" s="8">
        <f t="shared" si="4"/>
        <v>52.543274199999999</v>
      </c>
      <c r="O35" s="8">
        <v>61.582356599999997</v>
      </c>
      <c r="P35" s="8">
        <v>-0.93343743899999865</v>
      </c>
      <c r="Q35" s="8">
        <f t="shared" si="5"/>
        <v>60.648919160999995</v>
      </c>
      <c r="R35" s="8">
        <v>48.333329688516301</v>
      </c>
      <c r="S35" s="8">
        <v>-8.7239968999999995</v>
      </c>
      <c r="T35" s="8">
        <f t="shared" si="6"/>
        <v>39.609332788516298</v>
      </c>
      <c r="U35" s="8">
        <v>90.316378200000003</v>
      </c>
      <c r="V35" s="8">
        <v>-8.1909116999999991</v>
      </c>
      <c r="W35" s="8">
        <f t="shared" si="7"/>
        <v>82.125466500000002</v>
      </c>
      <c r="X35" s="8">
        <v>56.363636</v>
      </c>
      <c r="Y35" s="8">
        <v>-12.09375949</v>
      </c>
      <c r="Z35" s="8">
        <f t="shared" si="8"/>
        <v>44.269876510000003</v>
      </c>
      <c r="AA35" s="8">
        <v>82.072443899999996</v>
      </c>
      <c r="AB35" s="8">
        <v>0</v>
      </c>
      <c r="AC35" s="8">
        <f t="shared" si="9"/>
        <v>82.072443899999996</v>
      </c>
      <c r="AD35" s="9">
        <v>97</v>
      </c>
      <c r="AE35" s="8">
        <v>-12.750000000000002</v>
      </c>
      <c r="AF35" s="8">
        <f t="shared" si="10"/>
        <v>84.25</v>
      </c>
      <c r="AG35" s="9">
        <v>133</v>
      </c>
      <c r="AH35" s="8">
        <v>0</v>
      </c>
      <c r="AI35" s="8">
        <f t="shared" si="11"/>
        <v>133</v>
      </c>
      <c r="AJ35" s="10">
        <v>75.3</v>
      </c>
      <c r="AK35" s="8">
        <v>0</v>
      </c>
      <c r="AL35" s="8">
        <f t="shared" si="12"/>
        <v>75.3</v>
      </c>
      <c r="AM35" s="10">
        <v>64.020252799999994</v>
      </c>
      <c r="AN35" s="8">
        <v>16.327181832686271</v>
      </c>
      <c r="AO35" s="8">
        <f t="shared" si="13"/>
        <v>80.347434632686259</v>
      </c>
    </row>
    <row r="36" spans="1:41" x14ac:dyDescent="0.3">
      <c r="A36" s="1">
        <v>31</v>
      </c>
      <c r="B36" s="1" t="s">
        <v>26</v>
      </c>
      <c r="C36" s="7">
        <f t="shared" si="1"/>
        <v>16.8280824</v>
      </c>
      <c r="D36" s="7">
        <f t="shared" si="1"/>
        <v>-3.0155439999999998E-3</v>
      </c>
      <c r="E36" s="7">
        <f t="shared" si="1"/>
        <v>16.825066855999999</v>
      </c>
      <c r="F36" s="8">
        <v>1.3019923</v>
      </c>
      <c r="G36" s="8">
        <v>0</v>
      </c>
      <c r="H36" s="8">
        <f t="shared" si="2"/>
        <v>1.3019923</v>
      </c>
      <c r="I36" s="8">
        <v>1.3473618999999999</v>
      </c>
      <c r="J36" s="8">
        <v>0</v>
      </c>
      <c r="K36" s="8">
        <f t="shared" si="3"/>
        <v>1.3473618999999999</v>
      </c>
      <c r="L36" s="8">
        <v>0.61619420000000003</v>
      </c>
      <c r="M36" s="8">
        <v>0</v>
      </c>
      <c r="N36" s="8">
        <f t="shared" si="4"/>
        <v>0.61619420000000003</v>
      </c>
      <c r="O36" s="8">
        <v>0.92275879999999999</v>
      </c>
      <c r="P36" s="8">
        <v>-3.0155439999999998E-3</v>
      </c>
      <c r="Q36" s="8">
        <f t="shared" si="5"/>
        <v>0.91974325599999995</v>
      </c>
      <c r="R36" s="8">
        <v>1.9373163</v>
      </c>
      <c r="S36" s="8">
        <v>0</v>
      </c>
      <c r="T36" s="8">
        <f t="shared" si="6"/>
        <v>1.9373163</v>
      </c>
      <c r="U36" s="8">
        <v>1.4142027000000001</v>
      </c>
      <c r="V36" s="8">
        <v>0</v>
      </c>
      <c r="W36" s="8">
        <f t="shared" si="7"/>
        <v>1.4142027000000001</v>
      </c>
      <c r="X36" s="8">
        <v>2.7399526999999999</v>
      </c>
      <c r="Y36" s="8">
        <v>0</v>
      </c>
      <c r="Z36" s="8">
        <f t="shared" si="8"/>
        <v>2.7399526999999999</v>
      </c>
      <c r="AA36" s="8">
        <v>0.88779520000000001</v>
      </c>
      <c r="AB36" s="8">
        <v>0</v>
      </c>
      <c r="AC36" s="8">
        <f t="shared" si="9"/>
        <v>0.88779520000000001</v>
      </c>
      <c r="AD36" s="9">
        <v>2</v>
      </c>
      <c r="AE36" s="8">
        <v>0</v>
      </c>
      <c r="AF36" s="8">
        <f t="shared" si="10"/>
        <v>2</v>
      </c>
      <c r="AG36" s="9">
        <v>1</v>
      </c>
      <c r="AH36" s="8">
        <v>0</v>
      </c>
      <c r="AI36" s="8">
        <f t="shared" si="11"/>
        <v>1</v>
      </c>
      <c r="AJ36" s="10">
        <v>1.6</v>
      </c>
      <c r="AK36" s="8">
        <v>0</v>
      </c>
      <c r="AL36" s="8">
        <f t="shared" si="12"/>
        <v>1.6</v>
      </c>
      <c r="AM36" s="10">
        <v>1.0605083</v>
      </c>
      <c r="AN36" s="8">
        <v>0</v>
      </c>
      <c r="AO36" s="8">
        <f t="shared" si="13"/>
        <v>1.0605083</v>
      </c>
    </row>
    <row r="37" spans="1:41" x14ac:dyDescent="0.3">
      <c r="A37" s="1">
        <v>32</v>
      </c>
      <c r="B37" s="1" t="s">
        <v>27</v>
      </c>
      <c r="C37" s="7">
        <f t="shared" si="1"/>
        <v>9933.419377144899</v>
      </c>
      <c r="D37" s="7">
        <f t="shared" si="1"/>
        <v>-56.030536790326721</v>
      </c>
      <c r="E37" s="7">
        <f t="shared" si="1"/>
        <v>9877.3888403545716</v>
      </c>
      <c r="F37" s="8">
        <v>871.16215820000002</v>
      </c>
      <c r="G37" s="8">
        <v>252.4117964668684</v>
      </c>
      <c r="H37" s="8">
        <f t="shared" si="2"/>
        <v>1123.5739546668683</v>
      </c>
      <c r="I37" s="8">
        <v>849.29878440000005</v>
      </c>
      <c r="J37" s="8">
        <v>0</v>
      </c>
      <c r="K37" s="8">
        <f t="shared" si="3"/>
        <v>849.29878440000005</v>
      </c>
      <c r="L37" s="8">
        <v>921.51010359999998</v>
      </c>
      <c r="M37" s="8">
        <v>0</v>
      </c>
      <c r="N37" s="8">
        <f t="shared" si="4"/>
        <v>921.51010359999998</v>
      </c>
      <c r="O37" s="8">
        <v>911.5755034</v>
      </c>
      <c r="P37" s="8">
        <v>96.22029802000003</v>
      </c>
      <c r="Q37" s="8">
        <f t="shared" si="5"/>
        <v>1007.7958014200001</v>
      </c>
      <c r="R37" s="8">
        <v>815.64806954489893</v>
      </c>
      <c r="S37" s="8">
        <v>-147.22162299999999</v>
      </c>
      <c r="T37" s="8">
        <f t="shared" si="6"/>
        <v>668.42644654489891</v>
      </c>
      <c r="U37" s="8">
        <v>834.85423349999996</v>
      </c>
      <c r="V37" s="8">
        <v>-107.4314566</v>
      </c>
      <c r="W37" s="8">
        <f t="shared" si="7"/>
        <v>727.42277689999992</v>
      </c>
      <c r="X37" s="8">
        <v>731.45973089999995</v>
      </c>
      <c r="Y37" s="8">
        <v>-156.94690209999999</v>
      </c>
      <c r="Z37" s="8">
        <f t="shared" si="8"/>
        <v>574.51282879999997</v>
      </c>
      <c r="AA37" s="8">
        <v>854.26911480000001</v>
      </c>
      <c r="AB37" s="8">
        <v>0</v>
      </c>
      <c r="AC37" s="8">
        <f t="shared" si="9"/>
        <v>854.26911480000001</v>
      </c>
      <c r="AD37" s="9">
        <v>737</v>
      </c>
      <c r="AE37" s="8">
        <v>-119</v>
      </c>
      <c r="AF37" s="8">
        <f t="shared" si="10"/>
        <v>618</v>
      </c>
      <c r="AG37" s="9">
        <v>817</v>
      </c>
      <c r="AH37" s="8">
        <v>0</v>
      </c>
      <c r="AI37" s="8">
        <f t="shared" si="11"/>
        <v>817</v>
      </c>
      <c r="AJ37" s="10">
        <v>807.8</v>
      </c>
      <c r="AK37" s="8">
        <v>0</v>
      </c>
      <c r="AL37" s="8">
        <f t="shared" si="12"/>
        <v>807.8</v>
      </c>
      <c r="AM37" s="10">
        <v>781.84167879999995</v>
      </c>
      <c r="AN37" s="8">
        <v>125.93735042280485</v>
      </c>
      <c r="AO37" s="8">
        <f t="shared" si="13"/>
        <v>907.77902922280487</v>
      </c>
    </row>
    <row r="38" spans="1:41" x14ac:dyDescent="0.3">
      <c r="A38" s="1">
        <v>33</v>
      </c>
      <c r="B38" s="1" t="s">
        <v>28</v>
      </c>
      <c r="C38" s="7">
        <f t="shared" si="1"/>
        <v>13000.087221527712</v>
      </c>
      <c r="D38" s="7">
        <f t="shared" si="1"/>
        <v>137.72748423632154</v>
      </c>
      <c r="E38" s="7">
        <f t="shared" si="1"/>
        <v>13137.814705764034</v>
      </c>
      <c r="F38" s="8">
        <v>1116.0847189000001</v>
      </c>
      <c r="G38" s="8">
        <v>446.95697424222107</v>
      </c>
      <c r="H38" s="8">
        <f t="shared" si="2"/>
        <v>1563.0416931422212</v>
      </c>
      <c r="I38" s="8">
        <v>1098.4326788999999</v>
      </c>
      <c r="J38" s="8">
        <v>0</v>
      </c>
      <c r="K38" s="8">
        <f t="shared" si="3"/>
        <v>1098.4326788999999</v>
      </c>
      <c r="L38" s="8">
        <v>892.1525312</v>
      </c>
      <c r="M38" s="8">
        <v>0</v>
      </c>
      <c r="N38" s="8">
        <f t="shared" si="4"/>
        <v>892.1525312</v>
      </c>
      <c r="O38" s="8">
        <v>1445.062087</v>
      </c>
      <c r="P38" s="8">
        <v>215.69113382400002</v>
      </c>
      <c r="Q38" s="8">
        <f t="shared" si="5"/>
        <v>1660.753220824</v>
      </c>
      <c r="R38" s="8">
        <v>1344.8893964277113</v>
      </c>
      <c r="S38" s="8">
        <v>-242.7478309</v>
      </c>
      <c r="T38" s="8">
        <f t="shared" si="6"/>
        <v>1102.1415655277112</v>
      </c>
      <c r="U38" s="8">
        <v>1250.3480697</v>
      </c>
      <c r="V38" s="8">
        <v>-161.05664770000001</v>
      </c>
      <c r="W38" s="8">
        <f t="shared" si="7"/>
        <v>1089.291422</v>
      </c>
      <c r="X38" s="8">
        <v>991.80949559999999</v>
      </c>
      <c r="Y38" s="8">
        <v>-212.80929259999999</v>
      </c>
      <c r="Z38" s="8">
        <f t="shared" si="8"/>
        <v>779.00020300000006</v>
      </c>
      <c r="AA38" s="8">
        <v>940.59405790000005</v>
      </c>
      <c r="AB38" s="8">
        <v>0</v>
      </c>
      <c r="AC38" s="8">
        <f t="shared" si="9"/>
        <v>940.59405790000005</v>
      </c>
      <c r="AD38" s="9">
        <v>809</v>
      </c>
      <c r="AE38" s="8">
        <v>-131.25</v>
      </c>
      <c r="AF38" s="8">
        <f t="shared" si="10"/>
        <v>677.75</v>
      </c>
      <c r="AG38" s="9">
        <v>1099</v>
      </c>
      <c r="AH38" s="8">
        <v>0</v>
      </c>
      <c r="AI38" s="8">
        <f t="shared" si="11"/>
        <v>1099</v>
      </c>
      <c r="AJ38" s="10">
        <v>1015.2</v>
      </c>
      <c r="AK38" s="8">
        <v>0</v>
      </c>
      <c r="AL38" s="8">
        <f t="shared" si="12"/>
        <v>1015.2</v>
      </c>
      <c r="AM38" s="10">
        <v>997.51418590000003</v>
      </c>
      <c r="AN38" s="8">
        <v>222.94314737010049</v>
      </c>
      <c r="AO38" s="8">
        <f t="shared" si="13"/>
        <v>1220.4573332701004</v>
      </c>
    </row>
    <row r="39" spans="1:41" x14ac:dyDescent="0.3">
      <c r="A39" s="1">
        <v>34</v>
      </c>
      <c r="B39" s="1" t="s">
        <v>29</v>
      </c>
      <c r="C39" s="7">
        <f t="shared" si="1"/>
        <v>355.75810970636763</v>
      </c>
      <c r="D39" s="7">
        <f t="shared" si="1"/>
        <v>13.661008649584815</v>
      </c>
      <c r="E39" s="7">
        <f t="shared" si="1"/>
        <v>369.41911835595243</v>
      </c>
      <c r="F39" s="8">
        <v>25.668412400000001</v>
      </c>
      <c r="G39" s="8">
        <v>16.436491765885513</v>
      </c>
      <c r="H39" s="8">
        <f t="shared" si="2"/>
        <v>42.104904165885515</v>
      </c>
      <c r="I39" s="8">
        <v>30.506088800000001</v>
      </c>
      <c r="J39" s="8">
        <v>0</v>
      </c>
      <c r="K39" s="8">
        <f t="shared" si="3"/>
        <v>30.506088800000001</v>
      </c>
      <c r="L39" s="8">
        <v>30.808764799999999</v>
      </c>
      <c r="M39" s="8">
        <v>0</v>
      </c>
      <c r="N39" s="8">
        <f t="shared" si="4"/>
        <v>30.808764799999999</v>
      </c>
      <c r="O39" s="8">
        <v>27.8332926</v>
      </c>
      <c r="P39" s="8">
        <v>6.8761403999999997</v>
      </c>
      <c r="Q39" s="8">
        <f t="shared" si="5"/>
        <v>34.709432999999997</v>
      </c>
      <c r="R39" s="8">
        <v>31.156293606367637</v>
      </c>
      <c r="S39" s="8">
        <v>-5.623602</v>
      </c>
      <c r="T39" s="8">
        <f t="shared" si="6"/>
        <v>25.532691606367635</v>
      </c>
      <c r="U39" s="8">
        <v>30.066499800000003</v>
      </c>
      <c r="V39" s="8">
        <v>-2.9575966999999999</v>
      </c>
      <c r="W39" s="8">
        <f t="shared" si="7"/>
        <v>27.108903100000003</v>
      </c>
      <c r="X39" s="8">
        <v>18.691657200000002</v>
      </c>
      <c r="Y39" s="8">
        <v>-4.0106072340000001</v>
      </c>
      <c r="Z39" s="8">
        <f t="shared" si="8"/>
        <v>14.681049966000002</v>
      </c>
      <c r="AA39" s="8">
        <v>32.551451999999998</v>
      </c>
      <c r="AB39" s="8">
        <v>0</v>
      </c>
      <c r="AC39" s="8">
        <f t="shared" si="9"/>
        <v>32.551451999999998</v>
      </c>
      <c r="AD39" s="9">
        <v>32</v>
      </c>
      <c r="AE39" s="8">
        <v>-5.25</v>
      </c>
      <c r="AF39" s="8">
        <f t="shared" si="10"/>
        <v>26.75</v>
      </c>
      <c r="AG39" s="9">
        <v>31</v>
      </c>
      <c r="AH39" s="8">
        <v>0</v>
      </c>
      <c r="AI39" s="8">
        <f t="shared" si="11"/>
        <v>31</v>
      </c>
      <c r="AJ39" s="10">
        <v>32.200000000000003</v>
      </c>
      <c r="AK39" s="8">
        <v>0</v>
      </c>
      <c r="AL39" s="8">
        <f t="shared" si="12"/>
        <v>32.200000000000003</v>
      </c>
      <c r="AM39" s="10">
        <v>33.275648500000003</v>
      </c>
      <c r="AN39" s="8">
        <v>8.1901824176993028</v>
      </c>
      <c r="AO39" s="8">
        <f t="shared" si="13"/>
        <v>41.465830917699307</v>
      </c>
    </row>
    <row r="40" spans="1:41" x14ac:dyDescent="0.3">
      <c r="A40" s="1">
        <v>35</v>
      </c>
      <c r="B40" s="1" t="s">
        <v>42</v>
      </c>
      <c r="C40" s="7">
        <f t="shared" si="1"/>
        <v>212.5939862743528</v>
      </c>
      <c r="D40" s="7">
        <f t="shared" si="1"/>
        <v>-11.417409435112265</v>
      </c>
      <c r="E40" s="7">
        <f t="shared" si="1"/>
        <v>201.17657683924054</v>
      </c>
      <c r="F40" s="8">
        <v>20.609466399999999</v>
      </c>
      <c r="G40" s="8">
        <v>1.5240966649150711</v>
      </c>
      <c r="H40" s="8">
        <f t="shared" si="2"/>
        <v>22.133563064915069</v>
      </c>
      <c r="I40" s="8">
        <v>13.425471699999999</v>
      </c>
      <c r="J40" s="8">
        <v>0</v>
      </c>
      <c r="K40" s="8">
        <f t="shared" si="3"/>
        <v>13.425471699999999</v>
      </c>
      <c r="L40" s="8">
        <v>15.056701800000001</v>
      </c>
      <c r="M40" s="8">
        <v>0</v>
      </c>
      <c r="N40" s="8">
        <f t="shared" si="4"/>
        <v>15.056701800000001</v>
      </c>
      <c r="O40" s="8">
        <v>14.474086099999999</v>
      </c>
      <c r="P40" s="8">
        <v>-1.7990291950000001</v>
      </c>
      <c r="Q40" s="8">
        <f t="shared" si="5"/>
        <v>12.675056904999998</v>
      </c>
      <c r="R40" s="8">
        <v>19.329660674352784</v>
      </c>
      <c r="S40" s="8">
        <v>-3.4889361000000001</v>
      </c>
      <c r="T40" s="8">
        <f t="shared" si="6"/>
        <v>15.840724574352784</v>
      </c>
      <c r="U40" s="8">
        <v>12.5901674</v>
      </c>
      <c r="V40" s="8">
        <v>-1.5853246000000001</v>
      </c>
      <c r="W40" s="8">
        <f t="shared" si="7"/>
        <v>11.0048428</v>
      </c>
      <c r="X40" s="8">
        <v>11.94397</v>
      </c>
      <c r="Y40" s="8">
        <v>-2.5627782429999999</v>
      </c>
      <c r="Z40" s="8">
        <f t="shared" si="8"/>
        <v>9.3811917569999999</v>
      </c>
      <c r="AA40" s="8">
        <v>24.647226700000001</v>
      </c>
      <c r="AB40" s="8">
        <v>0</v>
      </c>
      <c r="AC40" s="8">
        <f t="shared" si="9"/>
        <v>24.647226700000001</v>
      </c>
      <c r="AD40" s="9">
        <v>26</v>
      </c>
      <c r="AE40" s="8">
        <v>-4.25</v>
      </c>
      <c r="AF40" s="8">
        <f t="shared" si="10"/>
        <v>21.75</v>
      </c>
      <c r="AG40" s="9">
        <v>18</v>
      </c>
      <c r="AH40" s="8">
        <v>0</v>
      </c>
      <c r="AI40" s="8">
        <f t="shared" si="11"/>
        <v>18</v>
      </c>
      <c r="AJ40" s="10">
        <v>16.8</v>
      </c>
      <c r="AK40" s="8">
        <v>0</v>
      </c>
      <c r="AL40" s="8">
        <f t="shared" si="12"/>
        <v>16.8</v>
      </c>
      <c r="AM40" s="10">
        <v>19.717235500000001</v>
      </c>
      <c r="AN40" s="8">
        <v>0.74456203797266385</v>
      </c>
      <c r="AO40" s="8">
        <f t="shared" si="13"/>
        <v>20.461797537972664</v>
      </c>
    </row>
    <row r="41" spans="1:41" x14ac:dyDescent="0.3">
      <c r="A41" s="1">
        <v>36</v>
      </c>
      <c r="B41" s="1" t="s">
        <v>30</v>
      </c>
      <c r="C41" s="7">
        <f t="shared" si="1"/>
        <v>10434.081126270205</v>
      </c>
      <c r="D41" s="7">
        <f t="shared" si="1"/>
        <v>-163.73726242127</v>
      </c>
      <c r="E41" s="7">
        <f t="shared" si="1"/>
        <v>10270.343863848933</v>
      </c>
      <c r="F41" s="8">
        <v>911.81360519999998</v>
      </c>
      <c r="G41" s="8">
        <v>241.7183307958708</v>
      </c>
      <c r="H41" s="8">
        <f t="shared" si="2"/>
        <v>1153.5319359958708</v>
      </c>
      <c r="I41" s="8">
        <v>797.6306998</v>
      </c>
      <c r="J41" s="8">
        <v>0</v>
      </c>
      <c r="K41" s="8">
        <f t="shared" si="3"/>
        <v>797.6306998</v>
      </c>
      <c r="L41" s="8">
        <v>793.37321689999999</v>
      </c>
      <c r="M41" s="8">
        <v>0</v>
      </c>
      <c r="N41" s="8">
        <f t="shared" si="4"/>
        <v>793.37321689999999</v>
      </c>
      <c r="O41" s="8">
        <v>1040.2577845999999</v>
      </c>
      <c r="P41" s="8">
        <v>47.048385034000034</v>
      </c>
      <c r="Q41" s="8">
        <f t="shared" si="5"/>
        <v>1087.3061696340001</v>
      </c>
      <c r="R41" s="8">
        <v>873.72896137020416</v>
      </c>
      <c r="S41" s="8">
        <v>-157.70502070000001</v>
      </c>
      <c r="T41" s="8">
        <f t="shared" si="6"/>
        <v>716.02394067020418</v>
      </c>
      <c r="U41" s="8">
        <v>912.99314519999996</v>
      </c>
      <c r="V41" s="8">
        <v>-116.5642952</v>
      </c>
      <c r="W41" s="8">
        <f t="shared" si="7"/>
        <v>796.42885000000001</v>
      </c>
      <c r="X41" s="8">
        <v>785.53907879999997</v>
      </c>
      <c r="Y41" s="8">
        <v>-168.55052950000001</v>
      </c>
      <c r="Z41" s="8">
        <f t="shared" si="8"/>
        <v>616.98854929999993</v>
      </c>
      <c r="AA41" s="8">
        <v>944.76878160000001</v>
      </c>
      <c r="AB41" s="8">
        <v>0</v>
      </c>
      <c r="AC41" s="8">
        <f t="shared" si="9"/>
        <v>944.76878160000001</v>
      </c>
      <c r="AD41" s="9">
        <v>712</v>
      </c>
      <c r="AE41" s="8">
        <v>-130.25</v>
      </c>
      <c r="AF41" s="8">
        <f t="shared" si="10"/>
        <v>581.75</v>
      </c>
      <c r="AG41" s="9">
        <v>964</v>
      </c>
      <c r="AH41" s="8">
        <v>0</v>
      </c>
      <c r="AI41" s="8">
        <f t="shared" si="11"/>
        <v>964</v>
      </c>
      <c r="AJ41" s="10">
        <v>842.3</v>
      </c>
      <c r="AK41" s="8">
        <v>0</v>
      </c>
      <c r="AL41" s="8">
        <f t="shared" si="12"/>
        <v>842.3</v>
      </c>
      <c r="AM41" s="10">
        <v>855.67585280000003</v>
      </c>
      <c r="AN41" s="8">
        <v>120.56586714885921</v>
      </c>
      <c r="AO41" s="8">
        <f t="shared" si="13"/>
        <v>976.24171994885921</v>
      </c>
    </row>
    <row r="42" spans="1:41" x14ac:dyDescent="0.3">
      <c r="A42" s="1">
        <v>37</v>
      </c>
      <c r="B42" s="1" t="s">
        <v>31</v>
      </c>
      <c r="C42" s="7">
        <f t="shared" si="1"/>
        <v>10515.311808084949</v>
      </c>
      <c r="D42" s="7">
        <f t="shared" si="1"/>
        <v>-238.41749348741192</v>
      </c>
      <c r="E42" s="7">
        <f t="shared" si="1"/>
        <v>10276.894314597535</v>
      </c>
      <c r="F42" s="8">
        <v>934.94839649999994</v>
      </c>
      <c r="G42" s="8">
        <v>201.81725662040145</v>
      </c>
      <c r="H42" s="8">
        <f t="shared" si="2"/>
        <v>1136.7656531204013</v>
      </c>
      <c r="I42" s="8">
        <v>828.35556570000006</v>
      </c>
      <c r="J42" s="8">
        <v>0</v>
      </c>
      <c r="K42" s="8">
        <f t="shared" si="3"/>
        <v>828.35556570000006</v>
      </c>
      <c r="L42" s="8">
        <v>869.78789259999996</v>
      </c>
      <c r="M42" s="8">
        <v>0</v>
      </c>
      <c r="N42" s="8">
        <f t="shared" si="4"/>
        <v>869.78789259999996</v>
      </c>
      <c r="O42" s="8">
        <v>938.23861599999998</v>
      </c>
      <c r="P42" s="8">
        <v>-0.29894490499998483</v>
      </c>
      <c r="Q42" s="8">
        <f t="shared" si="5"/>
        <v>937.93967109499999</v>
      </c>
      <c r="R42" s="8">
        <v>781.21061568495031</v>
      </c>
      <c r="S42" s="8">
        <v>-141.00578300000001</v>
      </c>
      <c r="T42" s="8">
        <f t="shared" si="6"/>
        <v>640.20483268495036</v>
      </c>
      <c r="U42" s="8">
        <v>846.80564460000005</v>
      </c>
      <c r="V42" s="8">
        <v>-104.173104</v>
      </c>
      <c r="W42" s="8">
        <f t="shared" si="7"/>
        <v>742.63254060000008</v>
      </c>
      <c r="X42" s="8">
        <v>768.40125160000002</v>
      </c>
      <c r="Y42" s="8">
        <v>-164.8733225</v>
      </c>
      <c r="Z42" s="8">
        <f t="shared" si="8"/>
        <v>603.52792910000005</v>
      </c>
      <c r="AA42" s="8">
        <v>998.82980989999999</v>
      </c>
      <c r="AB42" s="8">
        <v>0</v>
      </c>
      <c r="AC42" s="8">
        <f t="shared" si="9"/>
        <v>998.82980989999999</v>
      </c>
      <c r="AD42" s="9">
        <v>815</v>
      </c>
      <c r="AE42" s="8">
        <v>-133.75</v>
      </c>
      <c r="AF42" s="8">
        <f t="shared" si="10"/>
        <v>681.25</v>
      </c>
      <c r="AG42" s="9">
        <v>963</v>
      </c>
      <c r="AH42" s="8">
        <v>0</v>
      </c>
      <c r="AI42" s="8">
        <f t="shared" si="11"/>
        <v>963</v>
      </c>
      <c r="AJ42" s="10">
        <v>903.3</v>
      </c>
      <c r="AK42" s="8">
        <v>0</v>
      </c>
      <c r="AL42" s="8">
        <f t="shared" si="12"/>
        <v>903.3</v>
      </c>
      <c r="AM42" s="10">
        <v>867.43401549999999</v>
      </c>
      <c r="AN42" s="8">
        <v>103.86640429718662</v>
      </c>
      <c r="AO42" s="8">
        <f t="shared" si="13"/>
        <v>971.30041979718658</v>
      </c>
    </row>
    <row r="43" spans="1:41" x14ac:dyDescent="0.3">
      <c r="A43" s="1">
        <v>38</v>
      </c>
      <c r="B43" s="1" t="s">
        <v>43</v>
      </c>
      <c r="C43" s="7">
        <f t="shared" si="1"/>
        <v>0</v>
      </c>
      <c r="D43" s="7">
        <f t="shared" si="1"/>
        <v>0</v>
      </c>
      <c r="E43" s="7">
        <f t="shared" si="1"/>
        <v>0</v>
      </c>
      <c r="F43" s="8"/>
      <c r="G43" s="8">
        <v>0</v>
      </c>
      <c r="H43" s="8">
        <f t="shared" si="2"/>
        <v>0</v>
      </c>
      <c r="I43" s="8"/>
      <c r="J43" s="8">
        <v>0</v>
      </c>
      <c r="K43" s="8">
        <f t="shared" si="3"/>
        <v>0</v>
      </c>
      <c r="L43" s="8"/>
      <c r="M43" s="8">
        <v>0</v>
      </c>
      <c r="N43" s="8">
        <f t="shared" si="4"/>
        <v>0</v>
      </c>
      <c r="O43" s="8"/>
      <c r="P43" s="8">
        <v>0</v>
      </c>
      <c r="Q43" s="8">
        <f t="shared" si="5"/>
        <v>0</v>
      </c>
      <c r="R43" s="8"/>
      <c r="S43" s="8">
        <v>0</v>
      </c>
      <c r="T43" s="8">
        <f t="shared" si="6"/>
        <v>0</v>
      </c>
      <c r="U43" s="8"/>
      <c r="V43" s="8">
        <v>0</v>
      </c>
      <c r="W43" s="8">
        <f t="shared" si="7"/>
        <v>0</v>
      </c>
      <c r="X43" s="8"/>
      <c r="Y43" s="8">
        <v>0</v>
      </c>
      <c r="Z43" s="8">
        <f t="shared" si="8"/>
        <v>0</v>
      </c>
      <c r="AA43" s="8"/>
      <c r="AB43" s="8">
        <v>0</v>
      </c>
      <c r="AC43" s="8">
        <f t="shared" si="9"/>
        <v>0</v>
      </c>
      <c r="AD43" s="9"/>
      <c r="AE43" s="8">
        <v>0</v>
      </c>
      <c r="AF43" s="8">
        <f t="shared" si="10"/>
        <v>0</v>
      </c>
      <c r="AG43" s="9"/>
      <c r="AH43" s="8">
        <v>0</v>
      </c>
      <c r="AI43" s="8">
        <f t="shared" si="11"/>
        <v>0</v>
      </c>
      <c r="AJ43" s="10"/>
      <c r="AK43" s="8">
        <v>0</v>
      </c>
      <c r="AL43" s="8">
        <f t="shared" si="12"/>
        <v>0</v>
      </c>
      <c r="AM43" s="10"/>
      <c r="AN43" s="8">
        <v>0</v>
      </c>
      <c r="AO43" s="8">
        <f t="shared" si="13"/>
        <v>0</v>
      </c>
    </row>
    <row r="44" spans="1:41" x14ac:dyDescent="0.3">
      <c r="A44" s="1">
        <v>97</v>
      </c>
      <c r="B44" s="1" t="s">
        <v>32</v>
      </c>
      <c r="C44" s="7">
        <f t="shared" si="1"/>
        <v>410.56635249999999</v>
      </c>
      <c r="D44" s="7">
        <f t="shared" si="1"/>
        <v>0</v>
      </c>
      <c r="E44" s="7">
        <f t="shared" si="1"/>
        <v>410.56635249999999</v>
      </c>
      <c r="F44" s="8"/>
      <c r="G44" s="8">
        <v>0</v>
      </c>
      <c r="H44" s="8">
        <f t="shared" si="2"/>
        <v>0</v>
      </c>
      <c r="I44" s="8"/>
      <c r="J44" s="8">
        <v>0</v>
      </c>
      <c r="K44" s="8">
        <f t="shared" si="3"/>
        <v>0</v>
      </c>
      <c r="L44" s="8"/>
      <c r="M44" s="8">
        <v>0</v>
      </c>
      <c r="N44" s="8">
        <f t="shared" si="4"/>
        <v>0</v>
      </c>
      <c r="O44" s="8"/>
      <c r="P44" s="8">
        <v>0</v>
      </c>
      <c r="Q44" s="8">
        <f t="shared" si="5"/>
        <v>0</v>
      </c>
      <c r="R44" s="8"/>
      <c r="S44" s="8">
        <v>0</v>
      </c>
      <c r="T44" s="8">
        <f t="shared" si="6"/>
        <v>0</v>
      </c>
      <c r="U44" s="8">
        <v>326.1841427</v>
      </c>
      <c r="V44" s="8">
        <v>0</v>
      </c>
      <c r="W44" s="8">
        <f t="shared" si="7"/>
        <v>326.1841427</v>
      </c>
      <c r="X44" s="8">
        <v>17.022235899999998</v>
      </c>
      <c r="Y44" s="8">
        <v>0</v>
      </c>
      <c r="Z44" s="8">
        <f t="shared" si="8"/>
        <v>17.022235899999998</v>
      </c>
      <c r="AA44" s="8">
        <v>11.059973899999999</v>
      </c>
      <c r="AB44" s="8">
        <v>0</v>
      </c>
      <c r="AC44" s="8">
        <f t="shared" si="9"/>
        <v>11.059973899999999</v>
      </c>
      <c r="AD44" s="9">
        <v>21</v>
      </c>
      <c r="AE44" s="8">
        <v>0</v>
      </c>
      <c r="AF44" s="8">
        <f t="shared" si="10"/>
        <v>21</v>
      </c>
      <c r="AG44" s="9">
        <v>12</v>
      </c>
      <c r="AH44" s="8">
        <v>0</v>
      </c>
      <c r="AI44" s="8">
        <f t="shared" si="11"/>
        <v>12</v>
      </c>
      <c r="AJ44" s="10">
        <v>23.3</v>
      </c>
      <c r="AK44" s="8">
        <v>0</v>
      </c>
      <c r="AL44" s="8">
        <f t="shared" si="12"/>
        <v>23.3</v>
      </c>
      <c r="AM44" s="10"/>
      <c r="AN44" s="8">
        <v>0</v>
      </c>
      <c r="AO44" s="8">
        <f t="shared" si="13"/>
        <v>0</v>
      </c>
    </row>
    <row r="45" spans="1:41" x14ac:dyDescent="0.3">
      <c r="A45" s="1"/>
      <c r="B45" s="11" t="s">
        <v>47</v>
      </c>
      <c r="C45" s="6">
        <f>SUM(C7:C44)</f>
        <v>194471.43416349997</v>
      </c>
      <c r="D45" s="6">
        <f>SUM(D7:D44)</f>
        <v>917.24194553000041</v>
      </c>
      <c r="E45" s="6">
        <f>SUM(E7:E44)</f>
        <v>195388.67610903</v>
      </c>
      <c r="F45" s="6">
        <f>SUM(F7:F44)</f>
        <v>15975.331643699999</v>
      </c>
      <c r="G45" s="6">
        <f t="shared" ref="G45:AO45" si="14">SUM(G7:G44)</f>
        <v>6000.0000000000009</v>
      </c>
      <c r="H45" s="6">
        <f t="shared" si="14"/>
        <v>21975.331643699999</v>
      </c>
      <c r="I45" s="6">
        <f t="shared" si="14"/>
        <v>14438.041575800004</v>
      </c>
      <c r="J45" s="6">
        <f t="shared" si="14"/>
        <v>0</v>
      </c>
      <c r="K45" s="6">
        <f t="shared" si="14"/>
        <v>14438.041575800004</v>
      </c>
      <c r="L45" s="6">
        <f t="shared" si="14"/>
        <v>13612.821597499998</v>
      </c>
      <c r="M45" s="6">
        <f t="shared" si="14"/>
        <v>0</v>
      </c>
      <c r="N45" s="6">
        <f t="shared" si="14"/>
        <v>13612.821597499998</v>
      </c>
      <c r="O45" s="6">
        <f t="shared" si="14"/>
        <v>20398.874012299999</v>
      </c>
      <c r="P45" s="6">
        <f t="shared" si="14"/>
        <v>2417.2419455090003</v>
      </c>
      <c r="Q45" s="6">
        <f t="shared" si="14"/>
        <v>22816.115957809001</v>
      </c>
      <c r="R45" s="6">
        <f t="shared" si="14"/>
        <v>16622.758086500002</v>
      </c>
      <c r="S45" s="6">
        <f t="shared" si="14"/>
        <v>-3000.0000000000009</v>
      </c>
      <c r="T45" s="6">
        <f t="shared" si="14"/>
        <v>13622.758086499998</v>
      </c>
      <c r="U45" s="6">
        <f t="shared" si="14"/>
        <v>16204.009154699997</v>
      </c>
      <c r="V45" s="6">
        <f t="shared" si="14"/>
        <v>-2000</v>
      </c>
      <c r="W45" s="6">
        <f t="shared" si="14"/>
        <v>14204.009154699996</v>
      </c>
      <c r="X45" s="6">
        <f t="shared" si="14"/>
        <v>13970.977505200002</v>
      </c>
      <c r="Y45" s="6">
        <f t="shared" si="14"/>
        <v>-2999.9999999790002</v>
      </c>
      <c r="Z45" s="6">
        <f t="shared" si="14"/>
        <v>10970.977505220999</v>
      </c>
      <c r="AA45" s="6">
        <f t="shared" si="14"/>
        <v>17430.570592800002</v>
      </c>
      <c r="AB45" s="6">
        <f t="shared" si="14"/>
        <v>0</v>
      </c>
      <c r="AC45" s="6">
        <f t="shared" si="14"/>
        <v>17430.570592800002</v>
      </c>
      <c r="AD45" s="6">
        <f t="shared" si="14"/>
        <v>16152</v>
      </c>
      <c r="AE45" s="6">
        <f t="shared" si="14"/>
        <v>-2500</v>
      </c>
      <c r="AF45" s="6">
        <f t="shared" si="14"/>
        <v>13652</v>
      </c>
      <c r="AG45" s="6">
        <f t="shared" si="14"/>
        <v>18198</v>
      </c>
      <c r="AH45" s="6">
        <f t="shared" si="14"/>
        <v>0</v>
      </c>
      <c r="AI45" s="6">
        <f t="shared" si="14"/>
        <v>18198</v>
      </c>
      <c r="AJ45" s="6">
        <f t="shared" si="14"/>
        <v>16552.599999999999</v>
      </c>
      <c r="AK45" s="6">
        <f t="shared" si="14"/>
        <v>0</v>
      </c>
      <c r="AL45" s="6">
        <f t="shared" si="14"/>
        <v>16552.599999999999</v>
      </c>
      <c r="AM45" s="6">
        <f t="shared" si="14"/>
        <v>14915.449994999999</v>
      </c>
      <c r="AN45" s="6">
        <f t="shared" si="14"/>
        <v>2999.9999999999995</v>
      </c>
      <c r="AO45" s="6">
        <f t="shared" si="14"/>
        <v>17915.449994999999</v>
      </c>
    </row>
  </sheetData>
  <sortState xmlns:xlrd2="http://schemas.microsoft.com/office/spreadsheetml/2017/richdata2" columnSort="1" ref="F1:AN45">
    <sortCondition ref="F5:AN5"/>
  </sortState>
  <mergeCells count="14">
    <mergeCell ref="AG5:AI5"/>
    <mergeCell ref="AJ5:AL5"/>
    <mergeCell ref="AM5:AO5"/>
    <mergeCell ref="A3:B3"/>
    <mergeCell ref="R5:T5"/>
    <mergeCell ref="U5:W5"/>
    <mergeCell ref="X5:Z5"/>
    <mergeCell ref="AA5:AC5"/>
    <mergeCell ref="AD5:AF5"/>
    <mergeCell ref="C5:E5"/>
    <mergeCell ref="F5:H5"/>
    <mergeCell ref="I5:K5"/>
    <mergeCell ref="L5:N5"/>
    <mergeCell ref="O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settlement_2019_20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Krishan Pal Singh</cp:lastModifiedBy>
  <cp:revision/>
  <dcterms:created xsi:type="dcterms:W3CDTF">2019-11-01T02:37:37Z</dcterms:created>
  <dcterms:modified xsi:type="dcterms:W3CDTF">2024-08-03T02:14:46Z</dcterms:modified>
  <cp:category/>
  <dc:identifier/>
  <cp:contentStatus/>
  <dc:language/>
  <cp:version/>
</cp:coreProperties>
</file>