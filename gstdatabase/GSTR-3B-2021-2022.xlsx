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93066253-5E0A-4C4E-B2D9-9F55659F7E7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C10" i="1" l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W48" i="1" l="1"/>
  <c r="BG48" i="1" l="1"/>
  <c r="BD48" i="1" l="1"/>
  <c r="AY48" i="1"/>
  <c r="AO48" i="1"/>
  <c r="AJ48" i="1"/>
  <c r="Z48" i="1"/>
  <c r="U48" i="1"/>
  <c r="K48" i="1"/>
  <c r="BB48" i="1"/>
  <c r="AR48" i="1"/>
  <c r="AM48" i="1"/>
  <c r="AH48" i="1"/>
  <c r="AC48" i="1"/>
  <c r="X48" i="1"/>
  <c r="S48" i="1"/>
  <c r="N48" i="1"/>
  <c r="I48" i="1"/>
  <c r="F48" i="1"/>
  <c r="D48" i="1"/>
  <c r="Y48" i="1" l="1"/>
  <c r="J48" i="1"/>
  <c r="T48" i="1"/>
  <c r="AI48" i="1"/>
  <c r="BC48" i="1"/>
  <c r="AN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10" i="1"/>
  <c r="AN11" i="1" l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10" i="1"/>
  <c r="AP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N10" i="1"/>
  <c r="AK11" i="1" l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AK10" i="1"/>
  <c r="AA10" i="1"/>
  <c r="V10" i="1"/>
  <c r="L10" i="1"/>
  <c r="G10" i="1"/>
  <c r="Y10" i="1"/>
  <c r="T10" i="1"/>
  <c r="J10" i="1"/>
  <c r="E10" i="1"/>
  <c r="AX10" i="1" l="1"/>
  <c r="AX48" i="1"/>
  <c r="BJ32" i="1" l="1"/>
  <c r="BJ35" i="1"/>
  <c r="BJ28" i="1"/>
  <c r="BJ44" i="1"/>
  <c r="BJ43" i="1"/>
  <c r="BJ22" i="1"/>
  <c r="BJ18" i="1"/>
  <c r="BJ31" i="1"/>
  <c r="BJ11" i="1"/>
  <c r="BJ42" i="1"/>
  <c r="BJ45" i="1"/>
  <c r="BJ12" i="1"/>
  <c r="BJ46" i="1"/>
  <c r="BH46" i="1"/>
  <c r="BJ39" i="1"/>
  <c r="BJ15" i="1"/>
  <c r="BH15" i="1"/>
  <c r="BH13" i="1"/>
  <c r="BJ13" i="1"/>
  <c r="BH22" i="1"/>
  <c r="BH38" i="1"/>
  <c r="BJ38" i="1"/>
  <c r="BH16" i="1"/>
  <c r="BJ16" i="1"/>
  <c r="BH32" i="1"/>
  <c r="BJ41" i="1"/>
  <c r="BJ29" i="1"/>
  <c r="BH28" i="1"/>
  <c r="BJ17" i="1"/>
  <c r="BH43" i="1"/>
  <c r="BJ21" i="1"/>
  <c r="BH24" i="1"/>
  <c r="BJ24" i="1"/>
  <c r="BH18" i="1"/>
  <c r="BJ26" i="1"/>
  <c r="BH11" i="1"/>
  <c r="BJ47" i="1"/>
  <c r="BI48" i="1"/>
  <c r="BJ10" i="1"/>
  <c r="BJ33" i="1"/>
  <c r="BH10" i="1"/>
  <c r="BH44" i="1"/>
  <c r="BH31" i="1"/>
  <c r="BH42" i="1"/>
  <c r="BJ37" i="1"/>
  <c r="BH41" i="1"/>
  <c r="BH29" i="1"/>
  <c r="BH17" i="1"/>
  <c r="BJ36" i="1"/>
  <c r="BH21" i="1"/>
  <c r="BH26" i="1"/>
  <c r="BJ23" i="1"/>
  <c r="BJ40" i="1"/>
  <c r="BH40" i="1"/>
  <c r="BJ25" i="1"/>
  <c r="BH25" i="1"/>
  <c r="BH14" i="1"/>
  <c r="BJ14" i="1"/>
  <c r="BJ20" i="1"/>
  <c r="BH20" i="1"/>
  <c r="BH39" i="1"/>
  <c r="BH37" i="1"/>
  <c r="BJ19" i="1"/>
  <c r="BH19" i="1"/>
  <c r="BH36" i="1"/>
  <c r="BH47" i="1"/>
  <c r="BH23" i="1"/>
  <c r="BJ30" i="1"/>
  <c r="BH30" i="1"/>
  <c r="BH45" i="1"/>
  <c r="BH27" i="1"/>
  <c r="BJ27" i="1"/>
  <c r="BH12" i="1"/>
  <c r="BH33" i="1"/>
  <c r="BH35" i="1"/>
  <c r="BH48" i="1" l="1"/>
  <c r="BJ48" i="1"/>
  <c r="AF42" i="1" l="1"/>
  <c r="AD42" i="1"/>
  <c r="AF33" i="1"/>
  <c r="AD33" i="1"/>
  <c r="AF25" i="1"/>
  <c r="AD25" i="1"/>
  <c r="AF17" i="1"/>
  <c r="AD17" i="1"/>
  <c r="AF41" i="1"/>
  <c r="AD41" i="1"/>
  <c r="AF32" i="1"/>
  <c r="AD32" i="1"/>
  <c r="AF24" i="1"/>
  <c r="AD24" i="1"/>
  <c r="AF16" i="1"/>
  <c r="AD16" i="1"/>
  <c r="AF40" i="1"/>
  <c r="AD40" i="1"/>
  <c r="AF31" i="1"/>
  <c r="AD31" i="1"/>
  <c r="AF23" i="1"/>
  <c r="AD23" i="1"/>
  <c r="AF15" i="1"/>
  <c r="AD15" i="1"/>
  <c r="AF47" i="1"/>
  <c r="AD47" i="1"/>
  <c r="AF39" i="1"/>
  <c r="AD39" i="1"/>
  <c r="AF30" i="1"/>
  <c r="AD30" i="1"/>
  <c r="AF22" i="1"/>
  <c r="AD22" i="1"/>
  <c r="AF14" i="1"/>
  <c r="AD14" i="1"/>
  <c r="AF46" i="1"/>
  <c r="AD46" i="1"/>
  <c r="AF38" i="1"/>
  <c r="AD38" i="1"/>
  <c r="AF29" i="1"/>
  <c r="AD29" i="1"/>
  <c r="AF21" i="1"/>
  <c r="AD21" i="1"/>
  <c r="AF13" i="1"/>
  <c r="AD13" i="1"/>
  <c r="AF45" i="1"/>
  <c r="AD45" i="1"/>
  <c r="AF37" i="1"/>
  <c r="AD37" i="1"/>
  <c r="AF28" i="1"/>
  <c r="AD28" i="1"/>
  <c r="AF20" i="1"/>
  <c r="AD20" i="1"/>
  <c r="AF12" i="1"/>
  <c r="AD12" i="1"/>
  <c r="AF44" i="1"/>
  <c r="AD44" i="1"/>
  <c r="AF36" i="1"/>
  <c r="AD36" i="1"/>
  <c r="AF27" i="1"/>
  <c r="AD27" i="1"/>
  <c r="AF19" i="1"/>
  <c r="AD19" i="1"/>
  <c r="AF11" i="1"/>
  <c r="AD11" i="1"/>
  <c r="AF43" i="1"/>
  <c r="AD43" i="1"/>
  <c r="AF35" i="1"/>
  <c r="AD35" i="1"/>
  <c r="AF26" i="1"/>
  <c r="AD26" i="1"/>
  <c r="AF18" i="1"/>
  <c r="AD18" i="1"/>
  <c r="AE48" i="1"/>
  <c r="AD10" i="1"/>
  <c r="AF10" i="1"/>
  <c r="AF48" i="1" l="1"/>
  <c r="AD48" i="1"/>
  <c r="O31" i="1"/>
  <c r="Q31" i="1"/>
  <c r="Q23" i="1"/>
  <c r="O23" i="1"/>
  <c r="O35" i="1"/>
  <c r="Q35" i="1"/>
  <c r="O18" i="1"/>
  <c r="Q18" i="1"/>
  <c r="O29" i="1"/>
  <c r="Q29" i="1"/>
  <c r="Q15" i="1"/>
  <c r="O15" i="1"/>
  <c r="O25" i="1"/>
  <c r="Q25" i="1"/>
  <c r="Q40" i="1"/>
  <c r="O40" i="1"/>
  <c r="Q47" i="1"/>
  <c r="O47" i="1"/>
  <c r="Q39" i="1"/>
  <c r="O39" i="1"/>
  <c r="Q30" i="1"/>
  <c r="O30" i="1"/>
  <c r="Q22" i="1"/>
  <c r="O22" i="1"/>
  <c r="Q14" i="1"/>
  <c r="O14" i="1"/>
  <c r="Q46" i="1"/>
  <c r="O46" i="1"/>
  <c r="Q38" i="1"/>
  <c r="O38" i="1"/>
  <c r="Q21" i="1"/>
  <c r="O21" i="1"/>
  <c r="Q13" i="1"/>
  <c r="O13" i="1"/>
  <c r="O43" i="1"/>
  <c r="Q43" i="1"/>
  <c r="O26" i="1"/>
  <c r="Q26" i="1"/>
  <c r="Q45" i="1"/>
  <c r="O45" i="1"/>
  <c r="Q37" i="1"/>
  <c r="O37" i="1"/>
  <c r="Q28" i="1"/>
  <c r="O28" i="1"/>
  <c r="Q20" i="1"/>
  <c r="O20" i="1"/>
  <c r="Q12" i="1"/>
  <c r="O12" i="1"/>
  <c r="O42" i="1"/>
  <c r="Q42" i="1"/>
  <c r="O33" i="1"/>
  <c r="Q33" i="1"/>
  <c r="O17" i="1"/>
  <c r="Q17" i="1"/>
  <c r="Q44" i="1"/>
  <c r="O44" i="1"/>
  <c r="Q36" i="1"/>
  <c r="O36" i="1"/>
  <c r="Q27" i="1"/>
  <c r="O27" i="1"/>
  <c r="Q19" i="1"/>
  <c r="O19" i="1"/>
  <c r="Q11" i="1"/>
  <c r="O11" i="1"/>
  <c r="O41" i="1"/>
  <c r="Q41" i="1"/>
  <c r="O32" i="1"/>
  <c r="Q32" i="1"/>
  <c r="O24" i="1"/>
  <c r="Q24" i="1"/>
  <c r="O16" i="1"/>
  <c r="Q16" i="1"/>
  <c r="P48" i="1"/>
  <c r="O10" i="1"/>
  <c r="Q10" i="1"/>
  <c r="O48" i="1" l="1"/>
  <c r="Q48" i="1"/>
  <c r="AT48" i="1" l="1"/>
  <c r="AS21" i="1"/>
  <c r="AU21" i="1"/>
  <c r="AU29" i="1"/>
  <c r="AS29" i="1"/>
  <c r="AS31" i="1"/>
  <c r="AU31" i="1"/>
  <c r="AS46" i="1"/>
  <c r="AU46" i="1"/>
  <c r="AS11" i="1"/>
  <c r="AU11" i="1"/>
  <c r="AS33" i="1"/>
  <c r="AU33" i="1"/>
  <c r="AS28" i="1"/>
  <c r="AU28" i="1"/>
  <c r="AU14" i="1"/>
  <c r="AS14" i="1"/>
  <c r="AU27" i="1"/>
  <c r="AS27" i="1"/>
  <c r="AS12" i="1"/>
  <c r="AU12" i="1"/>
  <c r="AU30" i="1"/>
  <c r="AS30" i="1"/>
  <c r="AU47" i="1"/>
  <c r="AS47" i="1"/>
  <c r="AS32" i="1"/>
  <c r="AU32" i="1"/>
  <c r="AS41" i="1"/>
  <c r="AU41" i="1"/>
  <c r="AS42" i="1"/>
  <c r="AU42" i="1"/>
  <c r="AU44" i="1"/>
  <c r="AS44" i="1"/>
  <c r="AU37" i="1"/>
  <c r="AS37" i="1"/>
  <c r="AS16" i="1"/>
  <c r="AU16" i="1"/>
  <c r="AU20" i="1"/>
  <c r="AS20" i="1"/>
  <c r="AS18" i="1"/>
  <c r="AU18" i="1"/>
  <c r="AS45" i="1"/>
  <c r="AU45" i="1"/>
  <c r="AU35" i="1"/>
  <c r="AS35" i="1"/>
  <c r="AS25" i="1"/>
  <c r="AU25" i="1"/>
  <c r="AS17" i="1"/>
  <c r="AU17" i="1"/>
  <c r="AU13" i="1"/>
  <c r="AS13" i="1"/>
  <c r="AS26" i="1"/>
  <c r="AU26" i="1"/>
  <c r="AU40" i="1"/>
  <c r="AS40" i="1"/>
  <c r="AS15" i="1"/>
  <c r="AU15" i="1"/>
  <c r="AS10" i="1"/>
  <c r="AU10" i="1"/>
  <c r="AU22" i="1"/>
  <c r="AS22" i="1"/>
  <c r="AS43" i="1"/>
  <c r="AU43" i="1"/>
  <c r="AU38" i="1"/>
  <c r="AS38" i="1"/>
  <c r="AS23" i="1"/>
  <c r="AU23" i="1"/>
  <c r="AU36" i="1"/>
  <c r="AS36" i="1"/>
  <c r="AS19" i="1"/>
  <c r="AU19" i="1"/>
  <c r="AU24" i="1"/>
  <c r="AS24" i="1"/>
  <c r="AS39" i="1"/>
  <c r="AU39" i="1"/>
  <c r="AU48" i="1" l="1"/>
  <c r="AS48" i="1"/>
</calcChain>
</file>

<file path=xl/sharedStrings.xml><?xml version="1.0" encoding="utf-8"?>
<sst xmlns="http://schemas.openxmlformats.org/spreadsheetml/2006/main" count="153" uniqueCount="51">
  <si>
    <t>FINANCIAL YEAR 2021-2022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</si>
  <si>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</si>
  <si>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</si>
  <si>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</si>
  <si>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</si>
  <si>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</si>
  <si>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</si>
  <si>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</si>
  <si>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</si>
  <si>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</si>
  <si>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</si>
  <si>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</si>
  <si>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</si>
  <si>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</si>
  <si>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</si>
  <si>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</si>
  <si>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</si>
  <si>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</si>
  <si>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</si>
  <si>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</si>
  <si>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</si>
  <si>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</si>
  <si>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</si>
  <si>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</si>
  <si>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</si>
  <si>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</si>
  <si>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</si>
  <si>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</si>
  <si>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</si>
  <si>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</si>
  <si>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</si>
  <si>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</si>
  <si>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</si>
  <si>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</si>
  <si>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</si>
  <si>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</si>
  <si>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</si>
  <si>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</si>
  <si>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</si>
  <si>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</si>
  <si>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</si>
  <si>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</si>
  <si>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</si>
  <si>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</si>
  <si>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</si>
  <si>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</si>
  <si>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</si>
  <si>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-</t>
  </si>
  <si>
    <t>STATE WISE RETURN PERIOD WISE GSTR-3B FILING SUMMARY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</si>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</sst>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  <scheme val="minor"/>
    </font>
    <font>
      <sz val="15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0" borderId="0" xfId="0" applyNumberFormat="1" applyFont="1"/>
    <xf numFmtId="165" fontId="2" fillId="2" borderId="1" xfId="3" applyNumberFormat="1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right" vertical="center" wrapText="1"/>
    </xf>
    <xf numFmtId="165" fontId="6" fillId="4" borderId="1" xfId="0" applyNumberFormat="1" applyFont="1" applyFill="1" applyBorder="1" applyAlignment="1">
      <alignment horizontal="right" vertical="center" wrapText="1"/>
    </xf>
    <xf numFmtId="165" fontId="7" fillId="3" borderId="1" xfId="0" applyNumberFormat="1" applyFont="1" applyFill="1" applyBorder="1"/>
    <xf numFmtId="10" fontId="7" fillId="3" borderId="1" xfId="2" applyNumberFormat="1" applyFont="1" applyFill="1" applyBorder="1"/>
    <xf numFmtId="165" fontId="3" fillId="0" borderId="1" xfId="0" applyNumberFormat="1" applyFont="1" applyBorder="1"/>
    <xf numFmtId="165" fontId="0" fillId="0" borderId="1" xfId="0" applyNumberFormat="1" applyBorder="1"/>
    <xf numFmtId="10" fontId="3" fillId="0" borderId="1" xfId="2" applyNumberFormat="1" applyFont="1" applyFill="1" applyBorder="1"/>
    <xf numFmtId="165" fontId="0" fillId="0" borderId="1" xfId="0" applyNumberFormat="1" applyBorder="1" applyAlignment="1">
      <alignment vertical="center" wrapText="1"/>
    </xf>
    <xf numFmtId="165" fontId="1" fillId="0" borderId="1" xfId="4" applyNumberFormat="1" applyFont="1" applyBorder="1"/>
    <xf numFmtId="166" fontId="3" fillId="5" borderId="1" xfId="1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0" fontId="10" fillId="0" borderId="0" xfId="0" applyFont="1"/>
    <xf numFmtId="165" fontId="1" fillId="0" borderId="1" xfId="0" applyNumberFormat="1" applyFont="1" applyBorder="1"/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0" xfId="0" applyFont="1" applyFill="1"/>
    <xf numFmtId="0" fontId="5" fillId="3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</cellXfs>
  <cellStyles count="11">
    <cellStyle name="Comma" xfId="1" builtinId="3"/>
    <cellStyle name="Comma 2" xfId="3" xr:uid="{00000000-0005-0000-0000-000001000000}"/>
    <cellStyle name="Comma 2 2" xfId="9" xr:uid="{00000000-0005-0000-0000-000002000000}"/>
    <cellStyle name="Comma 2 3" xfId="6" xr:uid="{00000000-0005-0000-0000-000003000000}"/>
    <cellStyle name="Comma 3" xfId="8" xr:uid="{00000000-0005-0000-0000-000004000000}"/>
    <cellStyle name="Normal" xfId="0" builtinId="0"/>
    <cellStyle name="Normal 2" xfId="7" xr:uid="{00000000-0005-0000-0000-000006000000}"/>
    <cellStyle name="Normal 2 2" xfId="10" xr:uid="{00000000-0005-0000-0000-000007000000}"/>
    <cellStyle name="Normal 3" xfId="4" xr:uid="{00000000-0005-0000-0000-000008000000}"/>
    <cellStyle name="Percent" xfId="2" builtinId="5"/>
    <cellStyle name="Percent 2" xfId="5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7"/>
  <sheetViews>
    <sheetView tabSelected="1" zoomScale="56" zoomScaleNormal="70" workbookViewId="0">
      <selection activeCell="A45" sqref="A45"/>
    </sheetView>
  </sheetViews>
  <sheetFormatPr defaultColWidth="8.77734375" defaultRowHeight="14.4" x14ac:dyDescent="0.3"/>
  <cols>
    <col min="1" max="1" width="11.21875" customWidth="1"/>
    <col min="2" max="2" width="26.21875" bestFit="1" customWidth="1"/>
    <col min="3" max="67" width="18.44140625" customWidth="1"/>
  </cols>
  <sheetData>
    <row r="1" spans="1:64" ht="15.6" x14ac:dyDescent="0.3">
      <c r="A1" s="32" t="s">
        <v>48</v>
      </c>
      <c r="B1" s="32"/>
      <c r="C1" s="32"/>
      <c r="D1" s="32"/>
      <c r="E1" s="3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4" ht="19.8" x14ac:dyDescent="0.4">
      <c r="A2" s="2"/>
      <c r="B2" s="2"/>
      <c r="C2" s="2"/>
      <c r="D2" s="2"/>
      <c r="E2" s="2"/>
      <c r="F2" s="2"/>
      <c r="G2" s="19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4" ht="15.6" x14ac:dyDescent="0.3">
      <c r="A3" s="35" t="s">
        <v>0</v>
      </c>
      <c r="B3" s="35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4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4" ht="15.6" x14ac:dyDescent="0.3">
      <c r="A5" s="35" t="s">
        <v>49</v>
      </c>
      <c r="B5" s="35"/>
      <c r="C5" s="35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4" x14ac:dyDescent="0.3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4" s="24" customFormat="1" ht="15.6" x14ac:dyDescent="0.3">
      <c r="A8" s="36" t="s">
        <v>1</v>
      </c>
      <c r="B8" s="31" t="s">
        <v>2</v>
      </c>
      <c r="C8" s="27">
        <v>44287</v>
      </c>
      <c r="D8" s="28"/>
      <c r="E8" s="28"/>
      <c r="F8" s="28"/>
      <c r="G8" s="29"/>
      <c r="H8" s="30">
        <v>44317</v>
      </c>
      <c r="I8" s="31"/>
      <c r="J8" s="31"/>
      <c r="K8" s="31"/>
      <c r="L8" s="31"/>
      <c r="M8" s="33">
        <v>44348</v>
      </c>
      <c r="N8" s="34"/>
      <c r="O8" s="34"/>
      <c r="P8" s="34"/>
      <c r="Q8" s="34"/>
      <c r="R8" s="30">
        <v>44378</v>
      </c>
      <c r="S8" s="31"/>
      <c r="T8" s="31"/>
      <c r="U8" s="31"/>
      <c r="V8" s="31"/>
      <c r="W8" s="30">
        <v>44409</v>
      </c>
      <c r="X8" s="31"/>
      <c r="Y8" s="31"/>
      <c r="Z8" s="31"/>
      <c r="AA8" s="31"/>
      <c r="AB8" s="33">
        <v>44440</v>
      </c>
      <c r="AC8" s="34"/>
      <c r="AD8" s="34"/>
      <c r="AE8" s="34"/>
      <c r="AF8" s="34"/>
      <c r="AG8" s="30">
        <v>44470</v>
      </c>
      <c r="AH8" s="31"/>
      <c r="AI8" s="31"/>
      <c r="AJ8" s="31"/>
      <c r="AK8" s="31"/>
      <c r="AL8" s="30">
        <v>44501</v>
      </c>
      <c r="AM8" s="31"/>
      <c r="AN8" s="31"/>
      <c r="AO8" s="31"/>
      <c r="AP8" s="31"/>
      <c r="AQ8" s="30">
        <v>44531</v>
      </c>
      <c r="AR8" s="31"/>
      <c r="AS8" s="31"/>
      <c r="AT8" s="31"/>
      <c r="AU8" s="31"/>
      <c r="AV8" s="30">
        <v>44562</v>
      </c>
      <c r="AW8" s="31"/>
      <c r="AX8" s="31"/>
      <c r="AY8" s="31"/>
      <c r="AZ8" s="31"/>
      <c r="BA8" s="27">
        <v>44593</v>
      </c>
      <c r="BB8" s="28"/>
      <c r="BC8" s="28"/>
      <c r="BD8" s="28"/>
      <c r="BE8" s="29"/>
      <c r="BF8" s="27">
        <v>44621</v>
      </c>
      <c r="BG8" s="28"/>
      <c r="BH8" s="28"/>
      <c r="BI8" s="28"/>
      <c r="BJ8" s="29"/>
    </row>
    <row r="9" spans="1:64" s="24" customFormat="1" ht="31.2" customHeight="1" x14ac:dyDescent="0.3">
      <c r="A9" s="36"/>
      <c r="B9" s="31"/>
      <c r="C9" s="23" t="s">
        <v>3</v>
      </c>
      <c r="D9" s="23" t="s">
        <v>4</v>
      </c>
      <c r="E9" s="23" t="s">
        <v>5</v>
      </c>
      <c r="F9" s="5" t="s">
        <v>6</v>
      </c>
      <c r="G9" s="23" t="s">
        <v>50</v>
      </c>
      <c r="H9" s="23" t="s">
        <v>3</v>
      </c>
      <c r="I9" s="23" t="s">
        <v>4</v>
      </c>
      <c r="J9" s="23" t="s">
        <v>5</v>
      </c>
      <c r="K9" s="5" t="s">
        <v>6</v>
      </c>
      <c r="L9" s="23" t="s">
        <v>50</v>
      </c>
      <c r="M9" s="23" t="s">
        <v>3</v>
      </c>
      <c r="N9" s="23" t="s">
        <v>4</v>
      </c>
      <c r="O9" s="23" t="s">
        <v>5</v>
      </c>
      <c r="P9" s="5" t="s">
        <v>6</v>
      </c>
      <c r="Q9" s="23" t="s">
        <v>50</v>
      </c>
      <c r="R9" s="23" t="s">
        <v>3</v>
      </c>
      <c r="S9" s="23" t="s">
        <v>4</v>
      </c>
      <c r="T9" s="23" t="s">
        <v>5</v>
      </c>
      <c r="U9" s="5" t="s">
        <v>6</v>
      </c>
      <c r="V9" s="23" t="s">
        <v>50</v>
      </c>
      <c r="W9" s="23" t="s">
        <v>3</v>
      </c>
      <c r="X9" s="23" t="s">
        <v>4</v>
      </c>
      <c r="Y9" s="23" t="s">
        <v>5</v>
      </c>
      <c r="Z9" s="5" t="s">
        <v>6</v>
      </c>
      <c r="AA9" s="23" t="s">
        <v>50</v>
      </c>
      <c r="AB9" s="23" t="s">
        <v>3</v>
      </c>
      <c r="AC9" s="23" t="s">
        <v>4</v>
      </c>
      <c r="AD9" s="23" t="s">
        <v>5</v>
      </c>
      <c r="AE9" s="5" t="s">
        <v>6</v>
      </c>
      <c r="AF9" s="23" t="s">
        <v>50</v>
      </c>
      <c r="AG9" s="23" t="s">
        <v>3</v>
      </c>
      <c r="AH9" s="23" t="s">
        <v>4</v>
      </c>
      <c r="AI9" s="23" t="s">
        <v>5</v>
      </c>
      <c r="AJ9" s="5" t="s">
        <v>6</v>
      </c>
      <c r="AK9" s="23" t="s">
        <v>50</v>
      </c>
      <c r="AL9" s="23" t="s">
        <v>3</v>
      </c>
      <c r="AM9" s="23" t="s">
        <v>4</v>
      </c>
      <c r="AN9" s="23" t="s">
        <v>5</v>
      </c>
      <c r="AO9" s="5" t="s">
        <v>6</v>
      </c>
      <c r="AP9" s="23" t="s">
        <v>50</v>
      </c>
      <c r="AQ9" s="23" t="s">
        <v>3</v>
      </c>
      <c r="AR9" s="23" t="s">
        <v>4</v>
      </c>
      <c r="AS9" s="23" t="s">
        <v>5</v>
      </c>
      <c r="AT9" s="5" t="s">
        <v>6</v>
      </c>
      <c r="AU9" s="23" t="s">
        <v>50</v>
      </c>
      <c r="AV9" s="23" t="s">
        <v>3</v>
      </c>
      <c r="AW9" s="23" t="s">
        <v>4</v>
      </c>
      <c r="AX9" s="23" t="s">
        <v>5</v>
      </c>
      <c r="AY9" s="5" t="s">
        <v>6</v>
      </c>
      <c r="AZ9" s="23" t="s">
        <v>50</v>
      </c>
      <c r="BA9" s="23" t="s">
        <v>3</v>
      </c>
      <c r="BB9" s="23" t="s">
        <v>4</v>
      </c>
      <c r="BC9" s="23" t="s">
        <v>5</v>
      </c>
      <c r="BD9" s="5" t="s">
        <v>6</v>
      </c>
      <c r="BE9" s="23" t="s">
        <v>50</v>
      </c>
      <c r="BF9" s="23" t="s">
        <v>3</v>
      </c>
      <c r="BG9" s="23" t="s">
        <v>4</v>
      </c>
      <c r="BH9" s="23" t="s">
        <v>5</v>
      </c>
      <c r="BI9" s="5" t="s">
        <v>6</v>
      </c>
      <c r="BJ9" s="23" t="s">
        <v>50</v>
      </c>
    </row>
    <row r="10" spans="1:64" x14ac:dyDescent="0.3">
      <c r="A10" s="21">
        <v>1</v>
      </c>
      <c r="B10" s="3" t="s">
        <v>7</v>
      </c>
      <c r="C10" s="15">
        <v>54507</v>
      </c>
      <c r="D10" s="10">
        <v>9587</v>
      </c>
      <c r="E10" s="10">
        <f>F10-D10</f>
        <v>46257</v>
      </c>
      <c r="F10" s="20">
        <v>55844</v>
      </c>
      <c r="G10" s="12">
        <f>F10/C10</f>
        <v>1.0245289595831728</v>
      </c>
      <c r="H10" s="15">
        <v>53973</v>
      </c>
      <c r="I10" s="10">
        <v>13356</v>
      </c>
      <c r="J10" s="10">
        <f>K10-I10</f>
        <v>42918</v>
      </c>
      <c r="K10" s="20">
        <v>56274</v>
      </c>
      <c r="L10" s="12">
        <f>K10/H10</f>
        <v>1.0426324273247736</v>
      </c>
      <c r="M10" s="16">
        <v>85686</v>
      </c>
      <c r="N10" s="10">
        <v>56293</v>
      </c>
      <c r="O10" s="10">
        <f>P10-N10</f>
        <v>31900</v>
      </c>
      <c r="P10" s="13">
        <v>88193</v>
      </c>
      <c r="Q10" s="12">
        <f>P10/M10</f>
        <v>1.0292579884695283</v>
      </c>
      <c r="R10" s="16">
        <v>56418</v>
      </c>
      <c r="S10" s="10">
        <v>42435</v>
      </c>
      <c r="T10" s="10">
        <f>U10-S10</f>
        <v>15954</v>
      </c>
      <c r="U10" s="20">
        <v>58389</v>
      </c>
      <c r="V10" s="12">
        <f>U10/R10</f>
        <v>1.0349356588322876</v>
      </c>
      <c r="W10" s="16">
        <v>59030</v>
      </c>
      <c r="X10" s="10">
        <v>44923</v>
      </c>
      <c r="Y10" s="10">
        <f>Z10-X10</f>
        <v>15977</v>
      </c>
      <c r="Z10" s="20">
        <v>60900</v>
      </c>
      <c r="AA10" s="12">
        <f>Z10/W10</f>
        <v>1.031678807386075</v>
      </c>
      <c r="AB10" s="17">
        <v>93037</v>
      </c>
      <c r="AC10" s="10">
        <v>74661</v>
      </c>
      <c r="AD10" s="10">
        <f>AE10-AC10</f>
        <v>20033</v>
      </c>
      <c r="AE10" s="11">
        <v>94694</v>
      </c>
      <c r="AF10" s="12">
        <f>AE10/AB10</f>
        <v>1.0178101185549835</v>
      </c>
      <c r="AG10" s="16">
        <v>60457</v>
      </c>
      <c r="AH10" s="10">
        <v>48475</v>
      </c>
      <c r="AI10" s="10">
        <f>AJ10-AH10</f>
        <v>13182</v>
      </c>
      <c r="AJ10" s="11">
        <v>61657</v>
      </c>
      <c r="AK10" s="12">
        <f>AJ10/AG10</f>
        <v>1.019848818168285</v>
      </c>
      <c r="AL10" s="18">
        <v>62407</v>
      </c>
      <c r="AM10" s="11">
        <v>49219</v>
      </c>
      <c r="AN10" s="10">
        <f>AO10-AM10</f>
        <v>14264</v>
      </c>
      <c r="AO10" s="11">
        <v>63483</v>
      </c>
      <c r="AP10" s="12">
        <f>AO10/AL10</f>
        <v>1.0172416555835082</v>
      </c>
      <c r="AQ10" s="11">
        <v>99346</v>
      </c>
      <c r="AR10" s="11">
        <v>81067</v>
      </c>
      <c r="AS10" s="10">
        <f>AT10-AR10</f>
        <v>19212</v>
      </c>
      <c r="AT10" s="13">
        <v>100279</v>
      </c>
      <c r="AU10" s="12">
        <f>AT10/AQ10</f>
        <v>1.0093914198860547</v>
      </c>
      <c r="AV10" s="18">
        <v>63719</v>
      </c>
      <c r="AW10" s="14">
        <v>50788</v>
      </c>
      <c r="AX10" s="10">
        <f>AY10-AW10</f>
        <v>13701</v>
      </c>
      <c r="AY10" s="20">
        <v>64489</v>
      </c>
      <c r="AZ10" s="12">
        <f>AY10/AV10</f>
        <v>1.0120843076633343</v>
      </c>
      <c r="BA10" s="18">
        <v>65133</v>
      </c>
      <c r="BB10" s="11">
        <v>52148</v>
      </c>
      <c r="BC10" s="10">
        <f>BD10-BB10</f>
        <v>14036</v>
      </c>
      <c r="BD10" s="20">
        <v>66184</v>
      </c>
      <c r="BE10" s="12">
        <f>BD10/BA10</f>
        <v>1.0161362135937235</v>
      </c>
      <c r="BF10" s="18">
        <v>104274</v>
      </c>
      <c r="BG10" s="11">
        <v>78639</v>
      </c>
      <c r="BH10" s="10">
        <f>BI10-BG10</f>
        <v>26268</v>
      </c>
      <c r="BI10" s="11">
        <v>104907</v>
      </c>
      <c r="BJ10" s="12">
        <f>BI10/BF10</f>
        <v>1.0060705449105243</v>
      </c>
      <c r="BK10" s="24"/>
      <c r="BL10" s="24"/>
    </row>
    <row r="11" spans="1:64" x14ac:dyDescent="0.3">
      <c r="A11" s="21">
        <v>2</v>
      </c>
      <c r="B11" s="3" t="s">
        <v>8</v>
      </c>
      <c r="C11" s="15">
        <v>44420</v>
      </c>
      <c r="D11" s="10">
        <v>7833</v>
      </c>
      <c r="E11" s="10">
        <f t="shared" ref="E11:E48" si="0">F11-D11</f>
        <v>35071</v>
      </c>
      <c r="F11" s="20">
        <v>42904</v>
      </c>
      <c r="G11" s="12">
        <f t="shared" ref="G11:G48" si="1">F11/C11</f>
        <v>0.96587122917604684</v>
      </c>
      <c r="H11" s="15">
        <v>44517</v>
      </c>
      <c r="I11" s="10">
        <v>9674</v>
      </c>
      <c r="J11" s="10">
        <f t="shared" ref="J11:J48" si="2">K11-I11</f>
        <v>33346</v>
      </c>
      <c r="K11" s="20">
        <v>43020</v>
      </c>
      <c r="L11" s="12">
        <f t="shared" ref="L11:L48" si="3">K11/H11</f>
        <v>0.96637239706179656</v>
      </c>
      <c r="M11" s="16">
        <v>92010</v>
      </c>
      <c r="N11" s="10">
        <v>62949</v>
      </c>
      <c r="O11" s="10">
        <f t="shared" ref="O11:O48" si="4">P11-N11</f>
        <v>26879</v>
      </c>
      <c r="P11" s="13">
        <v>89828</v>
      </c>
      <c r="Q11" s="12">
        <f t="shared" ref="Q11:Q48" si="5">P11/M11</f>
        <v>0.97628518639278339</v>
      </c>
      <c r="R11" s="16">
        <v>44191</v>
      </c>
      <c r="S11" s="10">
        <v>31396</v>
      </c>
      <c r="T11" s="10">
        <f t="shared" ref="T11:T48" si="6">U11-S11</f>
        <v>10832</v>
      </c>
      <c r="U11" s="20">
        <v>42228</v>
      </c>
      <c r="V11" s="12">
        <f t="shared" ref="V11:V48" si="7">U11/R11</f>
        <v>0.9555791903328732</v>
      </c>
      <c r="W11" s="16">
        <v>44492</v>
      </c>
      <c r="X11" s="10">
        <v>32162</v>
      </c>
      <c r="Y11" s="10">
        <f t="shared" ref="Y11:Y48" si="8">Z11-X11</f>
        <v>11097</v>
      </c>
      <c r="Z11" s="20">
        <v>43259</v>
      </c>
      <c r="AA11" s="12">
        <f t="shared" ref="AA11:AA48" si="9">Z11/W11</f>
        <v>0.97228715274656119</v>
      </c>
      <c r="AB11" s="17">
        <v>93894</v>
      </c>
      <c r="AC11" s="10">
        <v>74259</v>
      </c>
      <c r="AD11" s="10">
        <f t="shared" ref="AD11:AD48" si="10">AE11-AC11</f>
        <v>17966</v>
      </c>
      <c r="AE11" s="11">
        <v>92225</v>
      </c>
      <c r="AF11" s="12">
        <f t="shared" ref="AF11:AF48" si="11">AE11/AB11</f>
        <v>0.98222463629198886</v>
      </c>
      <c r="AG11" s="16">
        <v>43295</v>
      </c>
      <c r="AH11" s="10">
        <v>32985</v>
      </c>
      <c r="AI11" s="10">
        <f t="shared" ref="AI11:AI48" si="12">AJ11-AH11</f>
        <v>9215</v>
      </c>
      <c r="AJ11" s="20">
        <v>42200</v>
      </c>
      <c r="AK11" s="12">
        <f t="shared" ref="AK11:AK48" si="13">AJ11/AG11</f>
        <v>0.97470839588867075</v>
      </c>
      <c r="AL11" s="18">
        <v>43932</v>
      </c>
      <c r="AM11" s="11">
        <v>33293</v>
      </c>
      <c r="AN11" s="10">
        <f t="shared" ref="AN11:AN48" si="14">AO11-AM11</f>
        <v>9615</v>
      </c>
      <c r="AO11" s="11">
        <v>42908</v>
      </c>
      <c r="AP11" s="12">
        <f t="shared" ref="AP11:AP48" si="15">AO11/AL11</f>
        <v>0.9766912501138123</v>
      </c>
      <c r="AQ11" s="11">
        <v>95802</v>
      </c>
      <c r="AR11" s="11">
        <v>77048</v>
      </c>
      <c r="AS11" s="10">
        <f t="shared" ref="AS11:AS48" si="16">AT11-AR11</f>
        <v>16885</v>
      </c>
      <c r="AT11" s="13">
        <v>93933</v>
      </c>
      <c r="AU11" s="12">
        <f t="shared" ref="AU11:AU48" si="17">AT11/AQ11</f>
        <v>0.98049101271372208</v>
      </c>
      <c r="AV11" s="18">
        <v>43808</v>
      </c>
      <c r="AW11" s="11">
        <v>33275</v>
      </c>
      <c r="AX11" s="10">
        <f t="shared" ref="AX11:AX48" si="18">AY11-AW11</f>
        <v>9228</v>
      </c>
      <c r="AY11" s="20">
        <v>42503</v>
      </c>
      <c r="AZ11" s="12">
        <f t="shared" ref="AZ11:AZ48" si="19">AY11/AV11</f>
        <v>0.97021092037983925</v>
      </c>
      <c r="BA11" s="18">
        <v>44164</v>
      </c>
      <c r="BB11" s="11">
        <v>33834</v>
      </c>
      <c r="BC11" s="10">
        <f t="shared" ref="BC11:BC48" si="20">BD11-BB11</f>
        <v>9293</v>
      </c>
      <c r="BD11" s="20">
        <v>43127</v>
      </c>
      <c r="BE11" s="12">
        <f t="shared" ref="BE11:BE48" si="21">BD11/BA11</f>
        <v>0.97651933701657456</v>
      </c>
      <c r="BF11" s="18">
        <v>97423</v>
      </c>
      <c r="BG11" s="11">
        <v>73400</v>
      </c>
      <c r="BH11" s="10">
        <f t="shared" ref="BH11:BH33" si="22">BI11-BG11</f>
        <v>21909</v>
      </c>
      <c r="BI11" s="11">
        <v>95309</v>
      </c>
      <c r="BJ11" s="12">
        <f t="shared" ref="BJ11:BJ33" si="23">BI11/BF11</f>
        <v>0.97830081192326246</v>
      </c>
      <c r="BK11" s="24"/>
      <c r="BL11" s="24"/>
    </row>
    <row r="12" spans="1:64" x14ac:dyDescent="0.3">
      <c r="A12" s="21">
        <v>3</v>
      </c>
      <c r="B12" s="3" t="s">
        <v>9</v>
      </c>
      <c r="C12" s="15">
        <v>160461</v>
      </c>
      <c r="D12" s="10">
        <v>35591</v>
      </c>
      <c r="E12" s="10">
        <f t="shared" si="0"/>
        <v>115333</v>
      </c>
      <c r="F12" s="20">
        <v>150924</v>
      </c>
      <c r="G12" s="12">
        <f t="shared" si="1"/>
        <v>0.94056499710209962</v>
      </c>
      <c r="H12" s="15">
        <v>161190</v>
      </c>
      <c r="I12" s="10">
        <v>36496</v>
      </c>
      <c r="J12" s="10">
        <f t="shared" si="2"/>
        <v>115785</v>
      </c>
      <c r="K12" s="20">
        <v>152281</v>
      </c>
      <c r="L12" s="12">
        <f t="shared" si="3"/>
        <v>0.94472982194925248</v>
      </c>
      <c r="M12" s="16">
        <v>320319</v>
      </c>
      <c r="N12" s="10">
        <v>238436</v>
      </c>
      <c r="O12" s="10">
        <f t="shared" si="4"/>
        <v>71877</v>
      </c>
      <c r="P12" s="13">
        <v>310313</v>
      </c>
      <c r="Q12" s="12">
        <f t="shared" si="5"/>
        <v>0.96876238999247621</v>
      </c>
      <c r="R12" s="16">
        <v>159828</v>
      </c>
      <c r="S12" s="10">
        <v>123198</v>
      </c>
      <c r="T12" s="10">
        <f t="shared" si="6"/>
        <v>27545</v>
      </c>
      <c r="U12" s="20">
        <v>150743</v>
      </c>
      <c r="V12" s="12">
        <f t="shared" si="7"/>
        <v>0.94315764446780292</v>
      </c>
      <c r="W12" s="16">
        <v>162180</v>
      </c>
      <c r="X12" s="10">
        <v>123165</v>
      </c>
      <c r="Y12" s="10">
        <f t="shared" si="8"/>
        <v>30531</v>
      </c>
      <c r="Z12" s="20">
        <v>153696</v>
      </c>
      <c r="AA12" s="12">
        <f t="shared" si="9"/>
        <v>0.94768775434702179</v>
      </c>
      <c r="AB12" s="17">
        <v>327297</v>
      </c>
      <c r="AC12" s="10">
        <v>263554</v>
      </c>
      <c r="AD12" s="10">
        <f t="shared" si="10"/>
        <v>52037</v>
      </c>
      <c r="AE12" s="11">
        <v>315591</v>
      </c>
      <c r="AF12" s="12">
        <f t="shared" si="11"/>
        <v>0.96423431928798609</v>
      </c>
      <c r="AG12" s="16">
        <v>160729</v>
      </c>
      <c r="AH12" s="10">
        <v>126171</v>
      </c>
      <c r="AI12" s="10">
        <f t="shared" si="12"/>
        <v>25209</v>
      </c>
      <c r="AJ12" s="20">
        <v>151380</v>
      </c>
      <c r="AK12" s="12">
        <f t="shared" si="13"/>
        <v>0.94183376988595713</v>
      </c>
      <c r="AL12" s="18">
        <v>162572</v>
      </c>
      <c r="AM12" s="11">
        <v>127019</v>
      </c>
      <c r="AN12" s="10">
        <f t="shared" si="14"/>
        <v>26348</v>
      </c>
      <c r="AO12" s="11">
        <v>153367</v>
      </c>
      <c r="AP12" s="12">
        <f t="shared" si="15"/>
        <v>0.94337893364170955</v>
      </c>
      <c r="AQ12" s="11">
        <v>333129</v>
      </c>
      <c r="AR12" s="11">
        <v>270140</v>
      </c>
      <c r="AS12" s="10">
        <f t="shared" si="16"/>
        <v>49579</v>
      </c>
      <c r="AT12" s="13">
        <v>319719</v>
      </c>
      <c r="AU12" s="12">
        <f t="shared" si="17"/>
        <v>0.95974532388354061</v>
      </c>
      <c r="AV12" s="18">
        <v>161987</v>
      </c>
      <c r="AW12" s="11">
        <v>125305</v>
      </c>
      <c r="AX12" s="10">
        <f t="shared" si="18"/>
        <v>27156</v>
      </c>
      <c r="AY12" s="20">
        <v>152461</v>
      </c>
      <c r="AZ12" s="12">
        <f t="shared" si="19"/>
        <v>0.94119281176884562</v>
      </c>
      <c r="BA12" s="18">
        <v>163270</v>
      </c>
      <c r="BB12" s="11">
        <v>127021</v>
      </c>
      <c r="BC12" s="10">
        <f t="shared" si="20"/>
        <v>27498</v>
      </c>
      <c r="BD12" s="20">
        <v>154519</v>
      </c>
      <c r="BE12" s="12">
        <f t="shared" si="21"/>
        <v>0.94640166595210384</v>
      </c>
      <c r="BF12" s="18">
        <v>336608</v>
      </c>
      <c r="BG12" s="11">
        <v>260201</v>
      </c>
      <c r="BH12" s="10">
        <f t="shared" si="22"/>
        <v>63225</v>
      </c>
      <c r="BI12" s="11">
        <v>323426</v>
      </c>
      <c r="BJ12" s="12">
        <f t="shared" si="23"/>
        <v>0.96083872041068541</v>
      </c>
      <c r="BK12" s="24"/>
      <c r="BL12" s="24"/>
    </row>
    <row r="13" spans="1:64" x14ac:dyDescent="0.3">
      <c r="A13" s="21">
        <v>4</v>
      </c>
      <c r="B13" s="3" t="s">
        <v>10</v>
      </c>
      <c r="C13" s="15">
        <v>15343</v>
      </c>
      <c r="D13" s="10">
        <v>4007</v>
      </c>
      <c r="E13" s="10">
        <f t="shared" si="0"/>
        <v>11235</v>
      </c>
      <c r="F13" s="20">
        <v>15242</v>
      </c>
      <c r="G13" s="12">
        <f t="shared" si="1"/>
        <v>0.99341719350844038</v>
      </c>
      <c r="H13" s="15">
        <v>15350</v>
      </c>
      <c r="I13" s="10">
        <v>4403</v>
      </c>
      <c r="J13" s="10">
        <f t="shared" si="2"/>
        <v>10864</v>
      </c>
      <c r="K13" s="20">
        <v>15267</v>
      </c>
      <c r="L13" s="12">
        <f t="shared" si="3"/>
        <v>0.99459283387622155</v>
      </c>
      <c r="M13" s="16">
        <v>26465</v>
      </c>
      <c r="N13" s="10">
        <v>18827</v>
      </c>
      <c r="O13" s="10">
        <f t="shared" si="4"/>
        <v>7512</v>
      </c>
      <c r="P13" s="13">
        <v>26339</v>
      </c>
      <c r="Q13" s="12">
        <f t="shared" si="5"/>
        <v>0.99523899489892309</v>
      </c>
      <c r="R13" s="16">
        <v>15442</v>
      </c>
      <c r="S13" s="10">
        <v>12336</v>
      </c>
      <c r="T13" s="10">
        <f t="shared" si="6"/>
        <v>2932</v>
      </c>
      <c r="U13" s="20">
        <v>15268</v>
      </c>
      <c r="V13" s="12">
        <f t="shared" si="7"/>
        <v>0.98873202952985362</v>
      </c>
      <c r="W13" s="16">
        <v>15635</v>
      </c>
      <c r="X13" s="10">
        <v>12275</v>
      </c>
      <c r="Y13" s="10">
        <f t="shared" si="8"/>
        <v>3194</v>
      </c>
      <c r="Z13" s="20">
        <v>15469</v>
      </c>
      <c r="AA13" s="12">
        <f t="shared" si="9"/>
        <v>0.98938279501119286</v>
      </c>
      <c r="AB13" s="17">
        <v>26938</v>
      </c>
      <c r="AC13" s="10">
        <v>21781</v>
      </c>
      <c r="AD13" s="10">
        <f t="shared" si="10"/>
        <v>4868</v>
      </c>
      <c r="AE13" s="11">
        <v>26649</v>
      </c>
      <c r="AF13" s="12">
        <f t="shared" si="11"/>
        <v>0.98927166085084273</v>
      </c>
      <c r="AG13" s="16">
        <v>15617</v>
      </c>
      <c r="AH13" s="10">
        <v>12703</v>
      </c>
      <c r="AI13" s="10">
        <f t="shared" si="12"/>
        <v>2663</v>
      </c>
      <c r="AJ13" s="20">
        <v>15366</v>
      </c>
      <c r="AK13" s="12">
        <f t="shared" si="13"/>
        <v>0.98392777101876161</v>
      </c>
      <c r="AL13" s="18">
        <v>15676</v>
      </c>
      <c r="AM13" s="11">
        <v>12795</v>
      </c>
      <c r="AN13" s="10">
        <f t="shared" si="14"/>
        <v>2664</v>
      </c>
      <c r="AO13" s="11">
        <v>15459</v>
      </c>
      <c r="AP13" s="12">
        <f t="shared" si="15"/>
        <v>0.98615718295483545</v>
      </c>
      <c r="AQ13" s="11">
        <v>27141</v>
      </c>
      <c r="AR13" s="11">
        <v>22398</v>
      </c>
      <c r="AS13" s="10">
        <f t="shared" si="16"/>
        <v>4444</v>
      </c>
      <c r="AT13" s="13">
        <v>26842</v>
      </c>
      <c r="AU13" s="12">
        <f t="shared" si="17"/>
        <v>0.98898345676283117</v>
      </c>
      <c r="AV13" s="18">
        <v>15761</v>
      </c>
      <c r="AW13" s="11">
        <v>12920</v>
      </c>
      <c r="AX13" s="10">
        <f t="shared" si="18"/>
        <v>2629</v>
      </c>
      <c r="AY13" s="20">
        <v>15549</v>
      </c>
      <c r="AZ13" s="12">
        <f t="shared" si="19"/>
        <v>0.98654907683522619</v>
      </c>
      <c r="BA13" s="18">
        <v>15831</v>
      </c>
      <c r="BB13" s="11">
        <v>12904</v>
      </c>
      <c r="BC13" s="10">
        <f t="shared" si="20"/>
        <v>2773</v>
      </c>
      <c r="BD13" s="20">
        <v>15677</v>
      </c>
      <c r="BE13" s="12">
        <f t="shared" si="21"/>
        <v>0.99027225064746383</v>
      </c>
      <c r="BF13" s="18">
        <v>27469</v>
      </c>
      <c r="BG13" s="11">
        <v>21873</v>
      </c>
      <c r="BH13" s="10">
        <f t="shared" si="22"/>
        <v>5159</v>
      </c>
      <c r="BI13" s="11">
        <v>27032</v>
      </c>
      <c r="BJ13" s="12">
        <f t="shared" si="23"/>
        <v>0.98409115730459795</v>
      </c>
      <c r="BK13" s="24"/>
      <c r="BL13" s="24"/>
    </row>
    <row r="14" spans="1:64" x14ac:dyDescent="0.3">
      <c r="A14" s="21">
        <v>5</v>
      </c>
      <c r="B14" s="3" t="s">
        <v>11</v>
      </c>
      <c r="C14" s="15">
        <v>78917</v>
      </c>
      <c r="D14" s="10">
        <v>12881</v>
      </c>
      <c r="E14" s="10">
        <f t="shared" si="0"/>
        <v>62140</v>
      </c>
      <c r="F14" s="20">
        <v>75021</v>
      </c>
      <c r="G14" s="12">
        <f t="shared" si="1"/>
        <v>0.95063167631815704</v>
      </c>
      <c r="H14" s="15">
        <v>78856</v>
      </c>
      <c r="I14" s="10">
        <v>17527</v>
      </c>
      <c r="J14" s="10">
        <f t="shared" si="2"/>
        <v>57277</v>
      </c>
      <c r="K14" s="20">
        <v>74804</v>
      </c>
      <c r="L14" s="12">
        <f t="shared" si="3"/>
        <v>0.9486151973217003</v>
      </c>
      <c r="M14" s="16">
        <v>139510</v>
      </c>
      <c r="N14" s="10">
        <v>87652</v>
      </c>
      <c r="O14" s="10">
        <f t="shared" si="4"/>
        <v>47171</v>
      </c>
      <c r="P14" s="13">
        <v>134823</v>
      </c>
      <c r="Q14" s="12">
        <f t="shared" si="5"/>
        <v>0.96640384201849328</v>
      </c>
      <c r="R14" s="16">
        <v>78838</v>
      </c>
      <c r="S14" s="10">
        <v>52549</v>
      </c>
      <c r="T14" s="10">
        <f t="shared" si="6"/>
        <v>22055</v>
      </c>
      <c r="U14" s="20">
        <v>74604</v>
      </c>
      <c r="V14" s="12">
        <f t="shared" si="7"/>
        <v>0.9462949339151171</v>
      </c>
      <c r="W14" s="16">
        <v>80553</v>
      </c>
      <c r="X14" s="10">
        <v>54241</v>
      </c>
      <c r="Y14" s="10">
        <f t="shared" si="8"/>
        <v>22358</v>
      </c>
      <c r="Z14" s="20">
        <v>76599</v>
      </c>
      <c r="AA14" s="12">
        <f t="shared" si="9"/>
        <v>0.95091430486760264</v>
      </c>
      <c r="AB14" s="17">
        <v>144082</v>
      </c>
      <c r="AC14" s="10">
        <v>105555</v>
      </c>
      <c r="AD14" s="10">
        <f t="shared" si="10"/>
        <v>33622</v>
      </c>
      <c r="AE14" s="11">
        <v>139177</v>
      </c>
      <c r="AF14" s="12">
        <f t="shared" si="11"/>
        <v>0.96595688566233118</v>
      </c>
      <c r="AG14" s="16">
        <v>79635</v>
      </c>
      <c r="AH14" s="10">
        <v>56321</v>
      </c>
      <c r="AI14" s="10">
        <f t="shared" si="12"/>
        <v>19172</v>
      </c>
      <c r="AJ14" s="20">
        <v>75493</v>
      </c>
      <c r="AK14" s="12">
        <f t="shared" si="13"/>
        <v>0.94798769385320525</v>
      </c>
      <c r="AL14" s="18">
        <v>81274</v>
      </c>
      <c r="AM14" s="11">
        <v>57925</v>
      </c>
      <c r="AN14" s="10">
        <f t="shared" si="14"/>
        <v>19067</v>
      </c>
      <c r="AO14" s="11">
        <v>76992</v>
      </c>
      <c r="AP14" s="12">
        <f t="shared" si="15"/>
        <v>0.94731402416516963</v>
      </c>
      <c r="AQ14" s="11">
        <v>148266</v>
      </c>
      <c r="AR14" s="11">
        <v>112495</v>
      </c>
      <c r="AS14" s="10">
        <f t="shared" si="16"/>
        <v>30168</v>
      </c>
      <c r="AT14" s="13">
        <v>142663</v>
      </c>
      <c r="AU14" s="12">
        <f t="shared" si="17"/>
        <v>0.96220981209447887</v>
      </c>
      <c r="AV14" s="18">
        <v>81291</v>
      </c>
      <c r="AW14" s="11">
        <v>58292</v>
      </c>
      <c r="AX14" s="10">
        <f t="shared" si="18"/>
        <v>18862</v>
      </c>
      <c r="AY14" s="20">
        <v>77154</v>
      </c>
      <c r="AZ14" s="12">
        <f t="shared" si="19"/>
        <v>0.94910875742702139</v>
      </c>
      <c r="BA14" s="18">
        <v>82359</v>
      </c>
      <c r="BB14" s="11">
        <v>57689</v>
      </c>
      <c r="BC14" s="10">
        <f t="shared" si="20"/>
        <v>20688</v>
      </c>
      <c r="BD14" s="20">
        <v>78377</v>
      </c>
      <c r="BE14" s="12">
        <f t="shared" si="21"/>
        <v>0.95165069998421548</v>
      </c>
      <c r="BF14" s="18">
        <v>151377</v>
      </c>
      <c r="BG14" s="11">
        <v>108550</v>
      </c>
      <c r="BH14" s="10">
        <f t="shared" si="22"/>
        <v>36685</v>
      </c>
      <c r="BI14" s="11">
        <v>145235</v>
      </c>
      <c r="BJ14" s="12">
        <f t="shared" si="23"/>
        <v>0.95942580444849612</v>
      </c>
      <c r="BK14" s="24"/>
      <c r="BL14" s="24"/>
    </row>
    <row r="15" spans="1:64" x14ac:dyDescent="0.3">
      <c r="A15" s="21">
        <v>6</v>
      </c>
      <c r="B15" s="3" t="s">
        <v>12</v>
      </c>
      <c r="C15" s="15">
        <v>255914</v>
      </c>
      <c r="D15" s="10">
        <v>41806</v>
      </c>
      <c r="E15" s="10">
        <f t="shared" si="0"/>
        <v>197603</v>
      </c>
      <c r="F15" s="20">
        <v>239409</v>
      </c>
      <c r="G15" s="12">
        <f t="shared" si="1"/>
        <v>0.93550567768859849</v>
      </c>
      <c r="H15" s="15">
        <v>256165</v>
      </c>
      <c r="I15" s="10">
        <v>58042</v>
      </c>
      <c r="J15" s="10">
        <f t="shared" si="2"/>
        <v>180987</v>
      </c>
      <c r="K15" s="20">
        <v>239029</v>
      </c>
      <c r="L15" s="12">
        <f t="shared" si="3"/>
        <v>0.93310561552124605</v>
      </c>
      <c r="M15" s="16">
        <v>440788</v>
      </c>
      <c r="N15" s="10">
        <v>289078</v>
      </c>
      <c r="O15" s="10">
        <f t="shared" si="4"/>
        <v>131522</v>
      </c>
      <c r="P15" s="13">
        <v>420600</v>
      </c>
      <c r="Q15" s="12">
        <f t="shared" si="5"/>
        <v>0.95420020508725278</v>
      </c>
      <c r="R15" s="16">
        <v>256617</v>
      </c>
      <c r="S15" s="10">
        <v>181427</v>
      </c>
      <c r="T15" s="10">
        <f t="shared" si="6"/>
        <v>60320</v>
      </c>
      <c r="U15" s="20">
        <v>241747</v>
      </c>
      <c r="V15" s="12">
        <f t="shared" si="7"/>
        <v>0.94205372208388372</v>
      </c>
      <c r="W15" s="16">
        <v>263426</v>
      </c>
      <c r="X15" s="10">
        <v>184322</v>
      </c>
      <c r="Y15" s="10">
        <f t="shared" si="8"/>
        <v>62613</v>
      </c>
      <c r="Z15" s="20">
        <v>246935</v>
      </c>
      <c r="AA15" s="12">
        <f t="shared" si="9"/>
        <v>0.93739797893905685</v>
      </c>
      <c r="AB15" s="17">
        <v>454446</v>
      </c>
      <c r="AC15" s="10">
        <v>344585</v>
      </c>
      <c r="AD15" s="10">
        <f t="shared" si="10"/>
        <v>88363</v>
      </c>
      <c r="AE15" s="11">
        <v>432948</v>
      </c>
      <c r="AF15" s="12">
        <f t="shared" si="11"/>
        <v>0.95269404945802139</v>
      </c>
      <c r="AG15" s="16">
        <v>261808</v>
      </c>
      <c r="AH15" s="10">
        <v>191536</v>
      </c>
      <c r="AI15" s="10">
        <f t="shared" si="12"/>
        <v>53549</v>
      </c>
      <c r="AJ15" s="20">
        <v>245085</v>
      </c>
      <c r="AK15" s="12">
        <f t="shared" si="13"/>
        <v>0.93612494652569822</v>
      </c>
      <c r="AL15" s="18">
        <v>265773</v>
      </c>
      <c r="AM15" s="11">
        <v>195152</v>
      </c>
      <c r="AN15" s="10">
        <f t="shared" si="14"/>
        <v>53421</v>
      </c>
      <c r="AO15" s="11">
        <v>248573</v>
      </c>
      <c r="AP15" s="12">
        <f t="shared" si="15"/>
        <v>0.93528311754768167</v>
      </c>
      <c r="AQ15" s="11">
        <v>464263</v>
      </c>
      <c r="AR15" s="11">
        <v>361115</v>
      </c>
      <c r="AS15" s="10">
        <f t="shared" si="16"/>
        <v>80951</v>
      </c>
      <c r="AT15" s="13">
        <v>442066</v>
      </c>
      <c r="AU15" s="12">
        <f t="shared" si="17"/>
        <v>0.95218873784902092</v>
      </c>
      <c r="AV15" s="18">
        <v>264802</v>
      </c>
      <c r="AW15" s="11">
        <v>197663</v>
      </c>
      <c r="AX15" s="10">
        <f t="shared" si="18"/>
        <v>52834</v>
      </c>
      <c r="AY15" s="20">
        <v>250497</v>
      </c>
      <c r="AZ15" s="12">
        <f t="shared" si="19"/>
        <v>0.9459785046940733</v>
      </c>
      <c r="BA15" s="18">
        <v>267720</v>
      </c>
      <c r="BB15" s="11">
        <v>198828</v>
      </c>
      <c r="BC15" s="10">
        <f t="shared" si="20"/>
        <v>56297</v>
      </c>
      <c r="BD15" s="20">
        <v>255125</v>
      </c>
      <c r="BE15" s="12">
        <f t="shared" si="21"/>
        <v>0.95295457941132522</v>
      </c>
      <c r="BF15" s="18">
        <v>469904</v>
      </c>
      <c r="BG15" s="11">
        <v>352171</v>
      </c>
      <c r="BH15" s="10">
        <f t="shared" si="22"/>
        <v>98643</v>
      </c>
      <c r="BI15" s="11">
        <v>450814</v>
      </c>
      <c r="BJ15" s="12">
        <f t="shared" si="23"/>
        <v>0.95937468078586263</v>
      </c>
      <c r="BK15" s="24"/>
      <c r="BL15" s="24"/>
    </row>
    <row r="16" spans="1:64" x14ac:dyDescent="0.3">
      <c r="A16" s="21">
        <v>7</v>
      </c>
      <c r="B16" s="3" t="s">
        <v>13</v>
      </c>
      <c r="C16" s="15">
        <v>406536</v>
      </c>
      <c r="D16" s="10">
        <v>59365</v>
      </c>
      <c r="E16" s="10">
        <f t="shared" si="0"/>
        <v>313665</v>
      </c>
      <c r="F16" s="20">
        <v>373030</v>
      </c>
      <c r="G16" s="12">
        <f t="shared" si="1"/>
        <v>0.91758171478048689</v>
      </c>
      <c r="H16" s="15">
        <v>404491</v>
      </c>
      <c r="I16" s="10">
        <v>84001</v>
      </c>
      <c r="J16" s="10">
        <f t="shared" si="2"/>
        <v>285986</v>
      </c>
      <c r="K16" s="20">
        <v>369987</v>
      </c>
      <c r="L16" s="12">
        <f t="shared" si="3"/>
        <v>0.91469773122269715</v>
      </c>
      <c r="M16" s="16">
        <v>718779</v>
      </c>
      <c r="N16" s="10">
        <v>479679</v>
      </c>
      <c r="O16" s="10">
        <f t="shared" si="4"/>
        <v>196838</v>
      </c>
      <c r="P16" s="13">
        <v>676517</v>
      </c>
      <c r="Q16" s="12">
        <f t="shared" si="5"/>
        <v>0.94120306798056153</v>
      </c>
      <c r="R16" s="16">
        <v>403668</v>
      </c>
      <c r="S16" s="10">
        <v>282597</v>
      </c>
      <c r="T16" s="10">
        <f t="shared" si="6"/>
        <v>91177</v>
      </c>
      <c r="U16" s="20">
        <v>373774</v>
      </c>
      <c r="V16" s="12">
        <f t="shared" si="7"/>
        <v>0.92594409267021416</v>
      </c>
      <c r="W16" s="16">
        <v>406853</v>
      </c>
      <c r="X16" s="10">
        <v>293612</v>
      </c>
      <c r="Y16" s="10">
        <f t="shared" si="8"/>
        <v>87581</v>
      </c>
      <c r="Z16" s="20">
        <v>381193</v>
      </c>
      <c r="AA16" s="12">
        <f t="shared" si="9"/>
        <v>0.93693053756516487</v>
      </c>
      <c r="AB16" s="17">
        <v>722282</v>
      </c>
      <c r="AC16" s="10">
        <v>569629</v>
      </c>
      <c r="AD16" s="10">
        <f t="shared" si="10"/>
        <v>123988</v>
      </c>
      <c r="AE16" s="11">
        <v>693617</v>
      </c>
      <c r="AF16" s="12">
        <f t="shared" si="11"/>
        <v>0.96031328483888567</v>
      </c>
      <c r="AG16" s="16">
        <v>397671</v>
      </c>
      <c r="AH16" s="10">
        <v>302402</v>
      </c>
      <c r="AI16" s="10">
        <f t="shared" si="12"/>
        <v>76330</v>
      </c>
      <c r="AJ16" s="20">
        <v>378732</v>
      </c>
      <c r="AK16" s="12">
        <f t="shared" si="13"/>
        <v>0.95237520462895209</v>
      </c>
      <c r="AL16" s="18">
        <v>400740</v>
      </c>
      <c r="AM16" s="11">
        <v>306325</v>
      </c>
      <c r="AN16" s="10">
        <f t="shared" si="14"/>
        <v>77329</v>
      </c>
      <c r="AO16" s="11">
        <v>383654</v>
      </c>
      <c r="AP16" s="12">
        <f t="shared" si="15"/>
        <v>0.9573638768278685</v>
      </c>
      <c r="AQ16" s="11">
        <v>730568</v>
      </c>
      <c r="AR16" s="11">
        <v>586576</v>
      </c>
      <c r="AS16" s="10">
        <f t="shared" si="16"/>
        <v>116467</v>
      </c>
      <c r="AT16" s="13">
        <v>703043</v>
      </c>
      <c r="AU16" s="12">
        <f t="shared" si="17"/>
        <v>0.96232383570044133</v>
      </c>
      <c r="AV16" s="18">
        <v>402711</v>
      </c>
      <c r="AW16" s="11">
        <v>307643</v>
      </c>
      <c r="AX16" s="10">
        <f t="shared" si="18"/>
        <v>74836</v>
      </c>
      <c r="AY16" s="20">
        <v>382479</v>
      </c>
      <c r="AZ16" s="12">
        <f t="shared" si="19"/>
        <v>0.94976049822329167</v>
      </c>
      <c r="BA16" s="18">
        <v>402569</v>
      </c>
      <c r="BB16" s="11">
        <v>306448</v>
      </c>
      <c r="BC16" s="10">
        <f t="shared" si="20"/>
        <v>80936</v>
      </c>
      <c r="BD16" s="20">
        <v>387384</v>
      </c>
      <c r="BE16" s="12">
        <f t="shared" si="21"/>
        <v>0.96227975825262257</v>
      </c>
      <c r="BF16" s="18">
        <v>736680</v>
      </c>
      <c r="BG16" s="11">
        <v>572346</v>
      </c>
      <c r="BH16" s="10">
        <f t="shared" si="22"/>
        <v>137187</v>
      </c>
      <c r="BI16" s="11">
        <v>709533</v>
      </c>
      <c r="BJ16" s="12">
        <f t="shared" si="23"/>
        <v>0.96314953575500895</v>
      </c>
      <c r="BK16" s="24"/>
      <c r="BL16" s="24"/>
    </row>
    <row r="17" spans="1:64" x14ac:dyDescent="0.3">
      <c r="A17" s="21">
        <v>8</v>
      </c>
      <c r="B17" s="3" t="s">
        <v>14</v>
      </c>
      <c r="C17" s="15">
        <v>263923</v>
      </c>
      <c r="D17" s="10">
        <v>38538</v>
      </c>
      <c r="E17" s="10">
        <f t="shared" si="0"/>
        <v>221392</v>
      </c>
      <c r="F17" s="20">
        <v>259930</v>
      </c>
      <c r="G17" s="12">
        <f t="shared" si="1"/>
        <v>0.98487058725461596</v>
      </c>
      <c r="H17" s="15">
        <v>264168</v>
      </c>
      <c r="I17" s="10">
        <v>59761</v>
      </c>
      <c r="J17" s="10">
        <f t="shared" si="2"/>
        <v>201003</v>
      </c>
      <c r="K17" s="20">
        <v>260764</v>
      </c>
      <c r="L17" s="12">
        <f t="shared" si="3"/>
        <v>0.98711426062202845</v>
      </c>
      <c r="M17" s="16">
        <v>591219</v>
      </c>
      <c r="N17" s="10">
        <v>412388</v>
      </c>
      <c r="O17" s="10">
        <f t="shared" si="4"/>
        <v>171689</v>
      </c>
      <c r="P17" s="13">
        <v>584077</v>
      </c>
      <c r="Q17" s="12">
        <f t="shared" si="5"/>
        <v>0.98791987402299319</v>
      </c>
      <c r="R17" s="16">
        <v>261213</v>
      </c>
      <c r="S17" s="10">
        <v>187758</v>
      </c>
      <c r="T17" s="10">
        <f t="shared" si="6"/>
        <v>69620</v>
      </c>
      <c r="U17" s="20">
        <v>257378</v>
      </c>
      <c r="V17" s="12">
        <f t="shared" si="7"/>
        <v>0.98531849486817269</v>
      </c>
      <c r="W17" s="16">
        <v>269820</v>
      </c>
      <c r="X17" s="10">
        <v>194565</v>
      </c>
      <c r="Y17" s="10">
        <f t="shared" si="8"/>
        <v>72461</v>
      </c>
      <c r="Z17" s="20">
        <v>267026</v>
      </c>
      <c r="AA17" s="12">
        <f t="shared" si="9"/>
        <v>0.98964494848417461</v>
      </c>
      <c r="AB17" s="17">
        <v>613565</v>
      </c>
      <c r="AC17" s="10">
        <v>480460</v>
      </c>
      <c r="AD17" s="10">
        <f t="shared" si="10"/>
        <v>123888</v>
      </c>
      <c r="AE17" s="11">
        <v>604348</v>
      </c>
      <c r="AF17" s="12">
        <f t="shared" si="11"/>
        <v>0.98497795669570465</v>
      </c>
      <c r="AG17" s="16">
        <v>263808</v>
      </c>
      <c r="AH17" s="10">
        <v>197186</v>
      </c>
      <c r="AI17" s="10">
        <f t="shared" si="12"/>
        <v>62437</v>
      </c>
      <c r="AJ17" s="20">
        <v>259623</v>
      </c>
      <c r="AK17" s="12">
        <f t="shared" si="13"/>
        <v>0.9841361899563319</v>
      </c>
      <c r="AL17" s="18">
        <v>270212</v>
      </c>
      <c r="AM17" s="11">
        <v>204012</v>
      </c>
      <c r="AN17" s="10">
        <f t="shared" si="14"/>
        <v>62610</v>
      </c>
      <c r="AO17" s="11">
        <v>266622</v>
      </c>
      <c r="AP17" s="12">
        <f t="shared" si="15"/>
        <v>0.98671413556762833</v>
      </c>
      <c r="AQ17" s="11">
        <v>633137</v>
      </c>
      <c r="AR17" s="11">
        <v>495489</v>
      </c>
      <c r="AS17" s="10">
        <f t="shared" si="16"/>
        <v>124221</v>
      </c>
      <c r="AT17" s="13">
        <v>619710</v>
      </c>
      <c r="AU17" s="12">
        <f t="shared" si="17"/>
        <v>0.97879289948305026</v>
      </c>
      <c r="AV17" s="18">
        <v>270996</v>
      </c>
      <c r="AW17" s="11">
        <v>203750</v>
      </c>
      <c r="AX17" s="10">
        <f t="shared" si="18"/>
        <v>61985</v>
      </c>
      <c r="AY17" s="20">
        <v>265735</v>
      </c>
      <c r="AZ17" s="12">
        <f t="shared" si="19"/>
        <v>0.98058642931998996</v>
      </c>
      <c r="BA17" s="18">
        <v>277009</v>
      </c>
      <c r="BB17" s="11">
        <v>209030</v>
      </c>
      <c r="BC17" s="10">
        <f t="shared" si="20"/>
        <v>65556</v>
      </c>
      <c r="BD17" s="20">
        <v>274586</v>
      </c>
      <c r="BE17" s="12">
        <f t="shared" si="21"/>
        <v>0.99125299178005044</v>
      </c>
      <c r="BF17" s="18">
        <v>651560</v>
      </c>
      <c r="BG17" s="11">
        <v>475405</v>
      </c>
      <c r="BH17" s="10">
        <f t="shared" si="22"/>
        <v>160478</v>
      </c>
      <c r="BI17" s="11">
        <v>635883</v>
      </c>
      <c r="BJ17" s="12">
        <f t="shared" si="23"/>
        <v>0.97593928417950759</v>
      </c>
      <c r="BK17" s="24"/>
      <c r="BL17" s="24"/>
    </row>
    <row r="18" spans="1:64" x14ac:dyDescent="0.3">
      <c r="A18" s="21">
        <v>9</v>
      </c>
      <c r="B18" s="3" t="s">
        <v>15</v>
      </c>
      <c r="C18" s="15">
        <v>768494</v>
      </c>
      <c r="D18" s="10">
        <v>115025</v>
      </c>
      <c r="E18" s="10">
        <f t="shared" si="0"/>
        <v>625829</v>
      </c>
      <c r="F18" s="20">
        <v>740854</v>
      </c>
      <c r="G18" s="12">
        <f t="shared" si="1"/>
        <v>0.96403355133546909</v>
      </c>
      <c r="H18" s="15">
        <v>766983</v>
      </c>
      <c r="I18" s="10">
        <v>175262</v>
      </c>
      <c r="J18" s="10">
        <f t="shared" si="2"/>
        <v>564996</v>
      </c>
      <c r="K18" s="20">
        <v>740258</v>
      </c>
      <c r="L18" s="12">
        <f t="shared" si="3"/>
        <v>0.96515568141666763</v>
      </c>
      <c r="M18" s="16">
        <v>1193073</v>
      </c>
      <c r="N18" s="10">
        <v>764750</v>
      </c>
      <c r="O18" s="10">
        <f t="shared" si="4"/>
        <v>410732</v>
      </c>
      <c r="P18" s="13">
        <v>1175482</v>
      </c>
      <c r="Q18" s="12">
        <f t="shared" si="5"/>
        <v>0.98525572198851197</v>
      </c>
      <c r="R18" s="16">
        <v>775495</v>
      </c>
      <c r="S18" s="10">
        <v>572029</v>
      </c>
      <c r="T18" s="10">
        <f t="shared" si="6"/>
        <v>184172</v>
      </c>
      <c r="U18" s="20">
        <v>756201</v>
      </c>
      <c r="V18" s="12">
        <f t="shared" si="7"/>
        <v>0.97512040696587343</v>
      </c>
      <c r="W18" s="16">
        <v>789854</v>
      </c>
      <c r="X18" s="10">
        <v>594361</v>
      </c>
      <c r="Y18" s="10">
        <f t="shared" si="8"/>
        <v>178821</v>
      </c>
      <c r="Z18" s="20">
        <v>773182</v>
      </c>
      <c r="AA18" s="12">
        <f t="shared" si="9"/>
        <v>0.97889230161523522</v>
      </c>
      <c r="AB18" s="17">
        <v>1245422</v>
      </c>
      <c r="AC18" s="10">
        <v>972790</v>
      </c>
      <c r="AD18" s="10">
        <f t="shared" si="10"/>
        <v>240979</v>
      </c>
      <c r="AE18" s="11">
        <v>1213769</v>
      </c>
      <c r="AF18" s="12">
        <f t="shared" si="11"/>
        <v>0.97458451833996829</v>
      </c>
      <c r="AG18" s="16">
        <v>794310</v>
      </c>
      <c r="AH18" s="10">
        <v>615038</v>
      </c>
      <c r="AI18" s="10">
        <f t="shared" si="12"/>
        <v>158878</v>
      </c>
      <c r="AJ18" s="20">
        <v>773916</v>
      </c>
      <c r="AK18" s="12">
        <f t="shared" si="13"/>
        <v>0.97432488574989617</v>
      </c>
      <c r="AL18" s="18">
        <v>807429</v>
      </c>
      <c r="AM18" s="11">
        <v>630811</v>
      </c>
      <c r="AN18" s="10">
        <f t="shared" si="14"/>
        <v>156227</v>
      </c>
      <c r="AO18" s="11">
        <v>787038</v>
      </c>
      <c r="AP18" s="12">
        <f t="shared" si="15"/>
        <v>0.9747457671200811</v>
      </c>
      <c r="AQ18" s="11">
        <v>1285494</v>
      </c>
      <c r="AR18" s="11">
        <v>1014620</v>
      </c>
      <c r="AS18" s="10">
        <f t="shared" si="16"/>
        <v>230870</v>
      </c>
      <c r="AT18" s="13">
        <v>1245490</v>
      </c>
      <c r="AU18" s="12">
        <f t="shared" si="17"/>
        <v>0.96888044596085243</v>
      </c>
      <c r="AV18" s="18">
        <v>820095</v>
      </c>
      <c r="AW18" s="11">
        <v>632027</v>
      </c>
      <c r="AX18" s="10">
        <f t="shared" si="18"/>
        <v>161734</v>
      </c>
      <c r="AY18" s="20">
        <v>793761</v>
      </c>
      <c r="AZ18" s="12">
        <f t="shared" si="19"/>
        <v>0.96788908602052204</v>
      </c>
      <c r="BA18" s="18">
        <v>829968</v>
      </c>
      <c r="BB18" s="11">
        <v>608301</v>
      </c>
      <c r="BC18" s="10">
        <f t="shared" si="20"/>
        <v>198186</v>
      </c>
      <c r="BD18" s="20">
        <v>806487</v>
      </c>
      <c r="BE18" s="12">
        <f t="shared" si="21"/>
        <v>0.97170854779943328</v>
      </c>
      <c r="BF18" s="18">
        <v>1319511</v>
      </c>
      <c r="BG18" s="11">
        <v>980778</v>
      </c>
      <c r="BH18" s="10">
        <f t="shared" si="22"/>
        <v>292035</v>
      </c>
      <c r="BI18" s="11">
        <v>1272813</v>
      </c>
      <c r="BJ18" s="12">
        <f t="shared" si="23"/>
        <v>0.96460961674438483</v>
      </c>
      <c r="BK18" s="24"/>
      <c r="BL18" s="24"/>
    </row>
    <row r="19" spans="1:64" x14ac:dyDescent="0.3">
      <c r="A19" s="22">
        <v>10</v>
      </c>
      <c r="B19" s="3" t="s">
        <v>16</v>
      </c>
      <c r="C19" s="15">
        <v>245454</v>
      </c>
      <c r="D19" s="10">
        <v>33894</v>
      </c>
      <c r="E19" s="10">
        <f t="shared" si="0"/>
        <v>181878</v>
      </c>
      <c r="F19" s="20">
        <v>215772</v>
      </c>
      <c r="G19" s="12">
        <f t="shared" si="1"/>
        <v>0.87907306460681023</v>
      </c>
      <c r="H19" s="15">
        <v>247965</v>
      </c>
      <c r="I19" s="10">
        <v>46090</v>
      </c>
      <c r="J19" s="10">
        <f t="shared" si="2"/>
        <v>170659</v>
      </c>
      <c r="K19" s="20">
        <v>216749</v>
      </c>
      <c r="L19" s="12">
        <f t="shared" si="3"/>
        <v>0.87411126570282094</v>
      </c>
      <c r="M19" s="16">
        <v>387570</v>
      </c>
      <c r="N19" s="10">
        <v>217398</v>
      </c>
      <c r="O19" s="10">
        <f t="shared" si="4"/>
        <v>139738</v>
      </c>
      <c r="P19" s="13">
        <v>357136</v>
      </c>
      <c r="Q19" s="12">
        <f t="shared" si="5"/>
        <v>0.92147483035322653</v>
      </c>
      <c r="R19" s="16">
        <v>254467</v>
      </c>
      <c r="S19" s="10">
        <v>160711</v>
      </c>
      <c r="T19" s="10">
        <f t="shared" si="6"/>
        <v>69079</v>
      </c>
      <c r="U19" s="20">
        <v>229790</v>
      </c>
      <c r="V19" s="12">
        <f t="shared" si="7"/>
        <v>0.90302475370087276</v>
      </c>
      <c r="W19" s="16">
        <v>263449</v>
      </c>
      <c r="X19" s="10">
        <v>178009</v>
      </c>
      <c r="Y19" s="10">
        <f t="shared" si="8"/>
        <v>66517</v>
      </c>
      <c r="Z19" s="20">
        <v>244526</v>
      </c>
      <c r="AA19" s="12">
        <f t="shared" si="9"/>
        <v>0.9281720560715736</v>
      </c>
      <c r="AB19" s="17">
        <v>418128</v>
      </c>
      <c r="AC19" s="10">
        <v>308574</v>
      </c>
      <c r="AD19" s="10">
        <f t="shared" si="10"/>
        <v>85782</v>
      </c>
      <c r="AE19" s="11">
        <v>394356</v>
      </c>
      <c r="AF19" s="12">
        <f t="shared" si="11"/>
        <v>0.94314659625760533</v>
      </c>
      <c r="AG19" s="16">
        <v>259213</v>
      </c>
      <c r="AH19" s="10">
        <v>175124</v>
      </c>
      <c r="AI19" s="10">
        <f t="shared" si="12"/>
        <v>59056</v>
      </c>
      <c r="AJ19" s="20">
        <v>234180</v>
      </c>
      <c r="AK19" s="12">
        <f t="shared" si="13"/>
        <v>0.90342691145891607</v>
      </c>
      <c r="AL19" s="18">
        <v>262802</v>
      </c>
      <c r="AM19" s="11">
        <v>181335</v>
      </c>
      <c r="AN19" s="10">
        <f t="shared" si="14"/>
        <v>55771</v>
      </c>
      <c r="AO19" s="11">
        <v>237106</v>
      </c>
      <c r="AP19" s="12">
        <f t="shared" si="15"/>
        <v>0.9022229663396778</v>
      </c>
      <c r="AQ19" s="11">
        <v>437396</v>
      </c>
      <c r="AR19" s="11">
        <v>318863</v>
      </c>
      <c r="AS19" s="10">
        <f t="shared" si="16"/>
        <v>82223</v>
      </c>
      <c r="AT19" s="13">
        <v>401086</v>
      </c>
      <c r="AU19" s="12">
        <f t="shared" si="17"/>
        <v>0.91698598066740433</v>
      </c>
      <c r="AV19" s="18">
        <v>265429</v>
      </c>
      <c r="AW19" s="11">
        <v>181607</v>
      </c>
      <c r="AX19" s="10">
        <f t="shared" si="18"/>
        <v>56295</v>
      </c>
      <c r="AY19" s="20">
        <v>237902</v>
      </c>
      <c r="AZ19" s="12">
        <f t="shared" si="19"/>
        <v>0.89629241718124242</v>
      </c>
      <c r="BA19" s="18">
        <v>272122</v>
      </c>
      <c r="BB19" s="11">
        <v>178858</v>
      </c>
      <c r="BC19" s="10">
        <f t="shared" si="20"/>
        <v>65955</v>
      </c>
      <c r="BD19" s="20">
        <v>244813</v>
      </c>
      <c r="BE19" s="12">
        <f t="shared" si="21"/>
        <v>0.89964427719919737</v>
      </c>
      <c r="BF19" s="18">
        <v>456786</v>
      </c>
      <c r="BG19" s="11">
        <v>300322</v>
      </c>
      <c r="BH19" s="10">
        <f t="shared" si="22"/>
        <v>115387</v>
      </c>
      <c r="BI19" s="11">
        <v>415709</v>
      </c>
      <c r="BJ19" s="12">
        <f t="shared" si="23"/>
        <v>0.91007386391001477</v>
      </c>
      <c r="BK19" s="24"/>
      <c r="BL19" s="24"/>
    </row>
    <row r="20" spans="1:64" x14ac:dyDescent="0.3">
      <c r="A20" s="22">
        <v>11</v>
      </c>
      <c r="B20" s="3" t="s">
        <v>17</v>
      </c>
      <c r="C20" s="15">
        <v>5479</v>
      </c>
      <c r="D20" s="10">
        <v>1124</v>
      </c>
      <c r="E20" s="10">
        <f t="shared" si="0"/>
        <v>3729</v>
      </c>
      <c r="F20" s="20">
        <v>4853</v>
      </c>
      <c r="G20" s="12">
        <f t="shared" si="1"/>
        <v>0.88574557400985576</v>
      </c>
      <c r="H20" s="15">
        <v>5462</v>
      </c>
      <c r="I20" s="10">
        <v>1118</v>
      </c>
      <c r="J20" s="10">
        <f t="shared" si="2"/>
        <v>3683</v>
      </c>
      <c r="K20" s="20">
        <v>4801</v>
      </c>
      <c r="L20" s="12">
        <f t="shared" si="3"/>
        <v>0.87898205785426586</v>
      </c>
      <c r="M20" s="16">
        <v>8047</v>
      </c>
      <c r="N20" s="10">
        <v>4175</v>
      </c>
      <c r="O20" s="10">
        <f t="shared" si="4"/>
        <v>3097</v>
      </c>
      <c r="P20" s="13">
        <v>7272</v>
      </c>
      <c r="Q20" s="12">
        <f t="shared" si="5"/>
        <v>0.9036908164533366</v>
      </c>
      <c r="R20" s="16">
        <v>5619</v>
      </c>
      <c r="S20" s="10">
        <v>3218</v>
      </c>
      <c r="T20" s="10">
        <f t="shared" si="6"/>
        <v>1612</v>
      </c>
      <c r="U20" s="20">
        <v>4830</v>
      </c>
      <c r="V20" s="12">
        <f t="shared" si="7"/>
        <v>0.85958355579284573</v>
      </c>
      <c r="W20" s="16">
        <v>5711</v>
      </c>
      <c r="X20" s="10">
        <v>3351</v>
      </c>
      <c r="Y20" s="10">
        <f t="shared" si="8"/>
        <v>1562</v>
      </c>
      <c r="Z20" s="20">
        <v>4913</v>
      </c>
      <c r="AA20" s="12">
        <f t="shared" si="9"/>
        <v>0.86026965505165465</v>
      </c>
      <c r="AB20" s="17">
        <v>8314</v>
      </c>
      <c r="AC20" s="10">
        <v>5305</v>
      </c>
      <c r="AD20" s="10">
        <f t="shared" si="10"/>
        <v>2186</v>
      </c>
      <c r="AE20" s="11">
        <v>7491</v>
      </c>
      <c r="AF20" s="12">
        <f t="shared" si="11"/>
        <v>0.90101034399807556</v>
      </c>
      <c r="AG20" s="16">
        <v>5709</v>
      </c>
      <c r="AH20" s="10">
        <v>3389</v>
      </c>
      <c r="AI20" s="10">
        <f t="shared" si="12"/>
        <v>1514</v>
      </c>
      <c r="AJ20" s="20">
        <v>4903</v>
      </c>
      <c r="AK20" s="12">
        <f t="shared" si="13"/>
        <v>0.8588194079523559</v>
      </c>
      <c r="AL20" s="18">
        <v>5805</v>
      </c>
      <c r="AM20" s="11">
        <v>3512</v>
      </c>
      <c r="AN20" s="10">
        <f t="shared" si="14"/>
        <v>1490</v>
      </c>
      <c r="AO20" s="11">
        <v>5002</v>
      </c>
      <c r="AP20" s="12">
        <f t="shared" si="15"/>
        <v>0.86167097329888032</v>
      </c>
      <c r="AQ20" s="11">
        <v>8632</v>
      </c>
      <c r="AR20" s="11">
        <v>5851</v>
      </c>
      <c r="AS20" s="10">
        <f t="shared" si="16"/>
        <v>1922</v>
      </c>
      <c r="AT20" s="13">
        <v>7773</v>
      </c>
      <c r="AU20" s="12">
        <f t="shared" si="17"/>
        <v>0.90048656163113994</v>
      </c>
      <c r="AV20" s="18">
        <v>5837</v>
      </c>
      <c r="AW20" s="11">
        <v>3451</v>
      </c>
      <c r="AX20" s="10">
        <f t="shared" si="18"/>
        <v>1506</v>
      </c>
      <c r="AY20" s="20">
        <v>4957</v>
      </c>
      <c r="AZ20" s="12">
        <f t="shared" si="19"/>
        <v>0.84923762206612985</v>
      </c>
      <c r="BA20" s="18">
        <v>5912</v>
      </c>
      <c r="BB20" s="11">
        <v>3508</v>
      </c>
      <c r="BC20" s="10">
        <f t="shared" si="20"/>
        <v>1554</v>
      </c>
      <c r="BD20" s="20">
        <v>5062</v>
      </c>
      <c r="BE20" s="12">
        <f t="shared" si="21"/>
        <v>0.85622462787550746</v>
      </c>
      <c r="BF20" s="18">
        <v>8941</v>
      </c>
      <c r="BG20" s="11">
        <v>5756</v>
      </c>
      <c r="BH20" s="10">
        <f t="shared" si="22"/>
        <v>2249</v>
      </c>
      <c r="BI20" s="11">
        <v>8005</v>
      </c>
      <c r="BJ20" s="12">
        <f t="shared" si="23"/>
        <v>0.89531372329717029</v>
      </c>
      <c r="BK20" s="24"/>
      <c r="BL20" s="24"/>
    </row>
    <row r="21" spans="1:64" x14ac:dyDescent="0.3">
      <c r="A21" s="22">
        <v>12</v>
      </c>
      <c r="B21" s="3" t="s">
        <v>18</v>
      </c>
      <c r="C21" s="15">
        <v>10109</v>
      </c>
      <c r="D21" s="10">
        <v>1385</v>
      </c>
      <c r="E21" s="10">
        <f t="shared" si="0"/>
        <v>6393</v>
      </c>
      <c r="F21" s="20">
        <v>7778</v>
      </c>
      <c r="G21" s="12">
        <f t="shared" si="1"/>
        <v>0.76941339400534181</v>
      </c>
      <c r="H21" s="15">
        <v>10163</v>
      </c>
      <c r="I21" s="10">
        <v>1421</v>
      </c>
      <c r="J21" s="10">
        <f t="shared" si="2"/>
        <v>6391</v>
      </c>
      <c r="K21" s="20">
        <v>7812</v>
      </c>
      <c r="L21" s="12">
        <f t="shared" si="3"/>
        <v>0.76867066810981011</v>
      </c>
      <c r="M21" s="16">
        <v>12994</v>
      </c>
      <c r="N21" s="10">
        <v>4851</v>
      </c>
      <c r="O21" s="10">
        <f t="shared" si="4"/>
        <v>5671</v>
      </c>
      <c r="P21" s="13">
        <v>10522</v>
      </c>
      <c r="Q21" s="12">
        <f t="shared" si="5"/>
        <v>0.80975835000769592</v>
      </c>
      <c r="R21" s="16">
        <v>10237</v>
      </c>
      <c r="S21" s="10">
        <v>4286</v>
      </c>
      <c r="T21" s="10">
        <f t="shared" si="6"/>
        <v>3582</v>
      </c>
      <c r="U21" s="20">
        <v>7868</v>
      </c>
      <c r="V21" s="12">
        <f t="shared" si="7"/>
        <v>0.76858454625378525</v>
      </c>
      <c r="W21" s="16">
        <v>10162</v>
      </c>
      <c r="X21" s="10">
        <v>4420</v>
      </c>
      <c r="Y21" s="10">
        <f t="shared" si="8"/>
        <v>3550</v>
      </c>
      <c r="Z21" s="20">
        <v>7970</v>
      </c>
      <c r="AA21" s="12">
        <f t="shared" si="9"/>
        <v>0.78429443023026968</v>
      </c>
      <c r="AB21" s="17">
        <v>13196</v>
      </c>
      <c r="AC21" s="10">
        <v>6552</v>
      </c>
      <c r="AD21" s="10">
        <f t="shared" si="10"/>
        <v>4244</v>
      </c>
      <c r="AE21" s="11">
        <v>10796</v>
      </c>
      <c r="AF21" s="12">
        <f t="shared" si="11"/>
        <v>0.81812670506214002</v>
      </c>
      <c r="AG21" s="16">
        <v>10295</v>
      </c>
      <c r="AH21" s="10">
        <v>5006</v>
      </c>
      <c r="AI21" s="10">
        <f t="shared" si="12"/>
        <v>3025</v>
      </c>
      <c r="AJ21" s="20">
        <v>8031</v>
      </c>
      <c r="AK21" s="12">
        <f t="shared" si="13"/>
        <v>0.78008742107819329</v>
      </c>
      <c r="AL21" s="18">
        <v>10459</v>
      </c>
      <c r="AM21" s="11">
        <v>5163</v>
      </c>
      <c r="AN21" s="10">
        <f t="shared" si="14"/>
        <v>2976</v>
      </c>
      <c r="AO21" s="11">
        <v>8139</v>
      </c>
      <c r="AP21" s="12">
        <f t="shared" si="15"/>
        <v>0.77818147050387221</v>
      </c>
      <c r="AQ21" s="11">
        <v>13595</v>
      </c>
      <c r="AR21" s="11">
        <v>7233</v>
      </c>
      <c r="AS21" s="10">
        <f t="shared" si="16"/>
        <v>3827</v>
      </c>
      <c r="AT21" s="13">
        <v>11060</v>
      </c>
      <c r="AU21" s="12">
        <f t="shared" si="17"/>
        <v>0.81353438764251562</v>
      </c>
      <c r="AV21" s="18">
        <v>10391</v>
      </c>
      <c r="AW21" s="11">
        <v>5226</v>
      </c>
      <c r="AX21" s="10">
        <f t="shared" si="18"/>
        <v>3012</v>
      </c>
      <c r="AY21" s="20">
        <v>8238</v>
      </c>
      <c r="AZ21" s="12">
        <f t="shared" si="19"/>
        <v>0.79280146280434993</v>
      </c>
      <c r="BA21" s="18">
        <v>10525</v>
      </c>
      <c r="BB21" s="11">
        <v>5269</v>
      </c>
      <c r="BC21" s="10">
        <f t="shared" si="20"/>
        <v>3118</v>
      </c>
      <c r="BD21" s="20">
        <v>8387</v>
      </c>
      <c r="BE21" s="12">
        <f t="shared" si="21"/>
        <v>0.79686460807600945</v>
      </c>
      <c r="BF21" s="18">
        <v>13618</v>
      </c>
      <c r="BG21" s="11">
        <v>6300</v>
      </c>
      <c r="BH21" s="10">
        <f t="shared" si="22"/>
        <v>5147</v>
      </c>
      <c r="BI21" s="11">
        <v>11447</v>
      </c>
      <c r="BJ21" s="12">
        <f t="shared" si="23"/>
        <v>0.84057864590982523</v>
      </c>
      <c r="BK21" s="24"/>
      <c r="BL21" s="24"/>
    </row>
    <row r="22" spans="1:64" x14ac:dyDescent="0.3">
      <c r="A22" s="22">
        <v>13</v>
      </c>
      <c r="B22" s="3" t="s">
        <v>19</v>
      </c>
      <c r="C22" s="15">
        <v>5921</v>
      </c>
      <c r="D22" s="10">
        <v>1313</v>
      </c>
      <c r="E22" s="10">
        <f t="shared" si="0"/>
        <v>3846</v>
      </c>
      <c r="F22" s="20">
        <v>5159</v>
      </c>
      <c r="G22" s="12">
        <f t="shared" si="1"/>
        <v>0.87130552271575745</v>
      </c>
      <c r="H22" s="15">
        <v>5940</v>
      </c>
      <c r="I22" s="10">
        <v>1049</v>
      </c>
      <c r="J22" s="10">
        <f t="shared" si="2"/>
        <v>4125</v>
      </c>
      <c r="K22" s="20">
        <v>5174</v>
      </c>
      <c r="L22" s="12">
        <f t="shared" si="3"/>
        <v>0.87104377104377106</v>
      </c>
      <c r="M22" s="16">
        <v>7004</v>
      </c>
      <c r="N22" s="10">
        <v>3042</v>
      </c>
      <c r="O22" s="10">
        <f t="shared" si="4"/>
        <v>3146</v>
      </c>
      <c r="P22" s="13">
        <v>6188</v>
      </c>
      <c r="Q22" s="12">
        <f t="shared" si="5"/>
        <v>0.88349514563106801</v>
      </c>
      <c r="R22" s="16">
        <v>5966</v>
      </c>
      <c r="S22" s="10">
        <v>3273</v>
      </c>
      <c r="T22" s="10">
        <f t="shared" si="6"/>
        <v>1863</v>
      </c>
      <c r="U22" s="20">
        <v>5136</v>
      </c>
      <c r="V22" s="12">
        <f t="shared" si="7"/>
        <v>0.86087831042574592</v>
      </c>
      <c r="W22" s="16">
        <v>5920</v>
      </c>
      <c r="X22" s="10">
        <v>3386</v>
      </c>
      <c r="Y22" s="10">
        <f t="shared" si="8"/>
        <v>1814</v>
      </c>
      <c r="Z22" s="20">
        <v>5200</v>
      </c>
      <c r="AA22" s="12">
        <f t="shared" si="9"/>
        <v>0.8783783783783784</v>
      </c>
      <c r="AB22" s="17">
        <v>7073</v>
      </c>
      <c r="AC22" s="10">
        <v>4344</v>
      </c>
      <c r="AD22" s="10">
        <f t="shared" si="10"/>
        <v>2014</v>
      </c>
      <c r="AE22" s="11">
        <v>6358</v>
      </c>
      <c r="AF22" s="12">
        <f t="shared" si="11"/>
        <v>0.89891135303265945</v>
      </c>
      <c r="AG22" s="16">
        <v>5998</v>
      </c>
      <c r="AH22" s="10">
        <v>3710</v>
      </c>
      <c r="AI22" s="10">
        <f t="shared" si="12"/>
        <v>1589</v>
      </c>
      <c r="AJ22" s="20">
        <v>5299</v>
      </c>
      <c r="AK22" s="12">
        <f t="shared" si="13"/>
        <v>0.88346115371790601</v>
      </c>
      <c r="AL22" s="18">
        <v>5988</v>
      </c>
      <c r="AM22" s="11">
        <v>3796</v>
      </c>
      <c r="AN22" s="10">
        <f t="shared" si="14"/>
        <v>1590</v>
      </c>
      <c r="AO22" s="11">
        <v>5386</v>
      </c>
      <c r="AP22" s="12">
        <f t="shared" si="15"/>
        <v>0.89946559786239144</v>
      </c>
      <c r="AQ22" s="11">
        <v>7036</v>
      </c>
      <c r="AR22" s="11">
        <v>4554</v>
      </c>
      <c r="AS22" s="10">
        <f t="shared" si="16"/>
        <v>1945</v>
      </c>
      <c r="AT22" s="13">
        <v>6499</v>
      </c>
      <c r="AU22" s="12">
        <f t="shared" si="17"/>
        <v>0.92367822626492324</v>
      </c>
      <c r="AV22" s="18">
        <v>5943</v>
      </c>
      <c r="AW22" s="11">
        <v>3758</v>
      </c>
      <c r="AX22" s="10">
        <f t="shared" si="18"/>
        <v>1653</v>
      </c>
      <c r="AY22" s="20">
        <v>5411</v>
      </c>
      <c r="AZ22" s="12">
        <f t="shared" si="19"/>
        <v>0.91048292108362783</v>
      </c>
      <c r="BA22" s="18">
        <v>5997</v>
      </c>
      <c r="BB22" s="11">
        <v>3866</v>
      </c>
      <c r="BC22" s="10">
        <f t="shared" si="20"/>
        <v>1609</v>
      </c>
      <c r="BD22" s="20">
        <v>5475</v>
      </c>
      <c r="BE22" s="12">
        <f t="shared" si="21"/>
        <v>0.91295647823911952</v>
      </c>
      <c r="BF22" s="18">
        <v>7214</v>
      </c>
      <c r="BG22" s="11">
        <v>4283</v>
      </c>
      <c r="BH22" s="10">
        <f t="shared" si="22"/>
        <v>2399</v>
      </c>
      <c r="BI22" s="11">
        <v>6682</v>
      </c>
      <c r="BJ22" s="12">
        <f t="shared" si="23"/>
        <v>0.92625450512891605</v>
      </c>
      <c r="BK22" s="24"/>
      <c r="BL22" s="24"/>
    </row>
    <row r="23" spans="1:64" x14ac:dyDescent="0.3">
      <c r="A23" s="22">
        <v>14</v>
      </c>
      <c r="B23" s="3" t="s">
        <v>20</v>
      </c>
      <c r="C23" s="15">
        <v>9480</v>
      </c>
      <c r="D23" s="10">
        <v>1147</v>
      </c>
      <c r="E23" s="10">
        <f t="shared" si="0"/>
        <v>6139</v>
      </c>
      <c r="F23" s="20">
        <v>7286</v>
      </c>
      <c r="G23" s="12">
        <f t="shared" si="1"/>
        <v>0.76856540084388181</v>
      </c>
      <c r="H23" s="15">
        <v>9486</v>
      </c>
      <c r="I23" s="10">
        <v>1373</v>
      </c>
      <c r="J23" s="10">
        <f t="shared" si="2"/>
        <v>5884</v>
      </c>
      <c r="K23" s="20">
        <v>7257</v>
      </c>
      <c r="L23" s="12">
        <f t="shared" si="3"/>
        <v>0.76502213788741302</v>
      </c>
      <c r="M23" s="16">
        <v>11077</v>
      </c>
      <c r="N23" s="10">
        <v>3317</v>
      </c>
      <c r="O23" s="10">
        <f t="shared" si="4"/>
        <v>5404</v>
      </c>
      <c r="P23" s="13">
        <v>8721</v>
      </c>
      <c r="Q23" s="12">
        <f t="shared" si="5"/>
        <v>0.78730703259005141</v>
      </c>
      <c r="R23" s="16">
        <v>9575</v>
      </c>
      <c r="S23" s="10">
        <v>4031</v>
      </c>
      <c r="T23" s="10">
        <f t="shared" si="6"/>
        <v>3281</v>
      </c>
      <c r="U23" s="20">
        <v>7312</v>
      </c>
      <c r="V23" s="12">
        <f t="shared" si="7"/>
        <v>0.76365535248041772</v>
      </c>
      <c r="W23" s="16">
        <v>9750</v>
      </c>
      <c r="X23" s="10">
        <v>4211</v>
      </c>
      <c r="Y23" s="10">
        <f t="shared" si="8"/>
        <v>3172</v>
      </c>
      <c r="Z23" s="20">
        <v>7383</v>
      </c>
      <c r="AA23" s="12">
        <f t="shared" si="9"/>
        <v>0.75723076923076926</v>
      </c>
      <c r="AB23" s="17">
        <v>11436</v>
      </c>
      <c r="AC23" s="10">
        <v>5373</v>
      </c>
      <c r="AD23" s="10">
        <f t="shared" si="10"/>
        <v>3624</v>
      </c>
      <c r="AE23" s="11">
        <v>8997</v>
      </c>
      <c r="AF23" s="12">
        <f t="shared" si="11"/>
        <v>0.78672612801678909</v>
      </c>
      <c r="AG23" s="16">
        <v>9837</v>
      </c>
      <c r="AH23" s="10">
        <v>4608</v>
      </c>
      <c r="AI23" s="10">
        <f t="shared" si="12"/>
        <v>2843</v>
      </c>
      <c r="AJ23" s="20">
        <v>7451</v>
      </c>
      <c r="AK23" s="12">
        <f t="shared" si="13"/>
        <v>0.75744637592762021</v>
      </c>
      <c r="AL23" s="18">
        <v>9887</v>
      </c>
      <c r="AM23" s="11">
        <v>4642</v>
      </c>
      <c r="AN23" s="10">
        <f t="shared" si="14"/>
        <v>2895</v>
      </c>
      <c r="AO23" s="11">
        <v>7537</v>
      </c>
      <c r="AP23" s="12">
        <f t="shared" si="15"/>
        <v>0.76231414989379997</v>
      </c>
      <c r="AQ23" s="11">
        <v>10570</v>
      </c>
      <c r="AR23" s="11">
        <v>5830</v>
      </c>
      <c r="AS23" s="10">
        <f t="shared" si="16"/>
        <v>3377</v>
      </c>
      <c r="AT23" s="13">
        <v>9207</v>
      </c>
      <c r="AU23" s="12">
        <f t="shared" si="17"/>
        <v>0.87105014191106911</v>
      </c>
      <c r="AV23" s="18">
        <v>8848</v>
      </c>
      <c r="AW23" s="11">
        <v>4317</v>
      </c>
      <c r="AX23" s="10">
        <f t="shared" si="18"/>
        <v>3200</v>
      </c>
      <c r="AY23" s="20">
        <v>7517</v>
      </c>
      <c r="AZ23" s="12">
        <f t="shared" si="19"/>
        <v>0.84957052441229652</v>
      </c>
      <c r="BA23" s="18">
        <v>8869</v>
      </c>
      <c r="BB23" s="11">
        <v>4348</v>
      </c>
      <c r="BC23" s="10">
        <f t="shared" si="20"/>
        <v>3262</v>
      </c>
      <c r="BD23" s="20">
        <v>7610</v>
      </c>
      <c r="BE23" s="12">
        <f t="shared" si="21"/>
        <v>0.85804487540872698</v>
      </c>
      <c r="BF23" s="18">
        <v>10711</v>
      </c>
      <c r="BG23" s="11">
        <v>5362</v>
      </c>
      <c r="BH23" s="10">
        <f t="shared" si="22"/>
        <v>4034</v>
      </c>
      <c r="BI23" s="11">
        <v>9396</v>
      </c>
      <c r="BJ23" s="12">
        <f t="shared" si="23"/>
        <v>0.87722901689851551</v>
      </c>
      <c r="BK23" s="24"/>
      <c r="BL23" s="24"/>
    </row>
    <row r="24" spans="1:64" x14ac:dyDescent="0.3">
      <c r="A24" s="22">
        <v>15</v>
      </c>
      <c r="B24" s="3" t="s">
        <v>21</v>
      </c>
      <c r="C24" s="15">
        <v>5899</v>
      </c>
      <c r="D24" s="10">
        <v>1641</v>
      </c>
      <c r="E24" s="10">
        <f t="shared" si="0"/>
        <v>3079</v>
      </c>
      <c r="F24" s="20">
        <v>4720</v>
      </c>
      <c r="G24" s="12">
        <f t="shared" si="1"/>
        <v>0.8001356162061366</v>
      </c>
      <c r="H24" s="15">
        <v>5806</v>
      </c>
      <c r="I24" s="10">
        <v>1586</v>
      </c>
      <c r="J24" s="10">
        <f t="shared" si="2"/>
        <v>3124</v>
      </c>
      <c r="K24" s="20">
        <v>4710</v>
      </c>
      <c r="L24" s="12">
        <f t="shared" si="3"/>
        <v>0.81122976231484667</v>
      </c>
      <c r="M24" s="16">
        <v>6586</v>
      </c>
      <c r="N24" s="10">
        <v>3056</v>
      </c>
      <c r="O24" s="10">
        <f t="shared" si="4"/>
        <v>2387</v>
      </c>
      <c r="P24" s="13">
        <v>5443</v>
      </c>
      <c r="Q24" s="12">
        <f t="shared" si="5"/>
        <v>0.82645004555116919</v>
      </c>
      <c r="R24" s="16">
        <v>5878</v>
      </c>
      <c r="S24" s="10">
        <v>3216</v>
      </c>
      <c r="T24" s="10">
        <f t="shared" si="6"/>
        <v>1476</v>
      </c>
      <c r="U24" s="20">
        <v>4692</v>
      </c>
      <c r="V24" s="12">
        <f t="shared" si="7"/>
        <v>0.79823069071112618</v>
      </c>
      <c r="W24" s="16">
        <v>5897</v>
      </c>
      <c r="X24" s="10">
        <v>3348</v>
      </c>
      <c r="Y24" s="10">
        <f t="shared" si="8"/>
        <v>1368</v>
      </c>
      <c r="Z24" s="20">
        <v>4716</v>
      </c>
      <c r="AA24" s="12">
        <f t="shared" si="9"/>
        <v>0.79972867559776162</v>
      </c>
      <c r="AB24" s="17">
        <v>6699</v>
      </c>
      <c r="AC24" s="10">
        <v>4224</v>
      </c>
      <c r="AD24" s="10">
        <f t="shared" si="10"/>
        <v>1291</v>
      </c>
      <c r="AE24" s="11">
        <v>5515</v>
      </c>
      <c r="AF24" s="12">
        <f t="shared" si="11"/>
        <v>0.82325720256754742</v>
      </c>
      <c r="AG24" s="16">
        <v>5948</v>
      </c>
      <c r="AH24" s="10">
        <v>3660</v>
      </c>
      <c r="AI24" s="10">
        <f t="shared" si="12"/>
        <v>1118</v>
      </c>
      <c r="AJ24" s="20">
        <v>4778</v>
      </c>
      <c r="AK24" s="12">
        <f t="shared" si="13"/>
        <v>0.80329522528581032</v>
      </c>
      <c r="AL24" s="18">
        <v>5965</v>
      </c>
      <c r="AM24" s="11">
        <v>3668</v>
      </c>
      <c r="AN24" s="10">
        <f t="shared" si="14"/>
        <v>1214</v>
      </c>
      <c r="AO24" s="11">
        <v>4882</v>
      </c>
      <c r="AP24" s="12">
        <f t="shared" si="15"/>
        <v>0.81844090528080471</v>
      </c>
      <c r="AQ24" s="11">
        <v>6810</v>
      </c>
      <c r="AR24" s="11">
        <v>4323</v>
      </c>
      <c r="AS24" s="10">
        <f t="shared" si="16"/>
        <v>1408</v>
      </c>
      <c r="AT24" s="13">
        <v>5731</v>
      </c>
      <c r="AU24" s="12">
        <f t="shared" si="17"/>
        <v>0.84155653450807633</v>
      </c>
      <c r="AV24" s="18">
        <v>6017</v>
      </c>
      <c r="AW24" s="11">
        <v>3707</v>
      </c>
      <c r="AX24" s="10">
        <f t="shared" si="18"/>
        <v>1252</v>
      </c>
      <c r="AY24" s="20">
        <v>4959</v>
      </c>
      <c r="AZ24" s="12">
        <f t="shared" si="19"/>
        <v>0.82416486621239815</v>
      </c>
      <c r="BA24" s="18">
        <v>6141</v>
      </c>
      <c r="BB24" s="11">
        <v>3732</v>
      </c>
      <c r="BC24" s="10">
        <f t="shared" si="20"/>
        <v>1302</v>
      </c>
      <c r="BD24" s="20">
        <v>5034</v>
      </c>
      <c r="BE24" s="12">
        <f t="shared" si="21"/>
        <v>0.81973619931607233</v>
      </c>
      <c r="BF24" s="18">
        <v>7097</v>
      </c>
      <c r="BG24" s="11">
        <v>4446</v>
      </c>
      <c r="BH24" s="10">
        <f t="shared" si="22"/>
        <v>1475</v>
      </c>
      <c r="BI24" s="11">
        <v>5921</v>
      </c>
      <c r="BJ24" s="12">
        <f t="shared" si="23"/>
        <v>0.83429618148513451</v>
      </c>
      <c r="BK24" s="24"/>
      <c r="BL24" s="24"/>
    </row>
    <row r="25" spans="1:64" x14ac:dyDescent="0.3">
      <c r="A25" s="22">
        <v>16</v>
      </c>
      <c r="B25" s="3" t="s">
        <v>22</v>
      </c>
      <c r="C25" s="15">
        <v>18100</v>
      </c>
      <c r="D25" s="10">
        <v>3372</v>
      </c>
      <c r="E25" s="10">
        <f t="shared" si="0"/>
        <v>12801</v>
      </c>
      <c r="F25" s="20">
        <v>16173</v>
      </c>
      <c r="G25" s="12">
        <f t="shared" si="1"/>
        <v>0.89353591160220991</v>
      </c>
      <c r="H25" s="15">
        <v>17996</v>
      </c>
      <c r="I25" s="10">
        <v>2677</v>
      </c>
      <c r="J25" s="10">
        <f t="shared" si="2"/>
        <v>13568</v>
      </c>
      <c r="K25" s="20">
        <v>16245</v>
      </c>
      <c r="L25" s="12">
        <f t="shared" si="3"/>
        <v>0.90270060013336295</v>
      </c>
      <c r="M25" s="16">
        <v>25145</v>
      </c>
      <c r="N25" s="10">
        <v>13700</v>
      </c>
      <c r="O25" s="10">
        <f t="shared" si="4"/>
        <v>9471</v>
      </c>
      <c r="P25" s="13">
        <v>23171</v>
      </c>
      <c r="Q25" s="12">
        <f t="shared" si="5"/>
        <v>0.92149532710280369</v>
      </c>
      <c r="R25" s="16">
        <v>18343</v>
      </c>
      <c r="S25" s="10">
        <v>12473</v>
      </c>
      <c r="T25" s="10">
        <f t="shared" si="6"/>
        <v>3984</v>
      </c>
      <c r="U25" s="20">
        <v>16457</v>
      </c>
      <c r="V25" s="12">
        <f t="shared" si="7"/>
        <v>0.89718148612549742</v>
      </c>
      <c r="W25" s="16">
        <v>18513</v>
      </c>
      <c r="X25" s="10">
        <v>12524</v>
      </c>
      <c r="Y25" s="10">
        <f t="shared" si="8"/>
        <v>4127</v>
      </c>
      <c r="Z25" s="20">
        <v>16651</v>
      </c>
      <c r="AA25" s="12">
        <f t="shared" si="9"/>
        <v>0.89942202776427371</v>
      </c>
      <c r="AB25" s="17">
        <v>25418</v>
      </c>
      <c r="AC25" s="10">
        <v>18159</v>
      </c>
      <c r="AD25" s="10">
        <f t="shared" si="10"/>
        <v>5449</v>
      </c>
      <c r="AE25" s="11">
        <v>23608</v>
      </c>
      <c r="AF25" s="12">
        <f t="shared" si="11"/>
        <v>0.92879062081989139</v>
      </c>
      <c r="AG25" s="16">
        <v>18377</v>
      </c>
      <c r="AH25" s="10">
        <v>13415</v>
      </c>
      <c r="AI25" s="10">
        <f t="shared" si="12"/>
        <v>3247</v>
      </c>
      <c r="AJ25" s="20">
        <v>16662</v>
      </c>
      <c r="AK25" s="12">
        <f t="shared" si="13"/>
        <v>0.90667682429123364</v>
      </c>
      <c r="AL25" s="18">
        <v>18561</v>
      </c>
      <c r="AM25" s="11">
        <v>13513</v>
      </c>
      <c r="AN25" s="10">
        <f t="shared" si="14"/>
        <v>3304</v>
      </c>
      <c r="AO25" s="11">
        <v>16817</v>
      </c>
      <c r="AP25" s="12">
        <f t="shared" si="15"/>
        <v>0.90603954528312047</v>
      </c>
      <c r="AQ25" s="11">
        <v>25768</v>
      </c>
      <c r="AR25" s="11">
        <v>19589</v>
      </c>
      <c r="AS25" s="10">
        <f t="shared" si="16"/>
        <v>4297</v>
      </c>
      <c r="AT25" s="13">
        <v>23886</v>
      </c>
      <c r="AU25" s="12">
        <f t="shared" si="17"/>
        <v>0.92696367587705686</v>
      </c>
      <c r="AV25" s="18">
        <v>18472</v>
      </c>
      <c r="AW25" s="11">
        <v>13689</v>
      </c>
      <c r="AX25" s="10">
        <f t="shared" si="18"/>
        <v>3333</v>
      </c>
      <c r="AY25" s="20">
        <v>17022</v>
      </c>
      <c r="AZ25" s="12">
        <f t="shared" si="19"/>
        <v>0.92150281507145948</v>
      </c>
      <c r="BA25" s="18">
        <v>18607</v>
      </c>
      <c r="BB25" s="11">
        <v>13755</v>
      </c>
      <c r="BC25" s="10">
        <f t="shared" si="20"/>
        <v>3558</v>
      </c>
      <c r="BD25" s="20">
        <v>17313</v>
      </c>
      <c r="BE25" s="12">
        <f t="shared" si="21"/>
        <v>0.93045627989466329</v>
      </c>
      <c r="BF25" s="18">
        <v>26131</v>
      </c>
      <c r="BG25" s="11">
        <v>18121</v>
      </c>
      <c r="BH25" s="10">
        <f t="shared" si="22"/>
        <v>6379</v>
      </c>
      <c r="BI25" s="11">
        <v>24500</v>
      </c>
      <c r="BJ25" s="12">
        <f t="shared" si="23"/>
        <v>0.93758371283150277</v>
      </c>
      <c r="BK25" s="24"/>
      <c r="BL25" s="24"/>
    </row>
    <row r="26" spans="1:64" x14ac:dyDescent="0.3">
      <c r="A26" s="22">
        <v>17</v>
      </c>
      <c r="B26" s="3" t="s">
        <v>23</v>
      </c>
      <c r="C26" s="15">
        <v>16562</v>
      </c>
      <c r="D26" s="10">
        <v>3476</v>
      </c>
      <c r="E26" s="10">
        <f t="shared" si="0"/>
        <v>9672</v>
      </c>
      <c r="F26" s="20">
        <v>13148</v>
      </c>
      <c r="G26" s="12">
        <f t="shared" si="1"/>
        <v>0.79386547518415651</v>
      </c>
      <c r="H26" s="15">
        <v>16580</v>
      </c>
      <c r="I26" s="10">
        <v>3605</v>
      </c>
      <c r="J26" s="10">
        <f t="shared" si="2"/>
        <v>9476</v>
      </c>
      <c r="K26" s="20">
        <v>13081</v>
      </c>
      <c r="L26" s="12">
        <f t="shared" si="3"/>
        <v>0.788962605548854</v>
      </c>
      <c r="M26" s="16">
        <v>25396</v>
      </c>
      <c r="N26" s="10">
        <v>13243</v>
      </c>
      <c r="O26" s="10">
        <f t="shared" si="4"/>
        <v>8461</v>
      </c>
      <c r="P26" s="13">
        <v>21704</v>
      </c>
      <c r="Q26" s="12">
        <f t="shared" si="5"/>
        <v>0.85462277524019525</v>
      </c>
      <c r="R26" s="16">
        <v>16475</v>
      </c>
      <c r="S26" s="10">
        <v>8583</v>
      </c>
      <c r="T26" s="10">
        <f t="shared" si="6"/>
        <v>4394</v>
      </c>
      <c r="U26" s="20">
        <v>12977</v>
      </c>
      <c r="V26" s="12">
        <f t="shared" si="7"/>
        <v>0.78767830045523524</v>
      </c>
      <c r="W26" s="16">
        <v>16675</v>
      </c>
      <c r="X26" s="10">
        <v>9279</v>
      </c>
      <c r="Y26" s="10">
        <f t="shared" si="8"/>
        <v>3963</v>
      </c>
      <c r="Z26" s="20">
        <v>13242</v>
      </c>
      <c r="AA26" s="12">
        <f t="shared" si="9"/>
        <v>0.79412293853073468</v>
      </c>
      <c r="AB26" s="17">
        <v>25656</v>
      </c>
      <c r="AC26" s="10">
        <v>17111</v>
      </c>
      <c r="AD26" s="10">
        <f t="shared" si="10"/>
        <v>5325</v>
      </c>
      <c r="AE26" s="11">
        <v>22436</v>
      </c>
      <c r="AF26" s="12">
        <f t="shared" si="11"/>
        <v>0.87449329591518554</v>
      </c>
      <c r="AG26" s="16">
        <v>15844</v>
      </c>
      <c r="AH26" s="10">
        <v>9217</v>
      </c>
      <c r="AI26" s="10">
        <f t="shared" si="12"/>
        <v>3553</v>
      </c>
      <c r="AJ26" s="20">
        <v>12770</v>
      </c>
      <c r="AK26" s="12">
        <f t="shared" si="13"/>
        <v>0.80598333754102502</v>
      </c>
      <c r="AL26" s="18">
        <v>16081</v>
      </c>
      <c r="AM26" s="11">
        <v>9486</v>
      </c>
      <c r="AN26" s="10">
        <f t="shared" si="14"/>
        <v>3491</v>
      </c>
      <c r="AO26" s="11">
        <v>12977</v>
      </c>
      <c r="AP26" s="12">
        <f t="shared" si="15"/>
        <v>0.80697717803619173</v>
      </c>
      <c r="AQ26" s="11">
        <v>26317</v>
      </c>
      <c r="AR26" s="11">
        <v>17360</v>
      </c>
      <c r="AS26" s="10">
        <f t="shared" si="16"/>
        <v>5519</v>
      </c>
      <c r="AT26" s="13">
        <v>22879</v>
      </c>
      <c r="AU26" s="12">
        <f t="shared" si="17"/>
        <v>0.86936200934757002</v>
      </c>
      <c r="AV26" s="18">
        <v>15987</v>
      </c>
      <c r="AW26" s="11">
        <v>9123</v>
      </c>
      <c r="AX26" s="10">
        <f t="shared" si="18"/>
        <v>3713</v>
      </c>
      <c r="AY26" s="20">
        <v>12836</v>
      </c>
      <c r="AZ26" s="12">
        <f t="shared" si="19"/>
        <v>0.80290235816600986</v>
      </c>
      <c r="BA26" s="18">
        <v>16133</v>
      </c>
      <c r="BB26" s="11">
        <v>9240</v>
      </c>
      <c r="BC26" s="10">
        <f t="shared" si="20"/>
        <v>3784</v>
      </c>
      <c r="BD26" s="20">
        <v>13024</v>
      </c>
      <c r="BE26" s="12">
        <f t="shared" si="21"/>
        <v>0.80728940680592576</v>
      </c>
      <c r="BF26" s="18">
        <v>26642</v>
      </c>
      <c r="BG26" s="11">
        <v>16906</v>
      </c>
      <c r="BH26" s="10">
        <f t="shared" si="22"/>
        <v>6317</v>
      </c>
      <c r="BI26" s="11">
        <v>23223</v>
      </c>
      <c r="BJ26" s="12">
        <f t="shared" si="23"/>
        <v>0.87166879363411154</v>
      </c>
      <c r="BK26" s="24"/>
      <c r="BL26" s="24"/>
    </row>
    <row r="27" spans="1:64" x14ac:dyDescent="0.3">
      <c r="A27" s="22">
        <v>18</v>
      </c>
      <c r="B27" s="3" t="s">
        <v>24</v>
      </c>
      <c r="C27" s="15">
        <v>112837</v>
      </c>
      <c r="D27" s="10">
        <v>17404</v>
      </c>
      <c r="E27" s="10">
        <f t="shared" si="0"/>
        <v>84769</v>
      </c>
      <c r="F27" s="20">
        <v>102173</v>
      </c>
      <c r="G27" s="12">
        <f t="shared" si="1"/>
        <v>0.90549199287467763</v>
      </c>
      <c r="H27" s="15">
        <v>111842</v>
      </c>
      <c r="I27" s="10">
        <v>17552</v>
      </c>
      <c r="J27" s="10">
        <f t="shared" si="2"/>
        <v>84475</v>
      </c>
      <c r="K27" s="20">
        <v>102027</v>
      </c>
      <c r="L27" s="12">
        <f t="shared" si="3"/>
        <v>0.91224227034566618</v>
      </c>
      <c r="M27" s="16">
        <v>156288</v>
      </c>
      <c r="N27" s="10">
        <v>71253</v>
      </c>
      <c r="O27" s="10">
        <f t="shared" si="4"/>
        <v>74497</v>
      </c>
      <c r="P27" s="13">
        <v>145750</v>
      </c>
      <c r="Q27" s="12">
        <f t="shared" si="5"/>
        <v>0.93257319819819817</v>
      </c>
      <c r="R27" s="16">
        <v>113087</v>
      </c>
      <c r="S27" s="10">
        <v>65128</v>
      </c>
      <c r="T27" s="10">
        <f t="shared" si="6"/>
        <v>39370</v>
      </c>
      <c r="U27" s="20">
        <v>104498</v>
      </c>
      <c r="V27" s="12">
        <f t="shared" si="7"/>
        <v>0.92404962550956349</v>
      </c>
      <c r="W27" s="16">
        <v>116164</v>
      </c>
      <c r="X27" s="10">
        <v>69610</v>
      </c>
      <c r="Y27" s="10">
        <f t="shared" si="8"/>
        <v>38417</v>
      </c>
      <c r="Z27" s="20">
        <v>108027</v>
      </c>
      <c r="AA27" s="12">
        <f t="shared" si="9"/>
        <v>0.92995248097517302</v>
      </c>
      <c r="AB27" s="17">
        <v>165468</v>
      </c>
      <c r="AC27" s="10">
        <v>107539</v>
      </c>
      <c r="AD27" s="10">
        <f t="shared" si="10"/>
        <v>48098</v>
      </c>
      <c r="AE27" s="11">
        <v>155637</v>
      </c>
      <c r="AF27" s="12">
        <f t="shared" si="11"/>
        <v>0.94058669954311402</v>
      </c>
      <c r="AG27" s="16">
        <v>116084</v>
      </c>
      <c r="AH27" s="10">
        <v>74377</v>
      </c>
      <c r="AI27" s="10">
        <f t="shared" si="12"/>
        <v>32763</v>
      </c>
      <c r="AJ27" s="20">
        <v>107140</v>
      </c>
      <c r="AK27" s="12">
        <f t="shared" si="13"/>
        <v>0.92295234485372657</v>
      </c>
      <c r="AL27" s="18">
        <v>117992</v>
      </c>
      <c r="AM27" s="11">
        <v>75824</v>
      </c>
      <c r="AN27" s="10">
        <f t="shared" si="14"/>
        <v>33347</v>
      </c>
      <c r="AO27" s="11">
        <v>109171</v>
      </c>
      <c r="AP27" s="12">
        <f t="shared" si="15"/>
        <v>0.92524069428435829</v>
      </c>
      <c r="AQ27" s="11">
        <v>170879</v>
      </c>
      <c r="AR27" s="11">
        <v>115350</v>
      </c>
      <c r="AS27" s="10">
        <f t="shared" si="16"/>
        <v>45159</v>
      </c>
      <c r="AT27" s="13">
        <v>160509</v>
      </c>
      <c r="AU27" s="12">
        <f t="shared" si="17"/>
        <v>0.93931378343740313</v>
      </c>
      <c r="AV27" s="18">
        <v>116485</v>
      </c>
      <c r="AW27" s="11">
        <v>75357</v>
      </c>
      <c r="AX27" s="10">
        <f t="shared" si="18"/>
        <v>34158</v>
      </c>
      <c r="AY27" s="20">
        <v>109515</v>
      </c>
      <c r="AZ27" s="12">
        <f t="shared" si="19"/>
        <v>0.94016396960982096</v>
      </c>
      <c r="BA27" s="18">
        <v>117017</v>
      </c>
      <c r="BB27" s="11">
        <v>73302</v>
      </c>
      <c r="BC27" s="10">
        <f t="shared" si="20"/>
        <v>38106</v>
      </c>
      <c r="BD27" s="20">
        <v>111408</v>
      </c>
      <c r="BE27" s="12">
        <f t="shared" si="21"/>
        <v>0.95206679371373393</v>
      </c>
      <c r="BF27" s="18">
        <v>172738</v>
      </c>
      <c r="BG27" s="11">
        <v>101545</v>
      </c>
      <c r="BH27" s="10">
        <f t="shared" si="22"/>
        <v>63104</v>
      </c>
      <c r="BI27" s="11">
        <v>164649</v>
      </c>
      <c r="BJ27" s="12">
        <f t="shared" si="23"/>
        <v>0.95317185564264961</v>
      </c>
      <c r="BK27" s="24"/>
      <c r="BL27" s="24"/>
    </row>
    <row r="28" spans="1:64" x14ac:dyDescent="0.3">
      <c r="A28" s="22">
        <v>19</v>
      </c>
      <c r="B28" s="3" t="s">
        <v>25</v>
      </c>
      <c r="C28" s="15">
        <v>376743</v>
      </c>
      <c r="D28" s="10">
        <v>79035</v>
      </c>
      <c r="E28" s="10">
        <f t="shared" si="0"/>
        <v>248064</v>
      </c>
      <c r="F28" s="20">
        <v>327099</v>
      </c>
      <c r="G28" s="12">
        <f t="shared" si="1"/>
        <v>0.8682284740526035</v>
      </c>
      <c r="H28" s="15">
        <v>377506</v>
      </c>
      <c r="I28" s="10">
        <v>71058</v>
      </c>
      <c r="J28" s="10">
        <f t="shared" si="2"/>
        <v>256660</v>
      </c>
      <c r="K28" s="20">
        <v>327718</v>
      </c>
      <c r="L28" s="12">
        <f t="shared" si="3"/>
        <v>0.86811335448972993</v>
      </c>
      <c r="M28" s="16">
        <v>622937</v>
      </c>
      <c r="N28" s="10">
        <v>385050</v>
      </c>
      <c r="O28" s="10">
        <f t="shared" si="4"/>
        <v>184095</v>
      </c>
      <c r="P28" s="13">
        <v>569145</v>
      </c>
      <c r="Q28" s="12">
        <f t="shared" si="5"/>
        <v>0.91364776855444452</v>
      </c>
      <c r="R28" s="16">
        <v>379798</v>
      </c>
      <c r="S28" s="10">
        <v>246539</v>
      </c>
      <c r="T28" s="10">
        <f t="shared" si="6"/>
        <v>82841</v>
      </c>
      <c r="U28" s="20">
        <v>329380</v>
      </c>
      <c r="V28" s="12">
        <f t="shared" si="7"/>
        <v>0.86725048578454866</v>
      </c>
      <c r="W28" s="16">
        <v>378910</v>
      </c>
      <c r="X28" s="10">
        <v>251099</v>
      </c>
      <c r="Y28" s="10">
        <f t="shared" si="8"/>
        <v>83067</v>
      </c>
      <c r="Z28" s="20">
        <v>334166</v>
      </c>
      <c r="AA28" s="12">
        <f t="shared" si="9"/>
        <v>0.88191391095510807</v>
      </c>
      <c r="AB28" s="17">
        <v>628364</v>
      </c>
      <c r="AC28" s="10">
        <v>459363</v>
      </c>
      <c r="AD28" s="10">
        <f t="shared" si="10"/>
        <v>120946</v>
      </c>
      <c r="AE28" s="11">
        <v>580309</v>
      </c>
      <c r="AF28" s="12">
        <f t="shared" si="11"/>
        <v>0.92352362643308661</v>
      </c>
      <c r="AG28" s="16">
        <v>375124</v>
      </c>
      <c r="AH28" s="10">
        <v>266384</v>
      </c>
      <c r="AI28" s="10">
        <f t="shared" si="12"/>
        <v>67357</v>
      </c>
      <c r="AJ28" s="20">
        <v>333741</v>
      </c>
      <c r="AK28" s="12">
        <f t="shared" si="13"/>
        <v>0.88968181188087136</v>
      </c>
      <c r="AL28" s="18">
        <v>368781</v>
      </c>
      <c r="AM28" s="11">
        <v>269956</v>
      </c>
      <c r="AN28" s="10">
        <f t="shared" si="14"/>
        <v>68520</v>
      </c>
      <c r="AO28" s="11">
        <v>338476</v>
      </c>
      <c r="AP28" s="12">
        <f t="shared" si="15"/>
        <v>0.91782385751977458</v>
      </c>
      <c r="AQ28" s="11">
        <v>617418</v>
      </c>
      <c r="AR28" s="11">
        <v>491762</v>
      </c>
      <c r="AS28" s="10">
        <f t="shared" si="16"/>
        <v>98509</v>
      </c>
      <c r="AT28" s="13">
        <v>590271</v>
      </c>
      <c r="AU28" s="12">
        <f t="shared" si="17"/>
        <v>0.95603140821939103</v>
      </c>
      <c r="AV28" s="18">
        <v>357852</v>
      </c>
      <c r="AW28" s="11">
        <v>272672</v>
      </c>
      <c r="AX28" s="10">
        <f t="shared" si="18"/>
        <v>67576</v>
      </c>
      <c r="AY28" s="20">
        <v>340248</v>
      </c>
      <c r="AZ28" s="12">
        <f t="shared" si="19"/>
        <v>0.95080647865598067</v>
      </c>
      <c r="BA28" s="18">
        <v>359943</v>
      </c>
      <c r="BB28" s="11">
        <v>271828</v>
      </c>
      <c r="BC28" s="10">
        <f t="shared" si="20"/>
        <v>73128</v>
      </c>
      <c r="BD28" s="20">
        <v>344956</v>
      </c>
      <c r="BE28" s="12">
        <f t="shared" si="21"/>
        <v>0.95836285189599468</v>
      </c>
      <c r="BF28" s="18">
        <v>622234</v>
      </c>
      <c r="BG28" s="11">
        <v>475792</v>
      </c>
      <c r="BH28" s="10">
        <f t="shared" si="22"/>
        <v>124732</v>
      </c>
      <c r="BI28" s="11">
        <v>600524</v>
      </c>
      <c r="BJ28" s="12">
        <f t="shared" si="23"/>
        <v>0.96510958899706545</v>
      </c>
      <c r="BK28" s="24"/>
      <c r="BL28" s="24"/>
    </row>
    <row r="29" spans="1:64" x14ac:dyDescent="0.3">
      <c r="A29" s="22">
        <v>20</v>
      </c>
      <c r="B29" s="3" t="s">
        <v>26</v>
      </c>
      <c r="C29" s="15">
        <v>108412</v>
      </c>
      <c r="D29" s="10">
        <v>19011</v>
      </c>
      <c r="E29" s="10">
        <f t="shared" si="0"/>
        <v>85754</v>
      </c>
      <c r="F29" s="20">
        <v>104765</v>
      </c>
      <c r="G29" s="12">
        <f t="shared" si="1"/>
        <v>0.96635981256687453</v>
      </c>
      <c r="H29" s="15">
        <v>108534</v>
      </c>
      <c r="I29" s="10">
        <v>22968</v>
      </c>
      <c r="J29" s="10">
        <f t="shared" si="2"/>
        <v>81762</v>
      </c>
      <c r="K29" s="20">
        <v>104730</v>
      </c>
      <c r="L29" s="12">
        <f t="shared" si="3"/>
        <v>0.96495107523909562</v>
      </c>
      <c r="M29" s="16">
        <v>155259</v>
      </c>
      <c r="N29" s="10">
        <v>91481</v>
      </c>
      <c r="O29" s="10">
        <f t="shared" si="4"/>
        <v>58703</v>
      </c>
      <c r="P29" s="13">
        <v>150184</v>
      </c>
      <c r="Q29" s="12">
        <f t="shared" si="5"/>
        <v>0.96731268396679093</v>
      </c>
      <c r="R29" s="16">
        <v>111838</v>
      </c>
      <c r="S29" s="10">
        <v>77822</v>
      </c>
      <c r="T29" s="10">
        <f t="shared" si="6"/>
        <v>29092</v>
      </c>
      <c r="U29" s="20">
        <v>106914</v>
      </c>
      <c r="V29" s="12">
        <f t="shared" si="7"/>
        <v>0.95597203097337224</v>
      </c>
      <c r="W29" s="16">
        <v>113722</v>
      </c>
      <c r="X29" s="10">
        <v>81058</v>
      </c>
      <c r="Y29" s="10">
        <f t="shared" si="8"/>
        <v>27481</v>
      </c>
      <c r="Z29" s="20">
        <v>108539</v>
      </c>
      <c r="AA29" s="12">
        <f t="shared" si="9"/>
        <v>0.95442394611420833</v>
      </c>
      <c r="AB29" s="17">
        <v>160157</v>
      </c>
      <c r="AC29" s="10">
        <v>120630</v>
      </c>
      <c r="AD29" s="10">
        <f t="shared" si="10"/>
        <v>33489</v>
      </c>
      <c r="AE29" s="11">
        <v>154119</v>
      </c>
      <c r="AF29" s="12">
        <f t="shared" si="11"/>
        <v>0.96229949362188349</v>
      </c>
      <c r="AG29" s="16">
        <v>115309</v>
      </c>
      <c r="AH29" s="10">
        <v>84561</v>
      </c>
      <c r="AI29" s="10">
        <f t="shared" si="12"/>
        <v>25252</v>
      </c>
      <c r="AJ29" s="20">
        <v>109813</v>
      </c>
      <c r="AK29" s="12">
        <f t="shared" si="13"/>
        <v>0.95233676469312889</v>
      </c>
      <c r="AL29" s="18">
        <v>116530</v>
      </c>
      <c r="AM29" s="11">
        <v>86931</v>
      </c>
      <c r="AN29" s="10">
        <f t="shared" si="14"/>
        <v>23998</v>
      </c>
      <c r="AO29" s="11">
        <v>110929</v>
      </c>
      <c r="AP29" s="12">
        <f t="shared" si="15"/>
        <v>0.95193512400240277</v>
      </c>
      <c r="AQ29" s="11">
        <v>164389</v>
      </c>
      <c r="AR29" s="11">
        <v>127564</v>
      </c>
      <c r="AS29" s="10">
        <f t="shared" si="16"/>
        <v>29546</v>
      </c>
      <c r="AT29" s="13">
        <v>157110</v>
      </c>
      <c r="AU29" s="12">
        <f t="shared" si="17"/>
        <v>0.95572088156750146</v>
      </c>
      <c r="AV29" s="18">
        <v>118862</v>
      </c>
      <c r="AW29" s="11">
        <v>88940</v>
      </c>
      <c r="AX29" s="10">
        <f t="shared" si="18"/>
        <v>23779</v>
      </c>
      <c r="AY29" s="20">
        <v>112719</v>
      </c>
      <c r="AZ29" s="12">
        <f t="shared" si="19"/>
        <v>0.94831821776513936</v>
      </c>
      <c r="BA29" s="18">
        <v>119046</v>
      </c>
      <c r="BB29" s="11">
        <v>84381</v>
      </c>
      <c r="BC29" s="10">
        <f t="shared" si="20"/>
        <v>29754</v>
      </c>
      <c r="BD29" s="20">
        <v>114135</v>
      </c>
      <c r="BE29" s="12">
        <f t="shared" si="21"/>
        <v>0.9587470389597299</v>
      </c>
      <c r="BF29" s="18">
        <v>167253</v>
      </c>
      <c r="BG29" s="11">
        <v>119004</v>
      </c>
      <c r="BH29" s="10">
        <f t="shared" si="22"/>
        <v>41679</v>
      </c>
      <c r="BI29" s="11">
        <v>160683</v>
      </c>
      <c r="BJ29" s="12">
        <f t="shared" si="23"/>
        <v>0.96071819339563413</v>
      </c>
      <c r="BK29" s="24"/>
      <c r="BL29" s="24"/>
    </row>
    <row r="30" spans="1:64" x14ac:dyDescent="0.3">
      <c r="A30" s="22">
        <v>21</v>
      </c>
      <c r="B30" s="3" t="s">
        <v>27</v>
      </c>
      <c r="C30" s="15">
        <v>149317</v>
      </c>
      <c r="D30" s="10">
        <v>26484</v>
      </c>
      <c r="E30" s="10">
        <f t="shared" si="0"/>
        <v>116751</v>
      </c>
      <c r="F30" s="20">
        <v>143235</v>
      </c>
      <c r="G30" s="12">
        <f t="shared" si="1"/>
        <v>0.95926786635145367</v>
      </c>
      <c r="H30" s="15">
        <v>149659</v>
      </c>
      <c r="I30" s="10">
        <v>27929</v>
      </c>
      <c r="J30" s="10">
        <f t="shared" si="2"/>
        <v>116062</v>
      </c>
      <c r="K30" s="20">
        <v>143991</v>
      </c>
      <c r="L30" s="12">
        <f t="shared" si="3"/>
        <v>0.96212723591631644</v>
      </c>
      <c r="M30" s="16">
        <v>249952</v>
      </c>
      <c r="N30" s="10">
        <v>142507</v>
      </c>
      <c r="O30" s="10">
        <f t="shared" si="4"/>
        <v>99038</v>
      </c>
      <c r="P30" s="13">
        <v>241545</v>
      </c>
      <c r="Q30" s="12">
        <f t="shared" si="5"/>
        <v>0.96636554218409931</v>
      </c>
      <c r="R30" s="16">
        <v>151431</v>
      </c>
      <c r="S30" s="10">
        <v>99495</v>
      </c>
      <c r="T30" s="10">
        <f t="shared" si="6"/>
        <v>43787</v>
      </c>
      <c r="U30" s="20">
        <v>143282</v>
      </c>
      <c r="V30" s="12">
        <f t="shared" si="7"/>
        <v>0.94618671209990024</v>
      </c>
      <c r="W30" s="16">
        <v>154416</v>
      </c>
      <c r="X30" s="10">
        <v>103700</v>
      </c>
      <c r="Y30" s="10">
        <f t="shared" si="8"/>
        <v>43107</v>
      </c>
      <c r="Z30" s="20">
        <v>146807</v>
      </c>
      <c r="AA30" s="12">
        <f t="shared" si="9"/>
        <v>0.95072401823645214</v>
      </c>
      <c r="AB30" s="17">
        <v>259264</v>
      </c>
      <c r="AC30" s="10">
        <v>188167</v>
      </c>
      <c r="AD30" s="10">
        <f t="shared" si="10"/>
        <v>60274</v>
      </c>
      <c r="AE30" s="11">
        <v>248441</v>
      </c>
      <c r="AF30" s="12">
        <f t="shared" si="11"/>
        <v>0.95825490619600096</v>
      </c>
      <c r="AG30" s="16">
        <v>153178</v>
      </c>
      <c r="AH30" s="10">
        <v>108804</v>
      </c>
      <c r="AI30" s="10">
        <f t="shared" si="12"/>
        <v>35794</v>
      </c>
      <c r="AJ30" s="20">
        <v>144598</v>
      </c>
      <c r="AK30" s="12">
        <f t="shared" si="13"/>
        <v>0.94398673438744463</v>
      </c>
      <c r="AL30" s="18">
        <v>156106</v>
      </c>
      <c r="AM30" s="11">
        <v>110696</v>
      </c>
      <c r="AN30" s="10">
        <f t="shared" si="14"/>
        <v>37174</v>
      </c>
      <c r="AO30" s="11">
        <v>147870</v>
      </c>
      <c r="AP30" s="12">
        <f t="shared" si="15"/>
        <v>0.9472409772846655</v>
      </c>
      <c r="AQ30" s="11">
        <v>266513</v>
      </c>
      <c r="AR30" s="11">
        <v>198120</v>
      </c>
      <c r="AS30" s="10">
        <f t="shared" si="16"/>
        <v>56621</v>
      </c>
      <c r="AT30" s="13">
        <v>254741</v>
      </c>
      <c r="AU30" s="12">
        <f t="shared" si="17"/>
        <v>0.95582954677632981</v>
      </c>
      <c r="AV30" s="18">
        <v>155103</v>
      </c>
      <c r="AW30" s="11">
        <v>109017</v>
      </c>
      <c r="AX30" s="10">
        <f t="shared" si="18"/>
        <v>39203</v>
      </c>
      <c r="AY30" s="20">
        <v>148220</v>
      </c>
      <c r="AZ30" s="12">
        <f t="shared" si="19"/>
        <v>0.95562303759437273</v>
      </c>
      <c r="BA30" s="18">
        <v>156855</v>
      </c>
      <c r="BB30" s="11">
        <v>108930</v>
      </c>
      <c r="BC30" s="10">
        <f t="shared" si="20"/>
        <v>41864</v>
      </c>
      <c r="BD30" s="20">
        <v>150794</v>
      </c>
      <c r="BE30" s="12">
        <f t="shared" si="21"/>
        <v>0.96135921711134487</v>
      </c>
      <c r="BF30" s="18">
        <v>270589</v>
      </c>
      <c r="BG30" s="11">
        <v>186215</v>
      </c>
      <c r="BH30" s="10">
        <f t="shared" si="22"/>
        <v>73590</v>
      </c>
      <c r="BI30" s="11">
        <v>259805</v>
      </c>
      <c r="BJ30" s="12">
        <f t="shared" si="23"/>
        <v>0.96014619958682723</v>
      </c>
      <c r="BK30" s="24"/>
      <c r="BL30" s="24"/>
    </row>
    <row r="31" spans="1:64" x14ac:dyDescent="0.3">
      <c r="A31" s="22">
        <v>22</v>
      </c>
      <c r="B31" s="3" t="s">
        <v>28</v>
      </c>
      <c r="C31" s="15">
        <v>71837</v>
      </c>
      <c r="D31" s="10">
        <v>11893</v>
      </c>
      <c r="E31" s="10">
        <f t="shared" si="0"/>
        <v>57273</v>
      </c>
      <c r="F31" s="20">
        <v>69166</v>
      </c>
      <c r="G31" s="12">
        <f t="shared" si="1"/>
        <v>0.96281860322674939</v>
      </c>
      <c r="H31" s="15">
        <v>72505</v>
      </c>
      <c r="I31" s="10">
        <v>16369</v>
      </c>
      <c r="J31" s="10">
        <f t="shared" si="2"/>
        <v>52860</v>
      </c>
      <c r="K31" s="20">
        <v>69229</v>
      </c>
      <c r="L31" s="12">
        <f t="shared" si="3"/>
        <v>0.95481690917867734</v>
      </c>
      <c r="M31" s="16">
        <v>118891</v>
      </c>
      <c r="N31" s="10">
        <v>63999</v>
      </c>
      <c r="O31" s="10">
        <f t="shared" si="4"/>
        <v>51371</v>
      </c>
      <c r="P31" s="13">
        <v>115370</v>
      </c>
      <c r="Q31" s="12">
        <f t="shared" si="5"/>
        <v>0.97038463802979202</v>
      </c>
      <c r="R31" s="16">
        <v>72813</v>
      </c>
      <c r="S31" s="10">
        <v>42853</v>
      </c>
      <c r="T31" s="10">
        <f t="shared" si="6"/>
        <v>26573</v>
      </c>
      <c r="U31" s="20">
        <v>69426</v>
      </c>
      <c r="V31" s="12">
        <f t="shared" si="7"/>
        <v>0.95348358122862675</v>
      </c>
      <c r="W31" s="16">
        <v>74776</v>
      </c>
      <c r="X31" s="10">
        <v>44857</v>
      </c>
      <c r="Y31" s="10">
        <f t="shared" si="8"/>
        <v>26361</v>
      </c>
      <c r="Z31" s="20">
        <v>71218</v>
      </c>
      <c r="AA31" s="12">
        <f t="shared" si="9"/>
        <v>0.9524178880924361</v>
      </c>
      <c r="AB31" s="17">
        <v>124489</v>
      </c>
      <c r="AC31" s="10">
        <v>84185</v>
      </c>
      <c r="AD31" s="10">
        <f t="shared" si="10"/>
        <v>35714</v>
      </c>
      <c r="AE31" s="11">
        <v>119899</v>
      </c>
      <c r="AF31" s="12">
        <f t="shared" si="11"/>
        <v>0.96312927246584035</v>
      </c>
      <c r="AG31" s="16">
        <v>73552</v>
      </c>
      <c r="AH31" s="10">
        <v>46942</v>
      </c>
      <c r="AI31" s="10">
        <f t="shared" si="12"/>
        <v>22348</v>
      </c>
      <c r="AJ31" s="20">
        <v>69290</v>
      </c>
      <c r="AK31" s="12">
        <f t="shared" si="13"/>
        <v>0.94205460082662607</v>
      </c>
      <c r="AL31" s="18">
        <v>74464</v>
      </c>
      <c r="AM31" s="11">
        <v>47097</v>
      </c>
      <c r="AN31" s="10">
        <f t="shared" si="14"/>
        <v>23178</v>
      </c>
      <c r="AO31" s="11">
        <v>70275</v>
      </c>
      <c r="AP31" s="12">
        <f t="shared" si="15"/>
        <v>0.94374462827675121</v>
      </c>
      <c r="AQ31" s="11">
        <v>126646</v>
      </c>
      <c r="AR31" s="11">
        <v>87889</v>
      </c>
      <c r="AS31" s="10">
        <f t="shared" si="16"/>
        <v>34479</v>
      </c>
      <c r="AT31" s="13">
        <v>122368</v>
      </c>
      <c r="AU31" s="12">
        <f t="shared" si="17"/>
        <v>0.96622080444704139</v>
      </c>
      <c r="AV31" s="18">
        <v>72827</v>
      </c>
      <c r="AW31" s="11">
        <v>47034</v>
      </c>
      <c r="AX31" s="10">
        <f t="shared" si="18"/>
        <v>22807</v>
      </c>
      <c r="AY31" s="20">
        <v>69841</v>
      </c>
      <c r="AZ31" s="12">
        <f t="shared" si="19"/>
        <v>0.9589987230010848</v>
      </c>
      <c r="BA31" s="18">
        <v>73978</v>
      </c>
      <c r="BB31" s="11">
        <v>46293</v>
      </c>
      <c r="BC31" s="10">
        <f t="shared" si="20"/>
        <v>25490</v>
      </c>
      <c r="BD31" s="20">
        <v>71783</v>
      </c>
      <c r="BE31" s="12">
        <f t="shared" si="21"/>
        <v>0.97032901673470495</v>
      </c>
      <c r="BF31" s="18">
        <v>129555</v>
      </c>
      <c r="BG31" s="11">
        <v>76761</v>
      </c>
      <c r="BH31" s="10">
        <f t="shared" si="22"/>
        <v>48856</v>
      </c>
      <c r="BI31" s="11">
        <v>125617</v>
      </c>
      <c r="BJ31" s="12">
        <f t="shared" si="23"/>
        <v>0.96960364324032267</v>
      </c>
      <c r="BK31" s="24"/>
      <c r="BL31" s="24"/>
    </row>
    <row r="32" spans="1:64" x14ac:dyDescent="0.3">
      <c r="A32" s="22">
        <v>23</v>
      </c>
      <c r="B32" s="3" t="s">
        <v>29</v>
      </c>
      <c r="C32" s="15">
        <v>185661</v>
      </c>
      <c r="D32" s="10">
        <v>30209</v>
      </c>
      <c r="E32" s="10">
        <f t="shared" si="0"/>
        <v>153245</v>
      </c>
      <c r="F32" s="20">
        <v>183454</v>
      </c>
      <c r="G32" s="12">
        <f t="shared" si="1"/>
        <v>0.98811274311783304</v>
      </c>
      <c r="H32" s="15">
        <v>186389</v>
      </c>
      <c r="I32" s="10">
        <v>45637</v>
      </c>
      <c r="J32" s="10">
        <f t="shared" si="2"/>
        <v>138218</v>
      </c>
      <c r="K32" s="20">
        <v>183855</v>
      </c>
      <c r="L32" s="12">
        <f t="shared" si="3"/>
        <v>0.9864047771059451</v>
      </c>
      <c r="M32" s="16">
        <v>382231</v>
      </c>
      <c r="N32" s="10">
        <v>250560</v>
      </c>
      <c r="O32" s="10">
        <f t="shared" si="4"/>
        <v>127451</v>
      </c>
      <c r="P32" s="13">
        <v>378011</v>
      </c>
      <c r="Q32" s="12">
        <f t="shared" si="5"/>
        <v>0.98895955587066464</v>
      </c>
      <c r="R32" s="16">
        <v>184231</v>
      </c>
      <c r="S32" s="10">
        <v>126062</v>
      </c>
      <c r="T32" s="10">
        <f t="shared" si="6"/>
        <v>54044</v>
      </c>
      <c r="U32" s="20">
        <v>180106</v>
      </c>
      <c r="V32" s="12">
        <f t="shared" si="7"/>
        <v>0.977609631386683</v>
      </c>
      <c r="W32" s="16">
        <v>187639</v>
      </c>
      <c r="X32" s="10">
        <v>130913</v>
      </c>
      <c r="Y32" s="10">
        <f t="shared" si="8"/>
        <v>54035</v>
      </c>
      <c r="Z32" s="20">
        <v>184948</v>
      </c>
      <c r="AA32" s="12">
        <f t="shared" si="9"/>
        <v>0.98565863173434098</v>
      </c>
      <c r="AB32" s="17">
        <v>392348</v>
      </c>
      <c r="AC32" s="10">
        <v>299565</v>
      </c>
      <c r="AD32" s="10">
        <f t="shared" si="10"/>
        <v>88203</v>
      </c>
      <c r="AE32" s="11">
        <v>387768</v>
      </c>
      <c r="AF32" s="12">
        <f t="shared" si="11"/>
        <v>0.98832668957150283</v>
      </c>
      <c r="AG32" s="16">
        <v>183147</v>
      </c>
      <c r="AH32" s="10">
        <v>135538</v>
      </c>
      <c r="AI32" s="10">
        <f t="shared" si="12"/>
        <v>45246</v>
      </c>
      <c r="AJ32" s="20">
        <v>180784</v>
      </c>
      <c r="AK32" s="12">
        <f t="shared" si="13"/>
        <v>0.98709779575969026</v>
      </c>
      <c r="AL32" s="18">
        <v>187303</v>
      </c>
      <c r="AM32" s="11">
        <v>139226</v>
      </c>
      <c r="AN32" s="10">
        <f t="shared" si="14"/>
        <v>45271</v>
      </c>
      <c r="AO32" s="11">
        <v>184497</v>
      </c>
      <c r="AP32" s="12">
        <f t="shared" si="15"/>
        <v>0.98501892655216416</v>
      </c>
      <c r="AQ32" s="11">
        <v>402574</v>
      </c>
      <c r="AR32" s="11">
        <v>313468</v>
      </c>
      <c r="AS32" s="10">
        <f t="shared" si="16"/>
        <v>82535</v>
      </c>
      <c r="AT32" s="13">
        <v>396003</v>
      </c>
      <c r="AU32" s="12">
        <f t="shared" si="17"/>
        <v>0.98367753506187683</v>
      </c>
      <c r="AV32" s="18">
        <v>187080</v>
      </c>
      <c r="AW32" s="11">
        <v>139372</v>
      </c>
      <c r="AX32" s="10">
        <f t="shared" si="18"/>
        <v>44447</v>
      </c>
      <c r="AY32" s="20">
        <v>183819</v>
      </c>
      <c r="AZ32" s="12">
        <f t="shared" si="19"/>
        <v>0.98256895445798587</v>
      </c>
      <c r="BA32" s="18">
        <v>189893</v>
      </c>
      <c r="BB32" s="11">
        <v>138724</v>
      </c>
      <c r="BC32" s="10">
        <f t="shared" si="20"/>
        <v>49711</v>
      </c>
      <c r="BD32" s="20">
        <v>188435</v>
      </c>
      <c r="BE32" s="12">
        <f t="shared" si="21"/>
        <v>0.99232199185857295</v>
      </c>
      <c r="BF32" s="18">
        <v>410654</v>
      </c>
      <c r="BG32" s="11">
        <v>279657</v>
      </c>
      <c r="BH32" s="10">
        <f t="shared" si="22"/>
        <v>124579</v>
      </c>
      <c r="BI32" s="11">
        <v>404236</v>
      </c>
      <c r="BJ32" s="12">
        <f t="shared" si="23"/>
        <v>0.98437127119180623</v>
      </c>
      <c r="BK32" s="24"/>
      <c r="BL32" s="24"/>
    </row>
    <row r="33" spans="1:64" x14ac:dyDescent="0.3">
      <c r="A33" s="22">
        <v>24</v>
      </c>
      <c r="B33" s="3" t="s">
        <v>30</v>
      </c>
      <c r="C33" s="15">
        <v>554520</v>
      </c>
      <c r="D33" s="10">
        <v>126315</v>
      </c>
      <c r="E33" s="10">
        <f t="shared" si="0"/>
        <v>412435</v>
      </c>
      <c r="F33" s="20">
        <v>538750</v>
      </c>
      <c r="G33" s="12">
        <f t="shared" si="1"/>
        <v>0.97156098968477245</v>
      </c>
      <c r="H33" s="15">
        <v>558618</v>
      </c>
      <c r="I33" s="10">
        <v>153200</v>
      </c>
      <c r="J33" s="10">
        <f t="shared" si="2"/>
        <v>390448</v>
      </c>
      <c r="K33" s="20">
        <v>543648</v>
      </c>
      <c r="L33" s="12">
        <f t="shared" si="3"/>
        <v>0.9732017228231099</v>
      </c>
      <c r="M33" s="16">
        <v>943614</v>
      </c>
      <c r="N33" s="10">
        <v>708019</v>
      </c>
      <c r="O33" s="10">
        <f t="shared" si="4"/>
        <v>222023</v>
      </c>
      <c r="P33" s="13">
        <v>930042</v>
      </c>
      <c r="Q33" s="12">
        <f t="shared" si="5"/>
        <v>0.98561700017168041</v>
      </c>
      <c r="R33" s="16">
        <v>563773</v>
      </c>
      <c r="S33" s="10">
        <v>448580</v>
      </c>
      <c r="T33" s="10">
        <f t="shared" si="6"/>
        <v>103843</v>
      </c>
      <c r="U33" s="20">
        <v>552423</v>
      </c>
      <c r="V33" s="12">
        <f t="shared" si="7"/>
        <v>0.97986778366470195</v>
      </c>
      <c r="W33" s="16">
        <v>571583</v>
      </c>
      <c r="X33" s="10">
        <v>447744</v>
      </c>
      <c r="Y33" s="10">
        <f t="shared" si="8"/>
        <v>110954</v>
      </c>
      <c r="Z33" s="20">
        <v>558698</v>
      </c>
      <c r="AA33" s="12">
        <f t="shared" si="9"/>
        <v>0.97745734215328306</v>
      </c>
      <c r="AB33" s="17">
        <v>961057</v>
      </c>
      <c r="AC33" s="10">
        <v>795689</v>
      </c>
      <c r="AD33" s="10">
        <f t="shared" si="10"/>
        <v>149479</v>
      </c>
      <c r="AE33" s="11">
        <v>945168</v>
      </c>
      <c r="AF33" s="12">
        <f t="shared" si="11"/>
        <v>0.98346716167719506</v>
      </c>
      <c r="AG33" s="16">
        <v>565645</v>
      </c>
      <c r="AH33" s="10">
        <v>456780</v>
      </c>
      <c r="AI33" s="10">
        <f t="shared" si="12"/>
        <v>97880</v>
      </c>
      <c r="AJ33" s="20">
        <v>554660</v>
      </c>
      <c r="AK33" s="12">
        <f t="shared" si="13"/>
        <v>0.98057969220977825</v>
      </c>
      <c r="AL33" s="18">
        <v>569536</v>
      </c>
      <c r="AM33" s="11">
        <v>465895</v>
      </c>
      <c r="AN33" s="10">
        <f t="shared" si="14"/>
        <v>93729</v>
      </c>
      <c r="AO33" s="11">
        <v>559624</v>
      </c>
      <c r="AP33" s="12">
        <f t="shared" si="15"/>
        <v>0.98259635914147658</v>
      </c>
      <c r="AQ33" s="11">
        <v>971221</v>
      </c>
      <c r="AR33" s="11">
        <v>801500</v>
      </c>
      <c r="AS33" s="10">
        <f t="shared" si="16"/>
        <v>154795</v>
      </c>
      <c r="AT33" s="13">
        <v>956295</v>
      </c>
      <c r="AU33" s="12">
        <f t="shared" si="17"/>
        <v>0.98463171615934997</v>
      </c>
      <c r="AV33" s="18">
        <v>571074</v>
      </c>
      <c r="AW33" s="11">
        <v>471193</v>
      </c>
      <c r="AX33" s="10">
        <f t="shared" si="18"/>
        <v>92999</v>
      </c>
      <c r="AY33" s="20">
        <v>564192</v>
      </c>
      <c r="AZ33" s="12">
        <f t="shared" si="19"/>
        <v>0.98794902236837956</v>
      </c>
      <c r="BA33" s="18">
        <v>575700</v>
      </c>
      <c r="BB33" s="11">
        <v>476906</v>
      </c>
      <c r="BC33" s="10">
        <f t="shared" si="20"/>
        <v>96947</v>
      </c>
      <c r="BD33" s="20">
        <v>573853</v>
      </c>
      <c r="BE33" s="12">
        <f t="shared" si="21"/>
        <v>0.99679173180475944</v>
      </c>
      <c r="BF33" s="18">
        <v>986775</v>
      </c>
      <c r="BG33" s="11">
        <v>804764</v>
      </c>
      <c r="BH33" s="10">
        <f t="shared" si="22"/>
        <v>171034</v>
      </c>
      <c r="BI33" s="11">
        <v>975798</v>
      </c>
      <c r="BJ33" s="12">
        <f t="shared" si="23"/>
        <v>0.98887588356008205</v>
      </c>
      <c r="BK33" s="24"/>
      <c r="BL33" s="24"/>
    </row>
    <row r="34" spans="1:64" x14ac:dyDescent="0.3">
      <c r="A34" s="22">
        <v>25</v>
      </c>
      <c r="B34" s="3" t="s">
        <v>31</v>
      </c>
      <c r="C34" s="15" t="s">
        <v>47</v>
      </c>
      <c r="D34" s="15" t="s">
        <v>47</v>
      </c>
      <c r="E34" s="15" t="s">
        <v>47</v>
      </c>
      <c r="F34" s="15">
        <v>1</v>
      </c>
      <c r="G34" s="15" t="s">
        <v>47</v>
      </c>
      <c r="H34" s="15" t="s">
        <v>47</v>
      </c>
      <c r="I34" s="15" t="s">
        <v>47</v>
      </c>
      <c r="J34" s="15" t="s">
        <v>47</v>
      </c>
      <c r="K34" s="15">
        <v>1</v>
      </c>
      <c r="L34" s="15" t="s">
        <v>47</v>
      </c>
      <c r="M34" s="15" t="s">
        <v>47</v>
      </c>
      <c r="N34" s="15" t="s">
        <v>47</v>
      </c>
      <c r="O34" s="15" t="s">
        <v>47</v>
      </c>
      <c r="P34" s="15">
        <v>1</v>
      </c>
      <c r="Q34" s="15" t="s">
        <v>47</v>
      </c>
      <c r="R34" s="15" t="s">
        <v>47</v>
      </c>
      <c r="S34" s="15" t="s">
        <v>47</v>
      </c>
      <c r="T34" s="15" t="s">
        <v>47</v>
      </c>
      <c r="U34" s="15">
        <v>1</v>
      </c>
      <c r="V34" s="15" t="s">
        <v>47</v>
      </c>
      <c r="W34" s="15" t="s">
        <v>47</v>
      </c>
      <c r="X34" s="15" t="s">
        <v>47</v>
      </c>
      <c r="Y34" s="15" t="s">
        <v>47</v>
      </c>
      <c r="Z34" s="15">
        <v>1</v>
      </c>
      <c r="AA34" s="15" t="s">
        <v>47</v>
      </c>
      <c r="AB34" s="15" t="s">
        <v>47</v>
      </c>
      <c r="AC34" s="15" t="s">
        <v>47</v>
      </c>
      <c r="AD34" s="15" t="s">
        <v>47</v>
      </c>
      <c r="AE34" s="11">
        <v>0</v>
      </c>
      <c r="AF34" s="15" t="s">
        <v>47</v>
      </c>
      <c r="AG34" s="15" t="s">
        <v>47</v>
      </c>
      <c r="AH34" s="15" t="s">
        <v>47</v>
      </c>
      <c r="AI34" s="15" t="s">
        <v>47</v>
      </c>
      <c r="AJ34" s="15">
        <v>0</v>
      </c>
      <c r="AK34" s="15" t="s">
        <v>47</v>
      </c>
      <c r="AL34" s="15" t="s">
        <v>47</v>
      </c>
      <c r="AM34" s="15" t="s">
        <v>47</v>
      </c>
      <c r="AN34" s="15" t="s">
        <v>47</v>
      </c>
      <c r="AO34" s="11">
        <v>0</v>
      </c>
      <c r="AP34" s="15" t="s">
        <v>47</v>
      </c>
      <c r="AQ34" s="15" t="s">
        <v>47</v>
      </c>
      <c r="AR34" s="15" t="s">
        <v>47</v>
      </c>
      <c r="AS34" s="15" t="s">
        <v>47</v>
      </c>
      <c r="AT34" s="15">
        <v>0</v>
      </c>
      <c r="AU34" s="15" t="s">
        <v>47</v>
      </c>
      <c r="AV34" s="15" t="s">
        <v>47</v>
      </c>
      <c r="AW34" s="15" t="s">
        <v>47</v>
      </c>
      <c r="AX34" s="15" t="s">
        <v>47</v>
      </c>
      <c r="AY34" s="15">
        <v>0</v>
      </c>
      <c r="AZ34" s="15" t="s">
        <v>47</v>
      </c>
      <c r="BA34" s="15" t="s">
        <v>47</v>
      </c>
      <c r="BB34" s="15" t="s">
        <v>47</v>
      </c>
      <c r="BC34" s="15" t="s">
        <v>47</v>
      </c>
      <c r="BD34" s="15">
        <v>0</v>
      </c>
      <c r="BE34" s="15" t="s">
        <v>47</v>
      </c>
      <c r="BF34" s="15" t="s">
        <v>47</v>
      </c>
      <c r="BG34" s="15" t="s">
        <v>47</v>
      </c>
      <c r="BH34" s="15" t="s">
        <v>47</v>
      </c>
      <c r="BI34" s="11">
        <v>0</v>
      </c>
      <c r="BJ34" s="15" t="s">
        <v>47</v>
      </c>
      <c r="BK34" s="24"/>
      <c r="BL34" s="24"/>
    </row>
    <row r="35" spans="1:64" x14ac:dyDescent="0.3">
      <c r="A35" s="22">
        <v>26</v>
      </c>
      <c r="B35" s="3" t="s">
        <v>32</v>
      </c>
      <c r="C35" s="15">
        <v>11035</v>
      </c>
      <c r="D35" s="10">
        <v>3169</v>
      </c>
      <c r="E35" s="10">
        <f t="shared" si="0"/>
        <v>7352</v>
      </c>
      <c r="F35" s="20">
        <v>10521</v>
      </c>
      <c r="G35" s="12">
        <f t="shared" si="1"/>
        <v>0.95342093339374712</v>
      </c>
      <c r="H35" s="15">
        <v>10929</v>
      </c>
      <c r="I35" s="10">
        <v>3452</v>
      </c>
      <c r="J35" s="10">
        <f t="shared" si="2"/>
        <v>7056</v>
      </c>
      <c r="K35" s="20">
        <v>10508</v>
      </c>
      <c r="L35" s="12">
        <f t="shared" si="3"/>
        <v>0.96147863482477813</v>
      </c>
      <c r="M35" s="16">
        <v>13837</v>
      </c>
      <c r="N35" s="10">
        <v>8518</v>
      </c>
      <c r="O35" s="10">
        <f t="shared" si="4"/>
        <v>4916</v>
      </c>
      <c r="P35" s="13">
        <v>13434</v>
      </c>
      <c r="Q35" s="12">
        <f t="shared" si="5"/>
        <v>0.97087518970875186</v>
      </c>
      <c r="R35" s="16">
        <v>11094</v>
      </c>
      <c r="S35" s="10">
        <v>7766</v>
      </c>
      <c r="T35" s="10">
        <f t="shared" si="6"/>
        <v>2866</v>
      </c>
      <c r="U35" s="20">
        <v>10632</v>
      </c>
      <c r="V35" s="12">
        <f t="shared" si="7"/>
        <v>0.95835586803677664</v>
      </c>
      <c r="W35" s="16">
        <v>11128</v>
      </c>
      <c r="X35" s="10">
        <v>7575</v>
      </c>
      <c r="Y35" s="10">
        <f t="shared" si="8"/>
        <v>3103</v>
      </c>
      <c r="Z35" s="20">
        <v>10678</v>
      </c>
      <c r="AA35" s="12">
        <f t="shared" si="9"/>
        <v>0.95956146657081232</v>
      </c>
      <c r="AB35" s="17">
        <v>14078</v>
      </c>
      <c r="AC35" s="10">
        <v>10079</v>
      </c>
      <c r="AD35" s="10">
        <f t="shared" si="10"/>
        <v>3500</v>
      </c>
      <c r="AE35" s="11">
        <v>13579</v>
      </c>
      <c r="AF35" s="12">
        <f t="shared" si="11"/>
        <v>0.96455462423639726</v>
      </c>
      <c r="AG35" s="16">
        <v>11277</v>
      </c>
      <c r="AH35" s="10">
        <v>8103</v>
      </c>
      <c r="AI35" s="10">
        <f t="shared" si="12"/>
        <v>2668</v>
      </c>
      <c r="AJ35" s="20">
        <v>10771</v>
      </c>
      <c r="AK35" s="12">
        <f t="shared" si="13"/>
        <v>0.95512991043717299</v>
      </c>
      <c r="AL35" s="18">
        <v>11345</v>
      </c>
      <c r="AM35" s="11">
        <v>8182</v>
      </c>
      <c r="AN35" s="10">
        <f t="shared" si="14"/>
        <v>2669</v>
      </c>
      <c r="AO35" s="11">
        <v>10851</v>
      </c>
      <c r="AP35" s="12">
        <f t="shared" si="15"/>
        <v>0.95645658880564122</v>
      </c>
      <c r="AQ35" s="11">
        <v>14313</v>
      </c>
      <c r="AR35" s="11">
        <v>10611</v>
      </c>
      <c r="AS35" s="10">
        <f t="shared" si="16"/>
        <v>3210</v>
      </c>
      <c r="AT35" s="13">
        <v>13821</v>
      </c>
      <c r="AU35" s="12">
        <f t="shared" si="17"/>
        <v>0.96562565499895203</v>
      </c>
      <c r="AV35" s="18">
        <v>11396</v>
      </c>
      <c r="AW35" s="11">
        <v>8375</v>
      </c>
      <c r="AX35" s="10">
        <f t="shared" si="18"/>
        <v>2587</v>
      </c>
      <c r="AY35" s="20">
        <v>10962</v>
      </c>
      <c r="AZ35" s="12">
        <f t="shared" si="19"/>
        <v>0.96191646191646196</v>
      </c>
      <c r="BA35" s="18">
        <v>11511</v>
      </c>
      <c r="BB35" s="11">
        <v>8549</v>
      </c>
      <c r="BC35" s="10">
        <f t="shared" si="20"/>
        <v>2551</v>
      </c>
      <c r="BD35" s="20">
        <v>11100</v>
      </c>
      <c r="BE35" s="12">
        <f t="shared" si="21"/>
        <v>0.96429502215272345</v>
      </c>
      <c r="BF35" s="18">
        <v>14581</v>
      </c>
      <c r="BG35" s="11">
        <v>10675</v>
      </c>
      <c r="BH35" s="10">
        <f t="shared" ref="BH35:BH48" si="24">BI35-BG35</f>
        <v>3369</v>
      </c>
      <c r="BI35" s="11">
        <v>14044</v>
      </c>
      <c r="BJ35" s="12">
        <f t="shared" ref="BJ35:BJ48" si="25">BI35/BF35</f>
        <v>0.96317125025718398</v>
      </c>
      <c r="BK35" s="24"/>
      <c r="BL35" s="24"/>
    </row>
    <row r="36" spans="1:64" x14ac:dyDescent="0.3">
      <c r="A36" s="22">
        <v>27</v>
      </c>
      <c r="B36" s="3" t="s">
        <v>33</v>
      </c>
      <c r="C36" s="15">
        <v>747626</v>
      </c>
      <c r="D36" s="10">
        <v>175007</v>
      </c>
      <c r="E36" s="10">
        <f t="shared" si="0"/>
        <v>551050</v>
      </c>
      <c r="F36" s="20">
        <v>726057</v>
      </c>
      <c r="G36" s="12">
        <f t="shared" si="1"/>
        <v>0.97115001350942853</v>
      </c>
      <c r="H36" s="15">
        <v>754952</v>
      </c>
      <c r="I36" s="10">
        <v>186350</v>
      </c>
      <c r="J36" s="10">
        <f t="shared" si="2"/>
        <v>545534</v>
      </c>
      <c r="K36" s="20">
        <v>731884</v>
      </c>
      <c r="L36" s="12">
        <f t="shared" si="3"/>
        <v>0.96944441500916612</v>
      </c>
      <c r="M36" s="16">
        <v>1378095</v>
      </c>
      <c r="N36" s="10">
        <v>853111</v>
      </c>
      <c r="O36" s="10">
        <f t="shared" si="4"/>
        <v>493436</v>
      </c>
      <c r="P36" s="13">
        <v>1346547</v>
      </c>
      <c r="Q36" s="12">
        <f t="shared" si="5"/>
        <v>0.97710752887137675</v>
      </c>
      <c r="R36" s="16">
        <v>758000</v>
      </c>
      <c r="S36" s="10">
        <v>501172</v>
      </c>
      <c r="T36" s="10">
        <f t="shared" si="6"/>
        <v>231296</v>
      </c>
      <c r="U36" s="20">
        <v>732468</v>
      </c>
      <c r="V36" s="12">
        <f t="shared" si="7"/>
        <v>0.96631662269129293</v>
      </c>
      <c r="W36" s="16">
        <v>766789</v>
      </c>
      <c r="X36" s="10">
        <v>502998</v>
      </c>
      <c r="Y36" s="10">
        <f t="shared" si="8"/>
        <v>245536</v>
      </c>
      <c r="Z36" s="20">
        <v>748534</v>
      </c>
      <c r="AA36" s="12">
        <f t="shared" si="9"/>
        <v>0.97619292921520784</v>
      </c>
      <c r="AB36" s="17">
        <v>1410553</v>
      </c>
      <c r="AC36" s="10">
        <v>1033677</v>
      </c>
      <c r="AD36" s="10">
        <f t="shared" si="10"/>
        <v>344786</v>
      </c>
      <c r="AE36" s="11">
        <v>1378463</v>
      </c>
      <c r="AF36" s="12">
        <f t="shared" si="11"/>
        <v>0.97725005724705138</v>
      </c>
      <c r="AG36" s="16">
        <v>767229</v>
      </c>
      <c r="AH36" s="10">
        <v>541818</v>
      </c>
      <c r="AI36" s="10">
        <f t="shared" si="12"/>
        <v>202696</v>
      </c>
      <c r="AJ36" s="20">
        <v>744514</v>
      </c>
      <c r="AK36" s="12">
        <f t="shared" si="13"/>
        <v>0.97039345488765416</v>
      </c>
      <c r="AL36" s="18">
        <v>779513</v>
      </c>
      <c r="AM36" s="11">
        <v>550598</v>
      </c>
      <c r="AN36" s="10">
        <f t="shared" si="14"/>
        <v>205103</v>
      </c>
      <c r="AO36" s="11">
        <v>755701</v>
      </c>
      <c r="AP36" s="12">
        <f t="shared" si="15"/>
        <v>0.96945272240488611</v>
      </c>
      <c r="AQ36" s="11">
        <v>1443943</v>
      </c>
      <c r="AR36" s="11">
        <v>1078746</v>
      </c>
      <c r="AS36" s="10">
        <f t="shared" si="16"/>
        <v>324132</v>
      </c>
      <c r="AT36" s="13">
        <v>1402878</v>
      </c>
      <c r="AU36" s="12">
        <f t="shared" si="17"/>
        <v>0.97156051173765168</v>
      </c>
      <c r="AV36" s="18">
        <v>783108</v>
      </c>
      <c r="AW36" s="11">
        <v>550597</v>
      </c>
      <c r="AX36" s="10">
        <f t="shared" si="18"/>
        <v>207941</v>
      </c>
      <c r="AY36" s="20">
        <v>758538</v>
      </c>
      <c r="AZ36" s="12">
        <f t="shared" si="19"/>
        <v>0.96862501723900152</v>
      </c>
      <c r="BA36" s="18">
        <v>793830</v>
      </c>
      <c r="BB36" s="11">
        <v>565863</v>
      </c>
      <c r="BC36" s="10">
        <f t="shared" si="20"/>
        <v>206317</v>
      </c>
      <c r="BD36" s="20">
        <v>772180</v>
      </c>
      <c r="BE36" s="12">
        <f t="shared" si="21"/>
        <v>0.97272715820767675</v>
      </c>
      <c r="BF36" s="18">
        <v>1468416</v>
      </c>
      <c r="BG36" s="11">
        <v>1042666</v>
      </c>
      <c r="BH36" s="10">
        <f t="shared" si="24"/>
        <v>383735</v>
      </c>
      <c r="BI36" s="11">
        <v>1426401</v>
      </c>
      <c r="BJ36" s="12">
        <f t="shared" si="25"/>
        <v>0.97138753595711302</v>
      </c>
      <c r="BK36" s="24"/>
      <c r="BL36" s="24"/>
    </row>
    <row r="37" spans="1:64" x14ac:dyDescent="0.3">
      <c r="A37" s="22">
        <v>29</v>
      </c>
      <c r="B37" s="3" t="s">
        <v>34</v>
      </c>
      <c r="C37" s="15">
        <v>592417</v>
      </c>
      <c r="D37" s="10">
        <v>88083</v>
      </c>
      <c r="E37" s="10">
        <f t="shared" si="0"/>
        <v>478356</v>
      </c>
      <c r="F37" s="20">
        <v>566439</v>
      </c>
      <c r="G37" s="12">
        <f t="shared" si="1"/>
        <v>0.95614913143950964</v>
      </c>
      <c r="H37" s="15">
        <v>593173</v>
      </c>
      <c r="I37" s="10">
        <v>106801</v>
      </c>
      <c r="J37" s="10">
        <f t="shared" si="2"/>
        <v>459860</v>
      </c>
      <c r="K37" s="20">
        <v>566661</v>
      </c>
      <c r="L37" s="12">
        <f t="shared" si="3"/>
        <v>0.95530477617828191</v>
      </c>
      <c r="M37" s="16">
        <v>768378</v>
      </c>
      <c r="N37" s="10">
        <v>470743</v>
      </c>
      <c r="O37" s="10">
        <f t="shared" si="4"/>
        <v>267458</v>
      </c>
      <c r="P37" s="13">
        <v>738201</v>
      </c>
      <c r="Q37" s="12">
        <f t="shared" si="5"/>
        <v>0.96072636124407518</v>
      </c>
      <c r="R37" s="16">
        <v>601605</v>
      </c>
      <c r="S37" s="10">
        <v>429186</v>
      </c>
      <c r="T37" s="10">
        <f t="shared" si="6"/>
        <v>144752</v>
      </c>
      <c r="U37" s="20">
        <v>573938</v>
      </c>
      <c r="V37" s="12">
        <f t="shared" si="7"/>
        <v>0.95401135296415418</v>
      </c>
      <c r="W37" s="16">
        <v>609453</v>
      </c>
      <c r="X37" s="10">
        <v>440736</v>
      </c>
      <c r="Y37" s="10">
        <f t="shared" si="8"/>
        <v>142435</v>
      </c>
      <c r="Z37" s="20">
        <v>583171</v>
      </c>
      <c r="AA37" s="12">
        <f t="shared" si="9"/>
        <v>0.95687608396381674</v>
      </c>
      <c r="AB37" s="17">
        <v>790568</v>
      </c>
      <c r="AC37" s="10">
        <v>586932</v>
      </c>
      <c r="AD37" s="10">
        <f t="shared" si="10"/>
        <v>172687</v>
      </c>
      <c r="AE37" s="11">
        <v>759619</v>
      </c>
      <c r="AF37" s="12">
        <f t="shared" si="11"/>
        <v>0.96085219740743366</v>
      </c>
      <c r="AG37" s="16">
        <v>617773</v>
      </c>
      <c r="AH37" s="10">
        <v>471802</v>
      </c>
      <c r="AI37" s="10">
        <f t="shared" si="12"/>
        <v>117963</v>
      </c>
      <c r="AJ37" s="20">
        <v>589765</v>
      </c>
      <c r="AK37" s="12">
        <f t="shared" si="13"/>
        <v>0.95466295872432105</v>
      </c>
      <c r="AL37" s="18">
        <v>624724</v>
      </c>
      <c r="AM37" s="11">
        <v>474089</v>
      </c>
      <c r="AN37" s="10">
        <f t="shared" si="14"/>
        <v>122518</v>
      </c>
      <c r="AO37" s="11">
        <v>596607</v>
      </c>
      <c r="AP37" s="12">
        <f t="shared" si="15"/>
        <v>0.95499292487562504</v>
      </c>
      <c r="AQ37" s="11">
        <v>810789</v>
      </c>
      <c r="AR37" s="11">
        <v>620608</v>
      </c>
      <c r="AS37" s="10">
        <f t="shared" si="16"/>
        <v>156902</v>
      </c>
      <c r="AT37" s="13">
        <v>777510</v>
      </c>
      <c r="AU37" s="12">
        <f t="shared" si="17"/>
        <v>0.95895479588400923</v>
      </c>
      <c r="AV37" s="18">
        <v>633338</v>
      </c>
      <c r="AW37" s="11">
        <v>474986</v>
      </c>
      <c r="AX37" s="10">
        <f t="shared" si="18"/>
        <v>130837</v>
      </c>
      <c r="AY37" s="20">
        <v>605823</v>
      </c>
      <c r="AZ37" s="12">
        <f t="shared" si="19"/>
        <v>0.95655558327464951</v>
      </c>
      <c r="BA37" s="18">
        <v>640933</v>
      </c>
      <c r="BB37" s="11">
        <v>483677</v>
      </c>
      <c r="BC37" s="10">
        <f t="shared" si="20"/>
        <v>131362</v>
      </c>
      <c r="BD37" s="20">
        <v>615039</v>
      </c>
      <c r="BE37" s="12">
        <f t="shared" si="21"/>
        <v>0.95959952132282156</v>
      </c>
      <c r="BF37" s="18">
        <v>830528</v>
      </c>
      <c r="BG37" s="11">
        <v>611508</v>
      </c>
      <c r="BH37" s="10">
        <f t="shared" si="24"/>
        <v>185600</v>
      </c>
      <c r="BI37" s="11">
        <v>797108</v>
      </c>
      <c r="BJ37" s="12">
        <f t="shared" si="25"/>
        <v>0.95976053787470139</v>
      </c>
      <c r="BK37" s="24"/>
      <c r="BL37" s="24"/>
    </row>
    <row r="38" spans="1:64" x14ac:dyDescent="0.3">
      <c r="A38" s="22">
        <v>30</v>
      </c>
      <c r="B38" s="3" t="s">
        <v>35</v>
      </c>
      <c r="C38" s="15">
        <v>24272</v>
      </c>
      <c r="D38" s="10">
        <v>3744</v>
      </c>
      <c r="E38" s="10">
        <f t="shared" si="0"/>
        <v>16657</v>
      </c>
      <c r="F38" s="20">
        <v>20401</v>
      </c>
      <c r="G38" s="12">
        <f t="shared" si="1"/>
        <v>0.84051582069874753</v>
      </c>
      <c r="H38" s="15">
        <v>24257</v>
      </c>
      <c r="I38" s="10">
        <v>4714</v>
      </c>
      <c r="J38" s="10">
        <f t="shared" si="2"/>
        <v>15702</v>
      </c>
      <c r="K38" s="20">
        <v>20416</v>
      </c>
      <c r="L38" s="12">
        <f t="shared" si="3"/>
        <v>0.84165395555922007</v>
      </c>
      <c r="M38" s="16">
        <v>35597</v>
      </c>
      <c r="N38" s="10">
        <v>18516</v>
      </c>
      <c r="O38" s="10">
        <f t="shared" si="4"/>
        <v>13097</v>
      </c>
      <c r="P38" s="13">
        <v>31613</v>
      </c>
      <c r="Q38" s="12">
        <f t="shared" si="5"/>
        <v>0.88808045621822063</v>
      </c>
      <c r="R38" s="16">
        <v>24050</v>
      </c>
      <c r="S38" s="10">
        <v>13291</v>
      </c>
      <c r="T38" s="10">
        <f t="shared" si="6"/>
        <v>7107</v>
      </c>
      <c r="U38" s="20">
        <v>20398</v>
      </c>
      <c r="V38" s="12">
        <f t="shared" si="7"/>
        <v>0.84814968814968816</v>
      </c>
      <c r="W38" s="16">
        <v>24263</v>
      </c>
      <c r="X38" s="10">
        <v>12869</v>
      </c>
      <c r="Y38" s="10">
        <f t="shared" si="8"/>
        <v>7760</v>
      </c>
      <c r="Z38" s="20">
        <v>20629</v>
      </c>
      <c r="AA38" s="12">
        <f t="shared" si="9"/>
        <v>0.85022462185220293</v>
      </c>
      <c r="AB38" s="17">
        <v>36018</v>
      </c>
      <c r="AC38" s="10">
        <v>22905</v>
      </c>
      <c r="AD38" s="10">
        <f t="shared" si="10"/>
        <v>9146</v>
      </c>
      <c r="AE38" s="11">
        <v>32051</v>
      </c>
      <c r="AF38" s="12">
        <f t="shared" si="11"/>
        <v>0.88986062524293408</v>
      </c>
      <c r="AG38" s="16">
        <v>24216</v>
      </c>
      <c r="AH38" s="10">
        <v>14182</v>
      </c>
      <c r="AI38" s="10">
        <f t="shared" si="12"/>
        <v>6187</v>
      </c>
      <c r="AJ38" s="20">
        <v>20369</v>
      </c>
      <c r="AK38" s="12">
        <f t="shared" si="13"/>
        <v>0.84113809051866539</v>
      </c>
      <c r="AL38" s="18">
        <v>24425</v>
      </c>
      <c r="AM38" s="11">
        <v>14212</v>
      </c>
      <c r="AN38" s="10">
        <f t="shared" si="14"/>
        <v>6444</v>
      </c>
      <c r="AO38" s="11">
        <v>20656</v>
      </c>
      <c r="AP38" s="12">
        <f t="shared" si="15"/>
        <v>0.84569089048106449</v>
      </c>
      <c r="AQ38" s="11">
        <v>36434</v>
      </c>
      <c r="AR38" s="11">
        <v>23443</v>
      </c>
      <c r="AS38" s="10">
        <f t="shared" si="16"/>
        <v>9139</v>
      </c>
      <c r="AT38" s="13">
        <v>32582</v>
      </c>
      <c r="AU38" s="12">
        <f t="shared" si="17"/>
        <v>0.89427457869023441</v>
      </c>
      <c r="AV38" s="18">
        <v>24471</v>
      </c>
      <c r="AW38" s="11">
        <v>14149</v>
      </c>
      <c r="AX38" s="10">
        <f t="shared" si="18"/>
        <v>6586</v>
      </c>
      <c r="AY38" s="20">
        <v>20735</v>
      </c>
      <c r="AZ38" s="12">
        <f t="shared" si="19"/>
        <v>0.8473294920518164</v>
      </c>
      <c r="BA38" s="18">
        <v>24769</v>
      </c>
      <c r="BB38" s="11">
        <v>14279</v>
      </c>
      <c r="BC38" s="10">
        <f t="shared" si="20"/>
        <v>6725</v>
      </c>
      <c r="BD38" s="20">
        <v>21004</v>
      </c>
      <c r="BE38" s="12">
        <f t="shared" si="21"/>
        <v>0.84799547821874122</v>
      </c>
      <c r="BF38" s="18">
        <v>37269</v>
      </c>
      <c r="BG38" s="11">
        <v>22757</v>
      </c>
      <c r="BH38" s="10">
        <f t="shared" si="24"/>
        <v>10391</v>
      </c>
      <c r="BI38" s="11">
        <v>33148</v>
      </c>
      <c r="BJ38" s="12">
        <f t="shared" si="25"/>
        <v>0.88942552791864549</v>
      </c>
      <c r="BK38" s="24"/>
      <c r="BL38" s="24"/>
    </row>
    <row r="39" spans="1:64" x14ac:dyDescent="0.3">
      <c r="A39" s="22">
        <v>31</v>
      </c>
      <c r="B39" s="3" t="s">
        <v>36</v>
      </c>
      <c r="C39" s="15">
        <v>196</v>
      </c>
      <c r="D39" s="10">
        <v>52</v>
      </c>
      <c r="E39" s="10">
        <f t="shared" si="0"/>
        <v>126</v>
      </c>
      <c r="F39" s="20">
        <v>178</v>
      </c>
      <c r="G39" s="12">
        <f t="shared" si="1"/>
        <v>0.90816326530612246</v>
      </c>
      <c r="H39" s="15">
        <v>195</v>
      </c>
      <c r="I39" s="10">
        <v>46</v>
      </c>
      <c r="J39" s="10">
        <f t="shared" si="2"/>
        <v>127</v>
      </c>
      <c r="K39" s="20">
        <v>173</v>
      </c>
      <c r="L39" s="12">
        <f t="shared" si="3"/>
        <v>0.88717948717948714</v>
      </c>
      <c r="M39" s="16">
        <v>238</v>
      </c>
      <c r="N39" s="10">
        <v>121</v>
      </c>
      <c r="O39" s="10">
        <f t="shared" si="4"/>
        <v>93</v>
      </c>
      <c r="P39" s="13">
        <v>214</v>
      </c>
      <c r="Q39" s="12">
        <f t="shared" si="5"/>
        <v>0.89915966386554624</v>
      </c>
      <c r="R39" s="16">
        <v>197</v>
      </c>
      <c r="S39" s="10">
        <v>113</v>
      </c>
      <c r="T39" s="10">
        <f t="shared" si="6"/>
        <v>58</v>
      </c>
      <c r="U39" s="20">
        <v>171</v>
      </c>
      <c r="V39" s="12">
        <f t="shared" si="7"/>
        <v>0.86802030456852797</v>
      </c>
      <c r="W39" s="16">
        <v>196</v>
      </c>
      <c r="X39" s="10">
        <v>114</v>
      </c>
      <c r="Y39" s="10">
        <f t="shared" si="8"/>
        <v>58</v>
      </c>
      <c r="Z39" s="20">
        <v>172</v>
      </c>
      <c r="AA39" s="12">
        <f t="shared" si="9"/>
        <v>0.87755102040816324</v>
      </c>
      <c r="AB39" s="17">
        <v>243</v>
      </c>
      <c r="AC39" s="10">
        <v>158</v>
      </c>
      <c r="AD39" s="10">
        <f t="shared" si="10"/>
        <v>57</v>
      </c>
      <c r="AE39" s="11">
        <v>215</v>
      </c>
      <c r="AF39" s="12">
        <f t="shared" si="11"/>
        <v>0.8847736625514403</v>
      </c>
      <c r="AG39" s="16">
        <v>192</v>
      </c>
      <c r="AH39" s="10">
        <v>123</v>
      </c>
      <c r="AI39" s="10">
        <f t="shared" si="12"/>
        <v>45</v>
      </c>
      <c r="AJ39" s="20">
        <v>168</v>
      </c>
      <c r="AK39" s="12">
        <f t="shared" si="13"/>
        <v>0.875</v>
      </c>
      <c r="AL39" s="18">
        <v>170</v>
      </c>
      <c r="AM39" s="11">
        <v>112</v>
      </c>
      <c r="AN39" s="10">
        <f t="shared" si="14"/>
        <v>57</v>
      </c>
      <c r="AO39" s="11">
        <v>169</v>
      </c>
      <c r="AP39" s="12">
        <f t="shared" si="15"/>
        <v>0.99411764705882355</v>
      </c>
      <c r="AQ39" s="11">
        <v>218</v>
      </c>
      <c r="AR39" s="11">
        <v>156</v>
      </c>
      <c r="AS39" s="10">
        <f t="shared" si="16"/>
        <v>58</v>
      </c>
      <c r="AT39" s="13">
        <v>214</v>
      </c>
      <c r="AU39" s="12">
        <f t="shared" si="17"/>
        <v>0.98165137614678899</v>
      </c>
      <c r="AV39" s="18">
        <v>174</v>
      </c>
      <c r="AW39" s="11">
        <v>111</v>
      </c>
      <c r="AX39" s="10">
        <f t="shared" si="18"/>
        <v>60</v>
      </c>
      <c r="AY39" s="20">
        <v>171</v>
      </c>
      <c r="AZ39" s="12">
        <f t="shared" si="19"/>
        <v>0.98275862068965514</v>
      </c>
      <c r="BA39" s="18">
        <v>172</v>
      </c>
      <c r="BB39" s="11">
        <v>127</v>
      </c>
      <c r="BC39" s="10">
        <f t="shared" si="20"/>
        <v>46</v>
      </c>
      <c r="BD39" s="20">
        <v>173</v>
      </c>
      <c r="BE39" s="12">
        <f t="shared" si="21"/>
        <v>1.0058139534883721</v>
      </c>
      <c r="BF39" s="18">
        <v>228</v>
      </c>
      <c r="BG39" s="11">
        <v>148</v>
      </c>
      <c r="BH39" s="10">
        <f t="shared" si="24"/>
        <v>67</v>
      </c>
      <c r="BI39" s="11">
        <v>215</v>
      </c>
      <c r="BJ39" s="12">
        <f t="shared" si="25"/>
        <v>0.94298245614035092</v>
      </c>
      <c r="BK39" s="24"/>
      <c r="BL39" s="24"/>
    </row>
    <row r="40" spans="1:64" x14ac:dyDescent="0.3">
      <c r="A40" s="22">
        <v>32</v>
      </c>
      <c r="B40" s="3" t="s">
        <v>37</v>
      </c>
      <c r="C40" s="15">
        <v>255053</v>
      </c>
      <c r="D40" s="10">
        <v>15285</v>
      </c>
      <c r="E40" s="10">
        <f t="shared" si="0"/>
        <v>228456</v>
      </c>
      <c r="F40" s="20">
        <v>243741</v>
      </c>
      <c r="G40" s="12">
        <f t="shared" si="1"/>
        <v>0.95564843385492426</v>
      </c>
      <c r="H40" s="15">
        <v>254802</v>
      </c>
      <c r="I40" s="10">
        <v>22338</v>
      </c>
      <c r="J40" s="10">
        <f t="shared" si="2"/>
        <v>221637</v>
      </c>
      <c r="K40" s="20">
        <v>243975</v>
      </c>
      <c r="L40" s="12">
        <f t="shared" si="3"/>
        <v>0.95750818282431061</v>
      </c>
      <c r="M40" s="16">
        <v>315837</v>
      </c>
      <c r="N40" s="10">
        <v>140525</v>
      </c>
      <c r="O40" s="10">
        <f t="shared" si="4"/>
        <v>162868</v>
      </c>
      <c r="P40" s="13">
        <v>303393</v>
      </c>
      <c r="Q40" s="12">
        <f t="shared" si="5"/>
        <v>0.9605999297105785</v>
      </c>
      <c r="R40" s="16">
        <v>257348</v>
      </c>
      <c r="S40" s="10">
        <v>168699</v>
      </c>
      <c r="T40" s="10">
        <f t="shared" si="6"/>
        <v>76823</v>
      </c>
      <c r="U40" s="20">
        <v>245522</v>
      </c>
      <c r="V40" s="12">
        <f t="shared" si="7"/>
        <v>0.95404666055302545</v>
      </c>
      <c r="W40" s="16">
        <v>259512</v>
      </c>
      <c r="X40" s="10">
        <v>178522</v>
      </c>
      <c r="Y40" s="10">
        <f t="shared" si="8"/>
        <v>69281</v>
      </c>
      <c r="Z40" s="20">
        <v>247803</v>
      </c>
      <c r="AA40" s="12">
        <f t="shared" si="9"/>
        <v>0.95488069915842044</v>
      </c>
      <c r="AB40" s="17">
        <v>322067</v>
      </c>
      <c r="AC40" s="10">
        <v>234066</v>
      </c>
      <c r="AD40" s="10">
        <f t="shared" si="10"/>
        <v>74965</v>
      </c>
      <c r="AE40" s="11">
        <v>309031</v>
      </c>
      <c r="AF40" s="12">
        <f t="shared" si="11"/>
        <v>0.95952394998556201</v>
      </c>
      <c r="AG40" s="16">
        <v>262041</v>
      </c>
      <c r="AH40" s="10">
        <v>198353</v>
      </c>
      <c r="AI40" s="10">
        <f t="shared" si="12"/>
        <v>51915</v>
      </c>
      <c r="AJ40" s="20">
        <v>250268</v>
      </c>
      <c r="AK40" s="12">
        <f t="shared" si="13"/>
        <v>0.95507191622684995</v>
      </c>
      <c r="AL40" s="18">
        <v>264607</v>
      </c>
      <c r="AM40" s="11">
        <v>195769</v>
      </c>
      <c r="AN40" s="10">
        <f t="shared" si="14"/>
        <v>57106</v>
      </c>
      <c r="AO40" s="11">
        <v>252875</v>
      </c>
      <c r="AP40" s="12">
        <f t="shared" si="15"/>
        <v>0.95566254860982514</v>
      </c>
      <c r="AQ40" s="11">
        <v>328683</v>
      </c>
      <c r="AR40" s="11">
        <v>248292</v>
      </c>
      <c r="AS40" s="10">
        <f t="shared" si="16"/>
        <v>67746</v>
      </c>
      <c r="AT40" s="13">
        <v>316038</v>
      </c>
      <c r="AU40" s="12">
        <f t="shared" si="17"/>
        <v>0.96152828104891341</v>
      </c>
      <c r="AV40" s="18">
        <v>267796</v>
      </c>
      <c r="AW40" s="11">
        <v>199637</v>
      </c>
      <c r="AX40" s="10">
        <f t="shared" si="18"/>
        <v>56487</v>
      </c>
      <c r="AY40" s="20">
        <v>256124</v>
      </c>
      <c r="AZ40" s="12">
        <f t="shared" si="19"/>
        <v>0.95641458423576153</v>
      </c>
      <c r="BA40" s="18">
        <v>270158</v>
      </c>
      <c r="BB40" s="11">
        <v>201183</v>
      </c>
      <c r="BC40" s="10">
        <f t="shared" si="20"/>
        <v>57698</v>
      </c>
      <c r="BD40" s="20">
        <v>258881</v>
      </c>
      <c r="BE40" s="12">
        <f t="shared" si="21"/>
        <v>0.95825776027361764</v>
      </c>
      <c r="BF40" s="18">
        <v>335514</v>
      </c>
      <c r="BG40" s="11">
        <v>237188</v>
      </c>
      <c r="BH40" s="10">
        <f t="shared" si="24"/>
        <v>84607</v>
      </c>
      <c r="BI40" s="11">
        <v>321795</v>
      </c>
      <c r="BJ40" s="12">
        <f t="shared" si="25"/>
        <v>0.95911049911479107</v>
      </c>
      <c r="BK40" s="24"/>
      <c r="BL40" s="24"/>
    </row>
    <row r="41" spans="1:64" x14ac:dyDescent="0.3">
      <c r="A41" s="22">
        <v>33</v>
      </c>
      <c r="B41" s="3" t="s">
        <v>38</v>
      </c>
      <c r="C41" s="15">
        <v>803124</v>
      </c>
      <c r="D41" s="10">
        <v>136119</v>
      </c>
      <c r="E41" s="10">
        <f t="shared" si="0"/>
        <v>641249</v>
      </c>
      <c r="F41" s="20">
        <v>777368</v>
      </c>
      <c r="G41" s="12">
        <f t="shared" si="1"/>
        <v>0.9679302324423128</v>
      </c>
      <c r="H41" s="15">
        <v>805681</v>
      </c>
      <c r="I41" s="10">
        <v>129228</v>
      </c>
      <c r="J41" s="10">
        <f t="shared" si="2"/>
        <v>648972</v>
      </c>
      <c r="K41" s="20">
        <v>778200</v>
      </c>
      <c r="L41" s="12">
        <f t="shared" si="3"/>
        <v>0.96589096677220887</v>
      </c>
      <c r="M41" s="16">
        <v>924274</v>
      </c>
      <c r="N41" s="10">
        <v>576762</v>
      </c>
      <c r="O41" s="10">
        <f t="shared" si="4"/>
        <v>314069</v>
      </c>
      <c r="P41" s="13">
        <v>890831</v>
      </c>
      <c r="Q41" s="12">
        <f t="shared" si="5"/>
        <v>0.96381700664521563</v>
      </c>
      <c r="R41" s="16">
        <v>822173</v>
      </c>
      <c r="S41" s="10">
        <v>619559</v>
      </c>
      <c r="T41" s="10">
        <f t="shared" si="6"/>
        <v>171599</v>
      </c>
      <c r="U41" s="20">
        <v>791158</v>
      </c>
      <c r="V41" s="12">
        <f t="shared" si="7"/>
        <v>0.96227679575952996</v>
      </c>
      <c r="W41" s="16">
        <v>833879</v>
      </c>
      <c r="X41" s="10">
        <v>620339</v>
      </c>
      <c r="Y41" s="10">
        <f t="shared" si="8"/>
        <v>179570</v>
      </c>
      <c r="Z41" s="20">
        <v>799909</v>
      </c>
      <c r="AA41" s="12">
        <f t="shared" si="9"/>
        <v>0.95926267480054062</v>
      </c>
      <c r="AB41" s="17">
        <v>956956</v>
      </c>
      <c r="AC41" s="10">
        <v>732727</v>
      </c>
      <c r="AD41" s="10">
        <f t="shared" si="10"/>
        <v>182738</v>
      </c>
      <c r="AE41" s="11">
        <v>915465</v>
      </c>
      <c r="AF41" s="12">
        <f t="shared" si="11"/>
        <v>0.95664272965528196</v>
      </c>
      <c r="AG41" s="16">
        <v>851169</v>
      </c>
      <c r="AH41" s="10">
        <v>660609</v>
      </c>
      <c r="AI41" s="10">
        <f t="shared" si="12"/>
        <v>150940</v>
      </c>
      <c r="AJ41" s="20">
        <v>811549</v>
      </c>
      <c r="AK41" s="12">
        <f t="shared" si="13"/>
        <v>0.95345225213794205</v>
      </c>
      <c r="AL41" s="18">
        <v>859964</v>
      </c>
      <c r="AM41" s="11">
        <v>665716</v>
      </c>
      <c r="AN41" s="10">
        <f t="shared" si="14"/>
        <v>152839</v>
      </c>
      <c r="AO41" s="11">
        <v>818555</v>
      </c>
      <c r="AP41" s="12">
        <f t="shared" si="15"/>
        <v>0.9518479843342279</v>
      </c>
      <c r="AQ41" s="11">
        <v>982238</v>
      </c>
      <c r="AR41" s="11">
        <v>749425</v>
      </c>
      <c r="AS41" s="10">
        <f t="shared" si="16"/>
        <v>184940</v>
      </c>
      <c r="AT41" s="13">
        <v>934365</v>
      </c>
      <c r="AU41" s="12">
        <f t="shared" si="17"/>
        <v>0.95126130326865788</v>
      </c>
      <c r="AV41" s="18">
        <v>867973</v>
      </c>
      <c r="AW41" s="11">
        <v>657564</v>
      </c>
      <c r="AX41" s="10">
        <f t="shared" si="18"/>
        <v>169799</v>
      </c>
      <c r="AY41" s="20">
        <v>827363</v>
      </c>
      <c r="AZ41" s="12">
        <f t="shared" si="19"/>
        <v>0.95321283035301785</v>
      </c>
      <c r="BA41" s="18">
        <v>869274</v>
      </c>
      <c r="BB41" s="11">
        <v>679334</v>
      </c>
      <c r="BC41" s="10">
        <f t="shared" si="20"/>
        <v>154198</v>
      </c>
      <c r="BD41" s="20">
        <v>833532</v>
      </c>
      <c r="BE41" s="12">
        <f t="shared" si="21"/>
        <v>0.95888292989322121</v>
      </c>
      <c r="BF41" s="18">
        <v>986817</v>
      </c>
      <c r="BG41" s="11">
        <v>753606</v>
      </c>
      <c r="BH41" s="10">
        <f t="shared" si="24"/>
        <v>196709</v>
      </c>
      <c r="BI41" s="11">
        <v>950315</v>
      </c>
      <c r="BJ41" s="12">
        <f t="shared" si="25"/>
        <v>0.96301036565036879</v>
      </c>
      <c r="BK41" s="24"/>
      <c r="BL41" s="24"/>
    </row>
    <row r="42" spans="1:64" x14ac:dyDescent="0.3">
      <c r="A42" s="22">
        <v>34</v>
      </c>
      <c r="B42" s="3" t="s">
        <v>39</v>
      </c>
      <c r="C42" s="15">
        <v>17297</v>
      </c>
      <c r="D42" s="10">
        <v>2951</v>
      </c>
      <c r="E42" s="10">
        <f t="shared" si="0"/>
        <v>13184</v>
      </c>
      <c r="F42" s="20">
        <v>16135</v>
      </c>
      <c r="G42" s="12">
        <f t="shared" si="1"/>
        <v>0.93282072035613117</v>
      </c>
      <c r="H42" s="15">
        <v>17324</v>
      </c>
      <c r="I42" s="10">
        <v>3442</v>
      </c>
      <c r="J42" s="10">
        <f t="shared" si="2"/>
        <v>12715</v>
      </c>
      <c r="K42" s="20">
        <v>16157</v>
      </c>
      <c r="L42" s="12">
        <f t="shared" si="3"/>
        <v>0.93263680443315633</v>
      </c>
      <c r="M42" s="16">
        <v>19854</v>
      </c>
      <c r="N42" s="10">
        <v>10914</v>
      </c>
      <c r="O42" s="10">
        <f t="shared" si="4"/>
        <v>7626</v>
      </c>
      <c r="P42" s="13">
        <v>18540</v>
      </c>
      <c r="Q42" s="12">
        <f t="shared" si="5"/>
        <v>0.93381686310063461</v>
      </c>
      <c r="R42" s="16">
        <v>17743</v>
      </c>
      <c r="S42" s="10">
        <v>12264</v>
      </c>
      <c r="T42" s="10">
        <f t="shared" si="6"/>
        <v>4207</v>
      </c>
      <c r="U42" s="20">
        <v>16471</v>
      </c>
      <c r="V42" s="12">
        <f t="shared" si="7"/>
        <v>0.92830975596009691</v>
      </c>
      <c r="W42" s="16">
        <v>17812</v>
      </c>
      <c r="X42" s="10">
        <v>12195</v>
      </c>
      <c r="Y42" s="10">
        <f t="shared" si="8"/>
        <v>4426</v>
      </c>
      <c r="Z42" s="20">
        <v>16621</v>
      </c>
      <c r="AA42" s="12">
        <f t="shared" si="9"/>
        <v>0.93313496519200534</v>
      </c>
      <c r="AB42" s="17">
        <v>20088</v>
      </c>
      <c r="AC42" s="10">
        <v>14312</v>
      </c>
      <c r="AD42" s="10">
        <f t="shared" si="10"/>
        <v>4533</v>
      </c>
      <c r="AE42" s="11">
        <v>18845</v>
      </c>
      <c r="AF42" s="12">
        <f t="shared" si="11"/>
        <v>0.93812226204699323</v>
      </c>
      <c r="AG42" s="16">
        <v>17790</v>
      </c>
      <c r="AH42" s="10">
        <v>13011</v>
      </c>
      <c r="AI42" s="10">
        <f t="shared" si="12"/>
        <v>3747</v>
      </c>
      <c r="AJ42" s="20">
        <v>16758</v>
      </c>
      <c r="AK42" s="12">
        <f t="shared" si="13"/>
        <v>0.94198988195615518</v>
      </c>
      <c r="AL42" s="18">
        <v>17888</v>
      </c>
      <c r="AM42" s="11">
        <v>13125</v>
      </c>
      <c r="AN42" s="10">
        <f t="shared" si="14"/>
        <v>3775</v>
      </c>
      <c r="AO42" s="11">
        <v>16900</v>
      </c>
      <c r="AP42" s="12">
        <f t="shared" si="15"/>
        <v>0.94476744186046513</v>
      </c>
      <c r="AQ42" s="11">
        <v>20224</v>
      </c>
      <c r="AR42" s="11">
        <v>14627</v>
      </c>
      <c r="AS42" s="10">
        <f t="shared" si="16"/>
        <v>4467</v>
      </c>
      <c r="AT42" s="13">
        <v>19094</v>
      </c>
      <c r="AU42" s="12">
        <f t="shared" si="17"/>
        <v>0.94412579113924056</v>
      </c>
      <c r="AV42" s="18">
        <v>17809</v>
      </c>
      <c r="AW42" s="11">
        <v>13146</v>
      </c>
      <c r="AX42" s="10">
        <f t="shared" si="18"/>
        <v>3848</v>
      </c>
      <c r="AY42" s="20">
        <v>16994</v>
      </c>
      <c r="AZ42" s="12">
        <f t="shared" si="19"/>
        <v>0.95423662193273062</v>
      </c>
      <c r="BA42" s="18">
        <v>17859</v>
      </c>
      <c r="BB42" s="11">
        <v>13348</v>
      </c>
      <c r="BC42" s="10">
        <f t="shared" si="20"/>
        <v>3739</v>
      </c>
      <c r="BD42" s="20">
        <v>17087</v>
      </c>
      <c r="BE42" s="12">
        <f t="shared" si="21"/>
        <v>0.95677249566045131</v>
      </c>
      <c r="BF42" s="18">
        <v>20264</v>
      </c>
      <c r="BG42" s="11">
        <v>14678</v>
      </c>
      <c r="BH42" s="10">
        <f t="shared" si="24"/>
        <v>4732</v>
      </c>
      <c r="BI42" s="11">
        <v>19410</v>
      </c>
      <c r="BJ42" s="12">
        <f t="shared" si="25"/>
        <v>0.95785629688116858</v>
      </c>
      <c r="BK42" s="24"/>
      <c r="BL42" s="24"/>
    </row>
    <row r="43" spans="1:64" x14ac:dyDescent="0.3">
      <c r="A43" s="22">
        <v>35</v>
      </c>
      <c r="B43" s="3" t="s">
        <v>40</v>
      </c>
      <c r="C43" s="15">
        <v>3346</v>
      </c>
      <c r="D43" s="10">
        <v>499</v>
      </c>
      <c r="E43" s="10">
        <f t="shared" si="0"/>
        <v>2548</v>
      </c>
      <c r="F43" s="20">
        <v>3047</v>
      </c>
      <c r="G43" s="12">
        <f t="shared" si="1"/>
        <v>0.9106395696353855</v>
      </c>
      <c r="H43" s="15">
        <v>3343</v>
      </c>
      <c r="I43" s="10">
        <v>457</v>
      </c>
      <c r="J43" s="10">
        <f t="shared" si="2"/>
        <v>2573</v>
      </c>
      <c r="K43" s="20">
        <v>3030</v>
      </c>
      <c r="L43" s="12">
        <f t="shared" si="3"/>
        <v>0.90637152258450493</v>
      </c>
      <c r="M43" s="16">
        <v>4020</v>
      </c>
      <c r="N43" s="10">
        <v>1696</v>
      </c>
      <c r="O43" s="10">
        <f t="shared" si="4"/>
        <v>1994</v>
      </c>
      <c r="P43" s="13">
        <v>3690</v>
      </c>
      <c r="Q43" s="12">
        <f t="shared" si="5"/>
        <v>0.91791044776119401</v>
      </c>
      <c r="R43" s="16">
        <v>3295</v>
      </c>
      <c r="S43" s="10">
        <v>1697</v>
      </c>
      <c r="T43" s="10">
        <f t="shared" si="6"/>
        <v>1302</v>
      </c>
      <c r="U43" s="20">
        <v>2999</v>
      </c>
      <c r="V43" s="12">
        <f t="shared" si="7"/>
        <v>0.91016691957511386</v>
      </c>
      <c r="W43" s="16">
        <v>3265</v>
      </c>
      <c r="X43" s="10">
        <v>1781</v>
      </c>
      <c r="Y43" s="10">
        <f t="shared" si="8"/>
        <v>1233</v>
      </c>
      <c r="Z43" s="20">
        <v>3014</v>
      </c>
      <c r="AA43" s="12">
        <f t="shared" si="9"/>
        <v>0.92312404287901995</v>
      </c>
      <c r="AB43" s="17">
        <v>4071</v>
      </c>
      <c r="AC43" s="10">
        <v>2383</v>
      </c>
      <c r="AD43" s="10">
        <f t="shared" si="10"/>
        <v>1409</v>
      </c>
      <c r="AE43" s="11">
        <v>3792</v>
      </c>
      <c r="AF43" s="12">
        <f t="shared" si="11"/>
        <v>0.93146647015475315</v>
      </c>
      <c r="AG43" s="16">
        <v>3330</v>
      </c>
      <c r="AH43" s="10">
        <v>2015</v>
      </c>
      <c r="AI43" s="10">
        <f t="shared" si="12"/>
        <v>1034</v>
      </c>
      <c r="AJ43" s="20">
        <v>3049</v>
      </c>
      <c r="AK43" s="12">
        <f t="shared" si="13"/>
        <v>0.91561561561561566</v>
      </c>
      <c r="AL43" s="18">
        <v>3339</v>
      </c>
      <c r="AM43" s="11">
        <v>1948</v>
      </c>
      <c r="AN43" s="10">
        <f t="shared" si="14"/>
        <v>1121</v>
      </c>
      <c r="AO43" s="11">
        <v>3069</v>
      </c>
      <c r="AP43" s="12">
        <f t="shared" si="15"/>
        <v>0.91913746630727766</v>
      </c>
      <c r="AQ43" s="11">
        <v>4111</v>
      </c>
      <c r="AR43" s="11">
        <v>2470</v>
      </c>
      <c r="AS43" s="10">
        <f t="shared" si="16"/>
        <v>1385</v>
      </c>
      <c r="AT43" s="13">
        <v>3855</v>
      </c>
      <c r="AU43" s="12">
        <f t="shared" si="17"/>
        <v>0.93772804670396492</v>
      </c>
      <c r="AV43" s="18">
        <v>3256</v>
      </c>
      <c r="AW43" s="11">
        <v>2035</v>
      </c>
      <c r="AX43" s="10">
        <f t="shared" si="18"/>
        <v>1069</v>
      </c>
      <c r="AY43" s="20">
        <v>3104</v>
      </c>
      <c r="AZ43" s="12">
        <f t="shared" si="19"/>
        <v>0.95331695331695332</v>
      </c>
      <c r="BA43" s="18">
        <v>3286</v>
      </c>
      <c r="BB43" s="11">
        <v>2033</v>
      </c>
      <c r="BC43" s="10">
        <f t="shared" si="20"/>
        <v>1092</v>
      </c>
      <c r="BD43" s="20">
        <v>3125</v>
      </c>
      <c r="BE43" s="12">
        <f t="shared" si="21"/>
        <v>0.95100426049908704</v>
      </c>
      <c r="BF43" s="18">
        <v>4091</v>
      </c>
      <c r="BG43" s="11">
        <v>2382</v>
      </c>
      <c r="BH43" s="10">
        <f t="shared" si="24"/>
        <v>1548</v>
      </c>
      <c r="BI43" s="11">
        <v>3930</v>
      </c>
      <c r="BJ43" s="12">
        <f t="shared" si="25"/>
        <v>0.96064531899291128</v>
      </c>
      <c r="BK43" s="24"/>
      <c r="BL43" s="24"/>
    </row>
    <row r="44" spans="1:64" x14ac:dyDescent="0.3">
      <c r="A44" s="22">
        <v>36</v>
      </c>
      <c r="B44" s="3" t="s">
        <v>41</v>
      </c>
      <c r="C44" s="15">
        <v>313567</v>
      </c>
      <c r="D44" s="10">
        <v>64367</v>
      </c>
      <c r="E44" s="10">
        <f t="shared" si="0"/>
        <v>211700</v>
      </c>
      <c r="F44" s="20">
        <v>276067</v>
      </c>
      <c r="G44" s="12">
        <f t="shared" si="1"/>
        <v>0.88040833378512406</v>
      </c>
      <c r="H44" s="15">
        <v>315037</v>
      </c>
      <c r="I44" s="10">
        <v>68092</v>
      </c>
      <c r="J44" s="10">
        <f t="shared" si="2"/>
        <v>208639</v>
      </c>
      <c r="K44" s="20">
        <v>276731</v>
      </c>
      <c r="L44" s="12">
        <f t="shared" si="3"/>
        <v>0.87840793303643694</v>
      </c>
      <c r="M44" s="16">
        <v>378050</v>
      </c>
      <c r="N44" s="10">
        <v>201487</v>
      </c>
      <c r="O44" s="10">
        <f t="shared" si="4"/>
        <v>137101</v>
      </c>
      <c r="P44" s="13">
        <v>338588</v>
      </c>
      <c r="Q44" s="12">
        <f t="shared" si="5"/>
        <v>0.8956169818807036</v>
      </c>
      <c r="R44" s="16">
        <v>322476</v>
      </c>
      <c r="S44" s="10">
        <v>197550</v>
      </c>
      <c r="T44" s="10">
        <f t="shared" si="6"/>
        <v>85420</v>
      </c>
      <c r="U44" s="20">
        <v>282970</v>
      </c>
      <c r="V44" s="12">
        <f t="shared" si="7"/>
        <v>0.87749165829395059</v>
      </c>
      <c r="W44" s="16">
        <v>327345</v>
      </c>
      <c r="X44" s="10">
        <v>199892</v>
      </c>
      <c r="Y44" s="10">
        <f t="shared" si="8"/>
        <v>86940</v>
      </c>
      <c r="Z44" s="20">
        <v>286832</v>
      </c>
      <c r="AA44" s="12">
        <f t="shared" si="9"/>
        <v>0.8762376086392033</v>
      </c>
      <c r="AB44" s="17">
        <v>393681</v>
      </c>
      <c r="AC44" s="10">
        <v>255724</v>
      </c>
      <c r="AD44" s="10">
        <f t="shared" si="10"/>
        <v>94084</v>
      </c>
      <c r="AE44" s="11">
        <v>349808</v>
      </c>
      <c r="AF44" s="12">
        <f t="shared" si="11"/>
        <v>0.88855697887375817</v>
      </c>
      <c r="AG44" s="16">
        <v>333199</v>
      </c>
      <c r="AH44" s="10">
        <v>216189</v>
      </c>
      <c r="AI44" s="10">
        <f t="shared" si="12"/>
        <v>74157</v>
      </c>
      <c r="AJ44" s="20">
        <v>290346</v>
      </c>
      <c r="AK44" s="12">
        <f t="shared" si="13"/>
        <v>0.87138916983544368</v>
      </c>
      <c r="AL44" s="18">
        <v>336893</v>
      </c>
      <c r="AM44" s="11">
        <v>216835</v>
      </c>
      <c r="AN44" s="10">
        <f t="shared" si="14"/>
        <v>77993</v>
      </c>
      <c r="AO44" s="11">
        <v>294828</v>
      </c>
      <c r="AP44" s="12">
        <f t="shared" si="15"/>
        <v>0.87513839705781959</v>
      </c>
      <c r="AQ44" s="11">
        <v>406157</v>
      </c>
      <c r="AR44" s="11">
        <v>269419</v>
      </c>
      <c r="AS44" s="10">
        <f t="shared" si="16"/>
        <v>90443</v>
      </c>
      <c r="AT44" s="13">
        <v>359862</v>
      </c>
      <c r="AU44" s="12">
        <f t="shared" si="17"/>
        <v>0.88601698358024117</v>
      </c>
      <c r="AV44" s="18">
        <v>341214</v>
      </c>
      <c r="AW44" s="11">
        <v>218445</v>
      </c>
      <c r="AX44" s="10">
        <f t="shared" si="18"/>
        <v>79992</v>
      </c>
      <c r="AY44" s="20">
        <v>298437</v>
      </c>
      <c r="AZ44" s="12">
        <f t="shared" si="19"/>
        <v>0.87463292830892048</v>
      </c>
      <c r="BA44" s="18">
        <v>343859</v>
      </c>
      <c r="BB44" s="11">
        <v>222878</v>
      </c>
      <c r="BC44" s="10">
        <f t="shared" si="20"/>
        <v>79454</v>
      </c>
      <c r="BD44" s="20">
        <v>302332</v>
      </c>
      <c r="BE44" s="12">
        <f t="shared" si="21"/>
        <v>0.87923247610212329</v>
      </c>
      <c r="BF44" s="18">
        <v>410714</v>
      </c>
      <c r="BG44" s="11">
        <v>264278</v>
      </c>
      <c r="BH44" s="10">
        <f t="shared" si="24"/>
        <v>103153</v>
      </c>
      <c r="BI44" s="11">
        <v>367431</v>
      </c>
      <c r="BJ44" s="12">
        <f t="shared" si="25"/>
        <v>0.8946152310366825</v>
      </c>
      <c r="BK44" s="24"/>
      <c r="BL44" s="24"/>
    </row>
    <row r="45" spans="1:64" x14ac:dyDescent="0.3">
      <c r="A45" s="22">
        <v>37</v>
      </c>
      <c r="B45" s="3" t="s">
        <v>42</v>
      </c>
      <c r="C45" s="15">
        <v>237775</v>
      </c>
      <c r="D45" s="10">
        <v>45740</v>
      </c>
      <c r="E45" s="10">
        <f t="shared" si="0"/>
        <v>173666</v>
      </c>
      <c r="F45" s="20">
        <v>219406</v>
      </c>
      <c r="G45" s="12">
        <f t="shared" si="1"/>
        <v>0.92274629376511408</v>
      </c>
      <c r="H45" s="15">
        <v>238690</v>
      </c>
      <c r="I45" s="10">
        <v>48794</v>
      </c>
      <c r="J45" s="10">
        <f t="shared" si="2"/>
        <v>171221</v>
      </c>
      <c r="K45" s="20">
        <v>220015</v>
      </c>
      <c r="L45" s="12">
        <f t="shared" si="3"/>
        <v>0.92176044241484767</v>
      </c>
      <c r="M45" s="16">
        <v>292586</v>
      </c>
      <c r="N45" s="10">
        <v>172338</v>
      </c>
      <c r="O45" s="10">
        <f t="shared" si="4"/>
        <v>100445</v>
      </c>
      <c r="P45" s="13">
        <v>272783</v>
      </c>
      <c r="Q45" s="12">
        <f t="shared" si="5"/>
        <v>0.93231733575769171</v>
      </c>
      <c r="R45" s="16">
        <v>242899</v>
      </c>
      <c r="S45" s="10">
        <v>164575</v>
      </c>
      <c r="T45" s="10">
        <f t="shared" si="6"/>
        <v>58708</v>
      </c>
      <c r="U45" s="20">
        <v>223283</v>
      </c>
      <c r="V45" s="12">
        <f t="shared" si="7"/>
        <v>0.91924215414637356</v>
      </c>
      <c r="W45" s="16">
        <v>244806</v>
      </c>
      <c r="X45" s="10">
        <v>167109</v>
      </c>
      <c r="Y45" s="10">
        <f t="shared" si="8"/>
        <v>58456</v>
      </c>
      <c r="Z45" s="20">
        <v>225565</v>
      </c>
      <c r="AA45" s="12">
        <f t="shared" si="9"/>
        <v>0.92140307018618828</v>
      </c>
      <c r="AB45" s="17">
        <v>299772</v>
      </c>
      <c r="AC45" s="10">
        <v>213755</v>
      </c>
      <c r="AD45" s="10">
        <f t="shared" si="10"/>
        <v>63872</v>
      </c>
      <c r="AE45" s="11">
        <v>277627</v>
      </c>
      <c r="AF45" s="12">
        <f t="shared" si="11"/>
        <v>0.92612718999773158</v>
      </c>
      <c r="AG45" s="16">
        <v>246243</v>
      </c>
      <c r="AH45" s="10">
        <v>179194</v>
      </c>
      <c r="AI45" s="10">
        <f t="shared" si="12"/>
        <v>48112</v>
      </c>
      <c r="AJ45" s="20">
        <v>227306</v>
      </c>
      <c r="AK45" s="12">
        <f t="shared" si="13"/>
        <v>0.92309629106208091</v>
      </c>
      <c r="AL45" s="18">
        <v>247584</v>
      </c>
      <c r="AM45" s="11">
        <v>178038</v>
      </c>
      <c r="AN45" s="10">
        <f t="shared" si="14"/>
        <v>51418</v>
      </c>
      <c r="AO45" s="11">
        <v>229456</v>
      </c>
      <c r="AP45" s="12">
        <f t="shared" si="15"/>
        <v>0.92678040584205768</v>
      </c>
      <c r="AQ45" s="11">
        <v>303759</v>
      </c>
      <c r="AR45" s="11">
        <v>214751</v>
      </c>
      <c r="AS45" s="10">
        <f t="shared" si="16"/>
        <v>67565</v>
      </c>
      <c r="AT45" s="13">
        <v>282316</v>
      </c>
      <c r="AU45" s="12">
        <f t="shared" si="17"/>
        <v>0.92940785293604466</v>
      </c>
      <c r="AV45" s="18">
        <v>248547</v>
      </c>
      <c r="AW45" s="11">
        <v>175653</v>
      </c>
      <c r="AX45" s="10">
        <f t="shared" si="18"/>
        <v>55330</v>
      </c>
      <c r="AY45" s="20">
        <v>230983</v>
      </c>
      <c r="AZ45" s="12">
        <f t="shared" si="19"/>
        <v>0.9293332850527265</v>
      </c>
      <c r="BA45" s="18">
        <v>248925</v>
      </c>
      <c r="BB45" s="11">
        <v>181226</v>
      </c>
      <c r="BC45" s="10">
        <f t="shared" si="20"/>
        <v>51920</v>
      </c>
      <c r="BD45" s="20">
        <v>233146</v>
      </c>
      <c r="BE45" s="12">
        <f t="shared" si="21"/>
        <v>0.93661142914532491</v>
      </c>
      <c r="BF45" s="18">
        <v>305535</v>
      </c>
      <c r="BG45" s="11">
        <v>207501</v>
      </c>
      <c r="BH45" s="10">
        <f t="shared" si="24"/>
        <v>79700</v>
      </c>
      <c r="BI45" s="11">
        <v>287201</v>
      </c>
      <c r="BJ45" s="12">
        <f t="shared" si="25"/>
        <v>0.93999378139983958</v>
      </c>
      <c r="BK45" s="24"/>
      <c r="BL45" s="24"/>
    </row>
    <row r="46" spans="1:64" x14ac:dyDescent="0.3">
      <c r="A46" s="22">
        <v>38</v>
      </c>
      <c r="B46" s="3" t="s">
        <v>43</v>
      </c>
      <c r="C46" s="15">
        <v>2070</v>
      </c>
      <c r="D46" s="10">
        <v>396</v>
      </c>
      <c r="E46" s="10">
        <f t="shared" si="0"/>
        <v>1656</v>
      </c>
      <c r="F46" s="20">
        <v>2052</v>
      </c>
      <c r="G46" s="12">
        <f t="shared" si="1"/>
        <v>0.99130434782608701</v>
      </c>
      <c r="H46" s="15">
        <v>2134</v>
      </c>
      <c r="I46" s="10">
        <v>530</v>
      </c>
      <c r="J46" s="10">
        <f t="shared" si="2"/>
        <v>1585</v>
      </c>
      <c r="K46" s="20">
        <v>2115</v>
      </c>
      <c r="L46" s="12">
        <f t="shared" si="3"/>
        <v>0.9910965323336457</v>
      </c>
      <c r="M46" s="16">
        <v>4565</v>
      </c>
      <c r="N46" s="10">
        <v>2966</v>
      </c>
      <c r="O46" s="10">
        <f t="shared" si="4"/>
        <v>1558</v>
      </c>
      <c r="P46" s="13">
        <v>4524</v>
      </c>
      <c r="Q46" s="12">
        <f t="shared" si="5"/>
        <v>0.99101861993428253</v>
      </c>
      <c r="R46" s="16">
        <v>2092</v>
      </c>
      <c r="S46" s="10">
        <v>1143</v>
      </c>
      <c r="T46" s="10">
        <f t="shared" si="6"/>
        <v>869</v>
      </c>
      <c r="U46" s="20">
        <v>2012</v>
      </c>
      <c r="V46" s="12">
        <f t="shared" si="7"/>
        <v>0.96175908221797324</v>
      </c>
      <c r="W46" s="16">
        <v>2205</v>
      </c>
      <c r="X46" s="10">
        <v>1269</v>
      </c>
      <c r="Y46" s="10">
        <f t="shared" si="8"/>
        <v>869</v>
      </c>
      <c r="Z46" s="20">
        <v>2138</v>
      </c>
      <c r="AA46" s="12">
        <f t="shared" si="9"/>
        <v>0.96961451247165531</v>
      </c>
      <c r="AB46" s="17">
        <v>4967</v>
      </c>
      <c r="AC46" s="10">
        <v>3433</v>
      </c>
      <c r="AD46" s="10">
        <f t="shared" si="10"/>
        <v>1452</v>
      </c>
      <c r="AE46" s="11">
        <v>4885</v>
      </c>
      <c r="AF46" s="12">
        <f t="shared" si="11"/>
        <v>0.98349104086974026</v>
      </c>
      <c r="AG46" s="16">
        <v>2151</v>
      </c>
      <c r="AH46" s="10">
        <v>1290</v>
      </c>
      <c r="AI46" s="10">
        <f t="shared" si="12"/>
        <v>741</v>
      </c>
      <c r="AJ46" s="20">
        <v>2031</v>
      </c>
      <c r="AK46" s="12">
        <f t="shared" si="13"/>
        <v>0.94421199442119941</v>
      </c>
      <c r="AL46" s="18">
        <v>2221</v>
      </c>
      <c r="AM46" s="11">
        <v>1388</v>
      </c>
      <c r="AN46" s="10">
        <f t="shared" si="14"/>
        <v>747</v>
      </c>
      <c r="AO46" s="11">
        <v>2135</v>
      </c>
      <c r="AP46" s="12">
        <f t="shared" si="15"/>
        <v>0.96127870328680776</v>
      </c>
      <c r="AQ46" s="11">
        <v>5242</v>
      </c>
      <c r="AR46" s="11">
        <v>3673</v>
      </c>
      <c r="AS46" s="10">
        <f t="shared" si="16"/>
        <v>1467</v>
      </c>
      <c r="AT46" s="13">
        <v>5140</v>
      </c>
      <c r="AU46" s="12">
        <f t="shared" si="17"/>
        <v>0.98054177794734831</v>
      </c>
      <c r="AV46" s="18">
        <v>2226</v>
      </c>
      <c r="AW46" s="11">
        <v>1453</v>
      </c>
      <c r="AX46" s="10">
        <f t="shared" si="18"/>
        <v>687</v>
      </c>
      <c r="AY46" s="20">
        <v>2140</v>
      </c>
      <c r="AZ46" s="12">
        <f t="shared" si="19"/>
        <v>0.96136567834681042</v>
      </c>
      <c r="BA46" s="18">
        <v>2322</v>
      </c>
      <c r="BB46" s="11">
        <v>1525</v>
      </c>
      <c r="BC46" s="10">
        <f t="shared" si="20"/>
        <v>734</v>
      </c>
      <c r="BD46" s="20">
        <v>2259</v>
      </c>
      <c r="BE46" s="12">
        <f t="shared" si="21"/>
        <v>0.97286821705426352</v>
      </c>
      <c r="BF46" s="18">
        <v>5417</v>
      </c>
      <c r="BG46" s="11">
        <v>3823</v>
      </c>
      <c r="BH46" s="10">
        <f t="shared" si="24"/>
        <v>1667</v>
      </c>
      <c r="BI46" s="11">
        <v>5490</v>
      </c>
      <c r="BJ46" s="12">
        <f t="shared" si="25"/>
        <v>1.0134760937788443</v>
      </c>
      <c r="BK46" s="24"/>
      <c r="BL46" s="24"/>
    </row>
    <row r="47" spans="1:64" x14ac:dyDescent="0.3">
      <c r="A47" s="22">
        <v>97</v>
      </c>
      <c r="B47" s="3" t="s">
        <v>44</v>
      </c>
      <c r="C47" s="15">
        <v>76</v>
      </c>
      <c r="D47" s="10">
        <v>52</v>
      </c>
      <c r="E47" s="10">
        <f t="shared" si="0"/>
        <v>12</v>
      </c>
      <c r="F47" s="20">
        <v>64</v>
      </c>
      <c r="G47" s="12">
        <f t="shared" si="1"/>
        <v>0.84210526315789469</v>
      </c>
      <c r="H47" s="15">
        <v>77</v>
      </c>
      <c r="I47" s="10">
        <v>43</v>
      </c>
      <c r="J47" s="10">
        <f t="shared" si="2"/>
        <v>22</v>
      </c>
      <c r="K47" s="20">
        <v>65</v>
      </c>
      <c r="L47" s="12">
        <f t="shared" si="3"/>
        <v>0.8441558441558441</v>
      </c>
      <c r="M47" s="16">
        <v>82</v>
      </c>
      <c r="N47" s="10">
        <v>55</v>
      </c>
      <c r="O47" s="10">
        <f t="shared" si="4"/>
        <v>16</v>
      </c>
      <c r="P47" s="13">
        <v>71</v>
      </c>
      <c r="Q47" s="12">
        <f t="shared" si="5"/>
        <v>0.86585365853658536</v>
      </c>
      <c r="R47" s="16">
        <v>77</v>
      </c>
      <c r="S47" s="10">
        <v>60</v>
      </c>
      <c r="T47" s="10">
        <f t="shared" si="6"/>
        <v>5</v>
      </c>
      <c r="U47" s="20">
        <v>65</v>
      </c>
      <c r="V47" s="12">
        <f t="shared" si="7"/>
        <v>0.8441558441558441</v>
      </c>
      <c r="W47" s="16">
        <v>77</v>
      </c>
      <c r="X47" s="10">
        <v>56</v>
      </c>
      <c r="Y47" s="10">
        <f t="shared" si="8"/>
        <v>9</v>
      </c>
      <c r="Z47" s="20">
        <v>65</v>
      </c>
      <c r="AA47" s="12">
        <f t="shared" si="9"/>
        <v>0.8441558441558441</v>
      </c>
      <c r="AB47" s="17">
        <v>86</v>
      </c>
      <c r="AC47" s="10">
        <v>63</v>
      </c>
      <c r="AD47" s="10">
        <f t="shared" si="10"/>
        <v>8</v>
      </c>
      <c r="AE47" s="11">
        <v>71</v>
      </c>
      <c r="AF47" s="12">
        <f t="shared" si="11"/>
        <v>0.82558139534883723</v>
      </c>
      <c r="AG47" s="16">
        <v>80</v>
      </c>
      <c r="AH47" s="10">
        <v>58</v>
      </c>
      <c r="AI47" s="10">
        <f t="shared" si="12"/>
        <v>7</v>
      </c>
      <c r="AJ47" s="20">
        <v>65</v>
      </c>
      <c r="AK47" s="12">
        <f t="shared" si="13"/>
        <v>0.8125</v>
      </c>
      <c r="AL47" s="18">
        <v>81</v>
      </c>
      <c r="AM47" s="11">
        <v>61</v>
      </c>
      <c r="AN47" s="10">
        <f t="shared" si="14"/>
        <v>5</v>
      </c>
      <c r="AO47" s="11">
        <v>66</v>
      </c>
      <c r="AP47" s="12">
        <f t="shared" si="15"/>
        <v>0.81481481481481477</v>
      </c>
      <c r="AQ47" s="11">
        <v>86</v>
      </c>
      <c r="AR47" s="11">
        <v>61</v>
      </c>
      <c r="AS47" s="10">
        <f t="shared" si="16"/>
        <v>11</v>
      </c>
      <c r="AT47" s="13">
        <v>72</v>
      </c>
      <c r="AU47" s="12">
        <f t="shared" si="17"/>
        <v>0.83720930232558144</v>
      </c>
      <c r="AV47" s="18">
        <v>81</v>
      </c>
      <c r="AW47" s="11">
        <v>59</v>
      </c>
      <c r="AX47" s="10">
        <f t="shared" si="18"/>
        <v>7</v>
      </c>
      <c r="AY47" s="20">
        <v>66</v>
      </c>
      <c r="AZ47" s="12">
        <f t="shared" si="19"/>
        <v>0.81481481481481477</v>
      </c>
      <c r="BA47" s="18">
        <v>81</v>
      </c>
      <c r="BB47" s="11">
        <v>59</v>
      </c>
      <c r="BC47" s="10">
        <f t="shared" si="20"/>
        <v>7</v>
      </c>
      <c r="BD47" s="20">
        <v>66</v>
      </c>
      <c r="BE47" s="12">
        <f t="shared" si="21"/>
        <v>0.81481481481481477</v>
      </c>
      <c r="BF47" s="18">
        <v>89</v>
      </c>
      <c r="BG47" s="11">
        <v>62</v>
      </c>
      <c r="BH47" s="10">
        <f t="shared" si="24"/>
        <v>10</v>
      </c>
      <c r="BI47" s="11">
        <v>72</v>
      </c>
      <c r="BJ47" s="12">
        <f t="shared" si="25"/>
        <v>0.8089887640449438</v>
      </c>
      <c r="BK47" s="24"/>
      <c r="BL47" s="24"/>
    </row>
    <row r="48" spans="1:64" x14ac:dyDescent="0.3">
      <c r="A48" s="26" t="s">
        <v>45</v>
      </c>
      <c r="B48" s="26"/>
      <c r="C48" s="6">
        <f>SUM(C10:C47)</f>
        <v>6932700</v>
      </c>
      <c r="D48" s="6">
        <f>SUM(D10:D47)</f>
        <v>1217800</v>
      </c>
      <c r="E48" s="8">
        <f t="shared" si="0"/>
        <v>5340366</v>
      </c>
      <c r="F48" s="7">
        <f>SUM(F10:F47)</f>
        <v>6558166</v>
      </c>
      <c r="G48" s="9">
        <f t="shared" si="1"/>
        <v>0.94597573816839042</v>
      </c>
      <c r="H48" s="6">
        <f>SUM(H10:H47)</f>
        <v>6950738</v>
      </c>
      <c r="I48" s="6">
        <f>SUM(I10:I47)</f>
        <v>1446441</v>
      </c>
      <c r="J48" s="8">
        <f t="shared" si="2"/>
        <v>5126201</v>
      </c>
      <c r="K48" s="7">
        <f>SUM(K10:K47)</f>
        <v>6572642</v>
      </c>
      <c r="L48" s="9">
        <f t="shared" si="3"/>
        <v>0.9456034740483672</v>
      </c>
      <c r="M48" s="6">
        <f>SUM(M10:M47)</f>
        <v>10856253</v>
      </c>
      <c r="N48" s="6">
        <f>SUM(N10:N47)</f>
        <v>6843455</v>
      </c>
      <c r="O48" s="8">
        <f t="shared" si="4"/>
        <v>3595351</v>
      </c>
      <c r="P48" s="7">
        <f>SUM(P10:P47)</f>
        <v>10438806</v>
      </c>
      <c r="Q48" s="9">
        <f t="shared" si="5"/>
        <v>0.96154778264655405</v>
      </c>
      <c r="R48" s="6">
        <f>SUM(R10:R47)</f>
        <v>7018290</v>
      </c>
      <c r="S48" s="6">
        <f>SUM(S10:S47)</f>
        <v>4909070</v>
      </c>
      <c r="T48" s="8">
        <f t="shared" si="6"/>
        <v>1738441</v>
      </c>
      <c r="U48" s="7">
        <f>SUM(U10:U47)</f>
        <v>6647511</v>
      </c>
      <c r="V48" s="9">
        <f t="shared" si="7"/>
        <v>0.94716960969124953</v>
      </c>
      <c r="W48" s="6">
        <f>SUM(W10:W47)</f>
        <v>7125860</v>
      </c>
      <c r="X48" s="6">
        <f>SUM(X10:X47)</f>
        <v>5026590</v>
      </c>
      <c r="Y48" s="8">
        <f t="shared" si="8"/>
        <v>1753805</v>
      </c>
      <c r="Z48" s="7">
        <f>SUM(Z10:Z47)</f>
        <v>6780395</v>
      </c>
      <c r="AA48" s="9">
        <f t="shared" si="9"/>
        <v>0.95151953588759808</v>
      </c>
      <c r="AB48" s="6">
        <f>SUM(AB10:AB47)</f>
        <v>11181178</v>
      </c>
      <c r="AC48" s="6">
        <f>SUM(AC10:AC47)</f>
        <v>8442268</v>
      </c>
      <c r="AD48" s="8">
        <f t="shared" si="10"/>
        <v>2305099</v>
      </c>
      <c r="AE48" s="7">
        <f>SUM(AE10:AE47)</f>
        <v>10747367</v>
      </c>
      <c r="AF48" s="9">
        <f t="shared" si="11"/>
        <v>0.96120167302586546</v>
      </c>
      <c r="AG48" s="6">
        <f>SUM(AG10:AG47)</f>
        <v>7127280</v>
      </c>
      <c r="AH48" s="6">
        <f>SUM(AH10:AH47)</f>
        <v>5281079</v>
      </c>
      <c r="AI48" s="8">
        <f t="shared" si="12"/>
        <v>1483432</v>
      </c>
      <c r="AJ48" s="7">
        <f>SUM(AJ10:AJ47)</f>
        <v>6764511</v>
      </c>
      <c r="AK48" s="9">
        <f t="shared" si="13"/>
        <v>0.94910134020271408</v>
      </c>
      <c r="AL48" s="6">
        <f>SUM(AL10:AL47)</f>
        <v>7209029</v>
      </c>
      <c r="AM48" s="6">
        <f>SUM(AM10:AM47)</f>
        <v>5357364</v>
      </c>
      <c r="AN48" s="8">
        <f t="shared" si="14"/>
        <v>1501288</v>
      </c>
      <c r="AO48" s="7">
        <f>SUM(AO10:AO47)</f>
        <v>6858652</v>
      </c>
      <c r="AP48" s="9">
        <f t="shared" si="15"/>
        <v>0.95139747669207597</v>
      </c>
      <c r="AQ48" s="6">
        <f>SUM(AQ10:AQ47)</f>
        <v>11429107</v>
      </c>
      <c r="AR48" s="6">
        <f>SUM(AR10:AR47)</f>
        <v>8776486</v>
      </c>
      <c r="AS48" s="8">
        <f t="shared" si="16"/>
        <v>2190424</v>
      </c>
      <c r="AT48" s="7">
        <f>SUM(AT10:AT47)</f>
        <v>10966910</v>
      </c>
      <c r="AU48" s="9">
        <f t="shared" si="17"/>
        <v>0.95955965763554407</v>
      </c>
      <c r="AV48" s="6">
        <f>SUM(AV10:AV47)</f>
        <v>7242766</v>
      </c>
      <c r="AW48" s="6">
        <f>SUM(AW10:AW47)</f>
        <v>5366336</v>
      </c>
      <c r="AX48" s="8">
        <f t="shared" si="18"/>
        <v>1537128</v>
      </c>
      <c r="AY48" s="7">
        <f>SUM(AY10:AY47)</f>
        <v>6903464</v>
      </c>
      <c r="AZ48" s="9">
        <f t="shared" si="19"/>
        <v>0.95315298050496178</v>
      </c>
      <c r="BA48" s="6">
        <f>SUM(BA10:BA47)</f>
        <v>7311740</v>
      </c>
      <c r="BB48" s="6">
        <f>SUM(BB10:BB47)</f>
        <v>5403224</v>
      </c>
      <c r="BC48" s="8">
        <f t="shared" si="20"/>
        <v>1610248</v>
      </c>
      <c r="BD48" s="7">
        <f>SUM(BD10:BD47)</f>
        <v>7013472</v>
      </c>
      <c r="BE48" s="9">
        <f t="shared" si="21"/>
        <v>0.95920697398977539</v>
      </c>
      <c r="BF48" s="6">
        <f>SUM(BF10:BF47)</f>
        <v>11631207</v>
      </c>
      <c r="BG48" s="6">
        <f>SUM(BG10:BG47)</f>
        <v>8499869</v>
      </c>
      <c r="BH48" s="8">
        <f t="shared" si="24"/>
        <v>2687838</v>
      </c>
      <c r="BI48" s="7">
        <f>SUM(BI10:BI47)</f>
        <v>11187707</v>
      </c>
      <c r="BJ48" s="9">
        <f t="shared" si="25"/>
        <v>0.96186982142094113</v>
      </c>
      <c r="BK48" s="24"/>
      <c r="BL48" s="24"/>
    </row>
    <row r="49" spans="1:37" x14ac:dyDescent="0.3">
      <c r="A49" s="1"/>
    </row>
    <row r="50" spans="1:37" x14ac:dyDescent="0.3">
      <c r="A50" s="1"/>
    </row>
    <row r="51" spans="1:37" x14ac:dyDescent="0.3">
      <c r="A51" s="1"/>
    </row>
    <row r="52" spans="1:37" x14ac:dyDescent="0.3">
      <c r="A52" s="1"/>
    </row>
    <row r="53" spans="1:37" x14ac:dyDescent="0.3">
      <c r="A53" s="1"/>
    </row>
    <row r="54" spans="1:37" x14ac:dyDescent="0.3">
      <c r="A54" s="1"/>
    </row>
    <row r="55" spans="1:37" x14ac:dyDescent="0.3">
      <c r="A55" s="1"/>
    </row>
    <row r="56" spans="1:37" x14ac:dyDescent="0.3">
      <c r="A56" s="1"/>
      <c r="B56" s="1"/>
      <c r="C56" s="1"/>
      <c r="D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spans="1:37" x14ac:dyDescent="0.3">
      <c r="A57" s="25" t="s">
        <v>46</v>
      </c>
      <c r="B57" s="25"/>
      <c r="C57" s="25"/>
      <c r="D57" s="2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</sheetData>
  <mergeCells count="18">
    <mergeCell ref="A1:E1"/>
    <mergeCell ref="BF8:BJ8"/>
    <mergeCell ref="M8:Q8"/>
    <mergeCell ref="R8:V8"/>
    <mergeCell ref="W8:AA8"/>
    <mergeCell ref="AB8:AF8"/>
    <mergeCell ref="A3:B3"/>
    <mergeCell ref="A5:C5"/>
    <mergeCell ref="A8:A9"/>
    <mergeCell ref="B8:B9"/>
    <mergeCell ref="C8:G8"/>
    <mergeCell ref="A48:B48"/>
    <mergeCell ref="BA8:BE8"/>
    <mergeCell ref="AL8:AP8"/>
    <mergeCell ref="AQ8:AU8"/>
    <mergeCell ref="AV8:AZ8"/>
    <mergeCell ref="AG8:AK8"/>
    <mergeCell ref="H8:L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2026-06-10T11:12:56Z</dcterms:modified>
</cp:coreProperties>
</file>