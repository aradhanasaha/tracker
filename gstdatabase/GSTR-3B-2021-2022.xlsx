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GSTN\Krishnan Sir\Monthly Report\Aug-26\GST Statistics Downloads 31st Aug 26\Downloads\GSTR 3B\"/>
    </mc:Choice>
  </mc:AlternateContent>
  <xr:revisionPtr revIDLastSave="0" documentId="13_ncr:1_{590B0E6C-E846-4FB4-91AA-E24715EFC6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3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BF48" i="1" l="1"/>
  <c r="BA48" i="1"/>
  <c r="AV48" i="1"/>
  <c r="AQ48" i="1"/>
  <c r="AL48" i="1"/>
  <c r="AG48" i="1"/>
  <c r="AB48" i="1"/>
  <c r="W48" i="1"/>
  <c r="R48" i="1"/>
  <c r="M48" i="1"/>
  <c r="H48" i="1"/>
  <c r="C48" i="1"/>
  <c r="BC10" i="1" l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AW48" i="1" l="1"/>
  <c r="BG48" i="1" l="1"/>
  <c r="BD48" i="1" l="1"/>
  <c r="AY48" i="1"/>
  <c r="AO48" i="1"/>
  <c r="AJ48" i="1"/>
  <c r="Z48" i="1"/>
  <c r="U48" i="1"/>
  <c r="K48" i="1"/>
  <c r="BB48" i="1"/>
  <c r="AR48" i="1"/>
  <c r="AM48" i="1"/>
  <c r="AH48" i="1"/>
  <c r="AC48" i="1"/>
  <c r="X48" i="1"/>
  <c r="S48" i="1"/>
  <c r="N48" i="1"/>
  <c r="I48" i="1"/>
  <c r="F48" i="1"/>
  <c r="D48" i="1"/>
  <c r="Y48" i="1" l="1"/>
  <c r="J48" i="1"/>
  <c r="T48" i="1"/>
  <c r="AI48" i="1"/>
  <c r="BC48" i="1"/>
  <c r="AN48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10" i="1"/>
  <c r="AN11" i="1" l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10" i="1"/>
  <c r="AP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N10" i="1"/>
  <c r="AK11" i="1" l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AK10" i="1"/>
  <c r="AA10" i="1"/>
  <c r="V10" i="1"/>
  <c r="L10" i="1"/>
  <c r="G10" i="1"/>
  <c r="Y10" i="1"/>
  <c r="T10" i="1"/>
  <c r="J10" i="1"/>
  <c r="E10" i="1"/>
  <c r="AX10" i="1" l="1"/>
  <c r="AX48" i="1"/>
  <c r="BJ32" i="1" l="1"/>
  <c r="BJ35" i="1"/>
  <c r="BJ28" i="1"/>
  <c r="BJ44" i="1"/>
  <c r="BJ43" i="1"/>
  <c r="BJ22" i="1"/>
  <c r="BJ18" i="1"/>
  <c r="BJ31" i="1"/>
  <c r="BJ11" i="1"/>
  <c r="BJ42" i="1"/>
  <c r="BJ45" i="1"/>
  <c r="BJ12" i="1"/>
  <c r="BJ46" i="1"/>
  <c r="BH46" i="1"/>
  <c r="BJ39" i="1"/>
  <c r="BJ15" i="1"/>
  <c r="BH15" i="1"/>
  <c r="BH13" i="1"/>
  <c r="BJ13" i="1"/>
  <c r="BH22" i="1"/>
  <c r="BH38" i="1"/>
  <c r="BJ38" i="1"/>
  <c r="BH16" i="1"/>
  <c r="BJ16" i="1"/>
  <c r="BH32" i="1"/>
  <c r="BJ41" i="1"/>
  <c r="BJ29" i="1"/>
  <c r="BH28" i="1"/>
  <c r="BJ17" i="1"/>
  <c r="BH43" i="1"/>
  <c r="BJ21" i="1"/>
  <c r="BH24" i="1"/>
  <c r="BJ24" i="1"/>
  <c r="BH18" i="1"/>
  <c r="BJ26" i="1"/>
  <c r="BH11" i="1"/>
  <c r="BJ47" i="1"/>
  <c r="BI48" i="1"/>
  <c r="BJ10" i="1"/>
  <c r="BJ33" i="1"/>
  <c r="BH10" i="1"/>
  <c r="BH44" i="1"/>
  <c r="BH31" i="1"/>
  <c r="BH42" i="1"/>
  <c r="BJ37" i="1"/>
  <c r="BH41" i="1"/>
  <c r="BH29" i="1"/>
  <c r="BH17" i="1"/>
  <c r="BJ36" i="1"/>
  <c r="BH21" i="1"/>
  <c r="BH26" i="1"/>
  <c r="BJ23" i="1"/>
  <c r="BJ40" i="1"/>
  <c r="BH40" i="1"/>
  <c r="BJ25" i="1"/>
  <c r="BH25" i="1"/>
  <c r="BH14" i="1"/>
  <c r="BJ14" i="1"/>
  <c r="BJ20" i="1"/>
  <c r="BH20" i="1"/>
  <c r="BH39" i="1"/>
  <c r="BH37" i="1"/>
  <c r="BJ19" i="1"/>
  <c r="BH19" i="1"/>
  <c r="BH36" i="1"/>
  <c r="BH47" i="1"/>
  <c r="BH23" i="1"/>
  <c r="BJ30" i="1"/>
  <c r="BH30" i="1"/>
  <c r="BH45" i="1"/>
  <c r="BH27" i="1"/>
  <c r="BJ27" i="1"/>
  <c r="BH12" i="1"/>
  <c r="BH33" i="1"/>
  <c r="BH35" i="1"/>
  <c r="BH48" i="1" l="1"/>
  <c r="BJ48" i="1"/>
  <c r="AF42" i="1" l="1"/>
  <c r="AD42" i="1"/>
  <c r="AF33" i="1"/>
  <c r="AD33" i="1"/>
  <c r="AF25" i="1"/>
  <c r="AD25" i="1"/>
  <c r="AF17" i="1"/>
  <c r="AD17" i="1"/>
  <c r="AF41" i="1"/>
  <c r="AD41" i="1"/>
  <c r="AF32" i="1"/>
  <c r="AD32" i="1"/>
  <c r="AF24" i="1"/>
  <c r="AD24" i="1"/>
  <c r="AF16" i="1"/>
  <c r="AD16" i="1"/>
  <c r="AF40" i="1"/>
  <c r="AD40" i="1"/>
  <c r="AF31" i="1"/>
  <c r="AD31" i="1"/>
  <c r="AF23" i="1"/>
  <c r="AD23" i="1"/>
  <c r="AF15" i="1"/>
  <c r="AD15" i="1"/>
  <c r="AF47" i="1"/>
  <c r="AD47" i="1"/>
  <c r="AF39" i="1"/>
  <c r="AD39" i="1"/>
  <c r="AF30" i="1"/>
  <c r="AD30" i="1"/>
  <c r="AF22" i="1"/>
  <c r="AD22" i="1"/>
  <c r="AF14" i="1"/>
  <c r="AD14" i="1"/>
  <c r="AF46" i="1"/>
  <c r="AD46" i="1"/>
  <c r="AF38" i="1"/>
  <c r="AD38" i="1"/>
  <c r="AF29" i="1"/>
  <c r="AD29" i="1"/>
  <c r="AF21" i="1"/>
  <c r="AD21" i="1"/>
  <c r="AF13" i="1"/>
  <c r="AD13" i="1"/>
  <c r="AF45" i="1"/>
  <c r="AD45" i="1"/>
  <c r="AF37" i="1"/>
  <c r="AD37" i="1"/>
  <c r="AF28" i="1"/>
  <c r="AD28" i="1"/>
  <c r="AF20" i="1"/>
  <c r="AD20" i="1"/>
  <c r="AF12" i="1"/>
  <c r="AD12" i="1"/>
  <c r="AF44" i="1"/>
  <c r="AD44" i="1"/>
  <c r="AF36" i="1"/>
  <c r="AD36" i="1"/>
  <c r="AF27" i="1"/>
  <c r="AD27" i="1"/>
  <c r="AF19" i="1"/>
  <c r="AD19" i="1"/>
  <c r="AF11" i="1"/>
  <c r="AD11" i="1"/>
  <c r="AF43" i="1"/>
  <c r="AD43" i="1"/>
  <c r="AF35" i="1"/>
  <c r="AD35" i="1"/>
  <c r="AF26" i="1"/>
  <c r="AD26" i="1"/>
  <c r="AF18" i="1"/>
  <c r="AD18" i="1"/>
  <c r="AE48" i="1"/>
  <c r="AD10" i="1"/>
  <c r="AF10" i="1"/>
  <c r="AF48" i="1" l="1"/>
  <c r="AD48" i="1"/>
  <c r="O31" i="1"/>
  <c r="Q31" i="1"/>
  <c r="Q23" i="1"/>
  <c r="O23" i="1"/>
  <c r="O35" i="1"/>
  <c r="Q35" i="1"/>
  <c r="O18" i="1"/>
  <c r="Q18" i="1"/>
  <c r="O29" i="1"/>
  <c r="Q29" i="1"/>
  <c r="Q15" i="1"/>
  <c r="O15" i="1"/>
  <c r="O25" i="1"/>
  <c r="Q25" i="1"/>
  <c r="Q40" i="1"/>
  <c r="O40" i="1"/>
  <c r="Q47" i="1"/>
  <c r="O47" i="1"/>
  <c r="Q39" i="1"/>
  <c r="O39" i="1"/>
  <c r="Q30" i="1"/>
  <c r="O30" i="1"/>
  <c r="Q22" i="1"/>
  <c r="O22" i="1"/>
  <c r="Q14" i="1"/>
  <c r="O14" i="1"/>
  <c r="Q46" i="1"/>
  <c r="O46" i="1"/>
  <c r="Q38" i="1"/>
  <c r="O38" i="1"/>
  <c r="Q21" i="1"/>
  <c r="O21" i="1"/>
  <c r="Q13" i="1"/>
  <c r="O13" i="1"/>
  <c r="O43" i="1"/>
  <c r="Q43" i="1"/>
  <c r="O26" i="1"/>
  <c r="Q26" i="1"/>
  <c r="Q45" i="1"/>
  <c r="O45" i="1"/>
  <c r="Q37" i="1"/>
  <c r="O37" i="1"/>
  <c r="Q28" i="1"/>
  <c r="O28" i="1"/>
  <c r="Q20" i="1"/>
  <c r="O20" i="1"/>
  <c r="Q12" i="1"/>
  <c r="O12" i="1"/>
  <c r="O42" i="1"/>
  <c r="Q42" i="1"/>
  <c r="O33" i="1"/>
  <c r="Q33" i="1"/>
  <c r="O17" i="1"/>
  <c r="Q17" i="1"/>
  <c r="Q44" i="1"/>
  <c r="O44" i="1"/>
  <c r="Q36" i="1"/>
  <c r="O36" i="1"/>
  <c r="Q27" i="1"/>
  <c r="O27" i="1"/>
  <c r="Q19" i="1"/>
  <c r="O19" i="1"/>
  <c r="Q11" i="1"/>
  <c r="O11" i="1"/>
  <c r="O41" i="1"/>
  <c r="Q41" i="1"/>
  <c r="O32" i="1"/>
  <c r="Q32" i="1"/>
  <c r="O24" i="1"/>
  <c r="Q24" i="1"/>
  <c r="O16" i="1"/>
  <c r="Q16" i="1"/>
  <c r="P48" i="1"/>
  <c r="O10" i="1"/>
  <c r="Q10" i="1"/>
  <c r="O48" i="1" l="1"/>
  <c r="Q48" i="1"/>
  <c r="AT48" i="1" l="1"/>
  <c r="AS21" i="1"/>
  <c r="AU21" i="1"/>
  <c r="AU29" i="1"/>
  <c r="AS29" i="1"/>
  <c r="AS31" i="1"/>
  <c r="AU31" i="1"/>
  <c r="AS46" i="1"/>
  <c r="AU46" i="1"/>
  <c r="AS11" i="1"/>
  <c r="AU11" i="1"/>
  <c r="AS33" i="1"/>
  <c r="AU33" i="1"/>
  <c r="AS28" i="1"/>
  <c r="AU28" i="1"/>
  <c r="AU14" i="1"/>
  <c r="AS14" i="1"/>
  <c r="AU27" i="1"/>
  <c r="AS27" i="1"/>
  <c r="AS12" i="1"/>
  <c r="AU12" i="1"/>
  <c r="AU30" i="1"/>
  <c r="AS30" i="1"/>
  <c r="AU47" i="1"/>
  <c r="AS47" i="1"/>
  <c r="AS32" i="1"/>
  <c r="AU32" i="1"/>
  <c r="AS41" i="1"/>
  <c r="AU41" i="1"/>
  <c r="AS42" i="1"/>
  <c r="AU42" i="1"/>
  <c r="AU44" i="1"/>
  <c r="AS44" i="1"/>
  <c r="AU37" i="1"/>
  <c r="AS37" i="1"/>
  <c r="AS16" i="1"/>
  <c r="AU16" i="1"/>
  <c r="AU20" i="1"/>
  <c r="AS20" i="1"/>
  <c r="AS18" i="1"/>
  <c r="AU18" i="1"/>
  <c r="AS45" i="1"/>
  <c r="AU45" i="1"/>
  <c r="AU35" i="1"/>
  <c r="AS35" i="1"/>
  <c r="AS25" i="1"/>
  <c r="AU25" i="1"/>
  <c r="AS17" i="1"/>
  <c r="AU17" i="1"/>
  <c r="AU13" i="1"/>
  <c r="AS13" i="1"/>
  <c r="AS26" i="1"/>
  <c r="AU26" i="1"/>
  <c r="AU40" i="1"/>
  <c r="AS40" i="1"/>
  <c r="AS15" i="1"/>
  <c r="AU15" i="1"/>
  <c r="AS10" i="1"/>
  <c r="AU10" i="1"/>
  <c r="AU22" i="1"/>
  <c r="AS22" i="1"/>
  <c r="AS43" i="1"/>
  <c r="AU43" i="1"/>
  <c r="AU38" i="1"/>
  <c r="AS38" i="1"/>
  <c r="AS23" i="1"/>
  <c r="AU23" i="1"/>
  <c r="AU36" i="1"/>
  <c r="AS36" i="1"/>
  <c r="AS19" i="1"/>
  <c r="AU19" i="1"/>
  <c r="AU24" i="1"/>
  <c r="AS24" i="1"/>
  <c r="AS39" i="1"/>
  <c r="AU39" i="1"/>
  <c r="AU48" i="1" l="1"/>
  <c r="AS48" i="1"/>
</calcChain>
</file>

<file path=xl/sharedStrings.xml><?xml version="1.0" encoding="utf-8"?>
<sst xmlns="http://schemas.openxmlformats.org/spreadsheetml/2006/main" count="153" uniqueCount="51">
  <si>
    <t>FINANCIAL YEAR 2021-2022</t>
  </si>
  <si>
    <t>STATE CD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</si>
  <si>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</si>
  <si>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</si>
  <si>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</si>
  <si>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</si>
  <si>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</si>
  <si>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</si>
  <si>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</si>
  <si>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</si>
  <si>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</si>
  <si>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</si>
  <si>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</si>
  <si>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</si>
  <si>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</si>
  <si>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</si>
  <si>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</si>
  <si>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</si>
  <si>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</si>
  <si>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</si>
  <si>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</si>
  <si>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</si>
  <si>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</si>
  <si>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</si>
  <si>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</si>
  <si>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</si>
  <si>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</si>
  <si>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</si>
  <si>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</si>
  <si>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</si>
  <si>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</si>
  <si>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and Diu</t>
  </si>
  <si>
    <t>Dadra and Nagar Haveli</t>
  </si>
  <si>
    <t>Maharashtra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</si>
  <si>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</si>
  <si>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</si>
  <si>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</si>
  <si>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</si>
  <si>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</si>
  <si>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</si>
  <si>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</si>
  <si>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</si>
  <si>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Andhra Pradesh</t>
  </si>
  <si>
    <t>Ladakh</t>
  </si>
  <si>
    <t>Other Territory</t>
  </si>
  <si>
    <t>Total</t>
  </si>
  <si>
    <t>*  State Code 97 represents  territories other than States/UTs</t>
  </si>
  <si>
    <t>-</t>
  </si>
  <si>
    <t>STATE WISE RETURN PERIOD WISE GSTR-3B FILING SUMMARY</t>
  </si>
  <si>
    <t>Data Considered upto 31st Aug 2026</t>
  </si>
  <si>
    <t>Filing %age as on 31st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</si>
</sst>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sz val="15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/>
    <xf numFmtId="165" fontId="3" fillId="0" borderId="0" xfId="0" applyNumberFormat="1" applyFont="1"/>
    <xf numFmtId="165" fontId="2" fillId="2" borderId="1" xfId="3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right" vertical="center" wrapText="1"/>
    </xf>
    <xf numFmtId="165" fontId="6" fillId="4" borderId="1" xfId="0" applyNumberFormat="1" applyFont="1" applyFill="1" applyBorder="1" applyAlignment="1">
      <alignment horizontal="right" vertical="center" wrapText="1"/>
    </xf>
    <xf numFmtId="165" fontId="7" fillId="3" borderId="1" xfId="0" applyNumberFormat="1" applyFont="1" applyFill="1" applyBorder="1"/>
    <xf numFmtId="10" fontId="7" fillId="3" borderId="1" xfId="2" applyNumberFormat="1" applyFont="1" applyFill="1" applyBorder="1"/>
    <xf numFmtId="165" fontId="3" fillId="0" borderId="1" xfId="0" applyNumberFormat="1" applyFont="1" applyBorder="1"/>
    <xf numFmtId="165" fontId="0" fillId="0" borderId="1" xfId="0" applyNumberFormat="1" applyBorder="1"/>
    <xf numFmtId="10" fontId="3" fillId="0" borderId="1" xfId="2" applyNumberFormat="1" applyFont="1" applyFill="1" applyBorder="1"/>
    <xf numFmtId="165" fontId="0" fillId="0" borderId="1" xfId="0" applyNumberFormat="1" applyBorder="1" applyAlignment="1">
      <alignment vertical="center" wrapText="1"/>
    </xf>
    <xf numFmtId="165" fontId="1" fillId="0" borderId="1" xfId="4" applyNumberFormat="1" applyFont="1" applyBorder="1"/>
    <xf numFmtId="166" fontId="3" fillId="5" borderId="1" xfId="1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/>
    <xf numFmtId="165" fontId="0" fillId="0" borderId="1" xfId="0" applyNumberFormat="1" applyBorder="1" applyAlignment="1">
      <alignment horizontal="right" vertical="center" wrapText="1"/>
    </xf>
    <xf numFmtId="0" fontId="10" fillId="0" borderId="0" xfId="0" applyFont="1"/>
    <xf numFmtId="165" fontId="1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/>
    <xf numFmtId="0" fontId="2" fillId="2" borderId="0" xfId="0" applyFont="1" applyFill="1" applyAlignment="1">
      <alignment horizont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</cellXfs>
  <cellStyles count="11">
    <cellStyle name="Comma" xfId="1" builtinId="3"/>
    <cellStyle name="Comma 2" xfId="3" xr:uid="{00000000-0005-0000-0000-000001000000}"/>
    <cellStyle name="Comma 2 2" xfId="9" xr:uid="{00000000-0005-0000-0000-000002000000}"/>
    <cellStyle name="Comma 2 3" xfId="6" xr:uid="{00000000-0005-0000-0000-000003000000}"/>
    <cellStyle name="Comma 3" xfId="8" xr:uid="{00000000-0005-0000-0000-000004000000}"/>
    <cellStyle name="Normal" xfId="0" builtinId="0"/>
    <cellStyle name="Normal 2" xfId="7" xr:uid="{00000000-0005-0000-0000-000006000000}"/>
    <cellStyle name="Normal 2 2" xfId="10" xr:uid="{00000000-0005-0000-0000-000007000000}"/>
    <cellStyle name="Normal 3" xfId="4" xr:uid="{00000000-0005-0000-0000-000008000000}"/>
    <cellStyle name="Percent" xfId="2" builtinId="5"/>
    <cellStyle name="Percent 2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L55"/>
  <sheetViews>
    <sheetView tabSelected="1" topLeftCell="A2" zoomScale="56" zoomScaleNormal="70" workbookViewId="0">
      <selection activeCell="A49" sqref="A49"/>
    </sheetView>
  </sheetViews>
  <sheetFormatPr defaultColWidth="8.77734375" defaultRowHeight="14.4" x14ac:dyDescent="0.3"/>
  <cols>
    <col min="1" max="1" width="11.21875" customWidth="1"/>
    <col min="2" max="2" width="26.21875" bestFit="1" customWidth="1"/>
    <col min="3" max="67" width="18.44140625" customWidth="1"/>
  </cols>
  <sheetData>
    <row r="1" spans="1:64" ht="15.6" x14ac:dyDescent="0.3">
      <c r="A1" s="26" t="s">
        <v>48</v>
      </c>
      <c r="B1" s="26"/>
      <c r="C1" s="26"/>
      <c r="D1" s="26"/>
      <c r="E1" s="2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64" ht="19.8" x14ac:dyDescent="0.4">
      <c r="A2" s="2"/>
      <c r="B2" s="2"/>
      <c r="C2" s="2"/>
      <c r="D2" s="2"/>
      <c r="E2" s="2"/>
      <c r="F2" s="2"/>
      <c r="G2" s="19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64" ht="15.6" x14ac:dyDescent="0.3">
      <c r="A3" s="34" t="s">
        <v>0</v>
      </c>
      <c r="B3" s="34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64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64" ht="15.6" x14ac:dyDescent="0.3">
      <c r="A5" s="34" t="s">
        <v>49</v>
      </c>
      <c r="B5" s="34"/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6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64" x14ac:dyDescent="0.3">
      <c r="A7" s="1"/>
      <c r="B7" s="1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4" s="24" customFormat="1" ht="15.6" x14ac:dyDescent="0.3">
      <c r="A8" s="35" t="s">
        <v>1</v>
      </c>
      <c r="B8" s="33" t="s">
        <v>2</v>
      </c>
      <c r="C8" s="27">
        <v>44287</v>
      </c>
      <c r="D8" s="28"/>
      <c r="E8" s="28"/>
      <c r="F8" s="28"/>
      <c r="G8" s="29"/>
      <c r="H8" s="32">
        <v>44317</v>
      </c>
      <c r="I8" s="33"/>
      <c r="J8" s="33"/>
      <c r="K8" s="33"/>
      <c r="L8" s="33"/>
      <c r="M8" s="30">
        <v>44348</v>
      </c>
      <c r="N8" s="31"/>
      <c r="O8" s="31"/>
      <c r="P8" s="31"/>
      <c r="Q8" s="31"/>
      <c r="R8" s="32">
        <v>44378</v>
      </c>
      <c r="S8" s="33"/>
      <c r="T8" s="33"/>
      <c r="U8" s="33"/>
      <c r="V8" s="33"/>
      <c r="W8" s="32">
        <v>44409</v>
      </c>
      <c r="X8" s="33"/>
      <c r="Y8" s="33"/>
      <c r="Z8" s="33"/>
      <c r="AA8" s="33"/>
      <c r="AB8" s="30">
        <v>44440</v>
      </c>
      <c r="AC8" s="31"/>
      <c r="AD8" s="31"/>
      <c r="AE8" s="31"/>
      <c r="AF8" s="31"/>
      <c r="AG8" s="32">
        <v>44470</v>
      </c>
      <c r="AH8" s="33"/>
      <c r="AI8" s="33"/>
      <c r="AJ8" s="33"/>
      <c r="AK8" s="33"/>
      <c r="AL8" s="32">
        <v>44501</v>
      </c>
      <c r="AM8" s="33"/>
      <c r="AN8" s="33"/>
      <c r="AO8" s="33"/>
      <c r="AP8" s="33"/>
      <c r="AQ8" s="32">
        <v>44531</v>
      </c>
      <c r="AR8" s="33"/>
      <c r="AS8" s="33"/>
      <c r="AT8" s="33"/>
      <c r="AU8" s="33"/>
      <c r="AV8" s="32">
        <v>44562</v>
      </c>
      <c r="AW8" s="33"/>
      <c r="AX8" s="33"/>
      <c r="AY8" s="33"/>
      <c r="AZ8" s="33"/>
      <c r="BA8" s="27">
        <v>44593</v>
      </c>
      <c r="BB8" s="28"/>
      <c r="BC8" s="28"/>
      <c r="BD8" s="28"/>
      <c r="BE8" s="29"/>
      <c r="BF8" s="27">
        <v>44621</v>
      </c>
      <c r="BG8" s="28"/>
      <c r="BH8" s="28"/>
      <c r="BI8" s="28"/>
      <c r="BJ8" s="29"/>
    </row>
    <row r="9" spans="1:64" s="24" customFormat="1" ht="46.8" x14ac:dyDescent="0.3">
      <c r="A9" s="35"/>
      <c r="B9" s="33"/>
      <c r="C9" s="23" t="s">
        <v>3</v>
      </c>
      <c r="D9" s="23" t="s">
        <v>4</v>
      </c>
      <c r="E9" s="23" t="s">
        <v>5</v>
      </c>
      <c r="F9" s="5" t="s">
        <v>6</v>
      </c>
      <c r="G9" s="23" t="s">
        <v>50</v>
      </c>
      <c r="H9" s="23" t="s">
        <v>3</v>
      </c>
      <c r="I9" s="23" t="s">
        <v>4</v>
      </c>
      <c r="J9" s="23" t="s">
        <v>5</v>
      </c>
      <c r="K9" s="5" t="s">
        <v>6</v>
      </c>
      <c r="L9" s="23" t="s">
        <v>50</v>
      </c>
      <c r="M9" s="23" t="s">
        <v>3</v>
      </c>
      <c r="N9" s="23" t="s">
        <v>4</v>
      </c>
      <c r="O9" s="23" t="s">
        <v>5</v>
      </c>
      <c r="P9" s="5" t="s">
        <v>6</v>
      </c>
      <c r="Q9" s="23" t="s">
        <v>50</v>
      </c>
      <c r="R9" s="23" t="s">
        <v>3</v>
      </c>
      <c r="S9" s="23" t="s">
        <v>4</v>
      </c>
      <c r="T9" s="23" t="s">
        <v>5</v>
      </c>
      <c r="U9" s="5" t="s">
        <v>6</v>
      </c>
      <c r="V9" s="23" t="s">
        <v>50</v>
      </c>
      <c r="W9" s="23" t="s">
        <v>3</v>
      </c>
      <c r="X9" s="23" t="s">
        <v>4</v>
      </c>
      <c r="Y9" s="23" t="s">
        <v>5</v>
      </c>
      <c r="Z9" s="5" t="s">
        <v>6</v>
      </c>
      <c r="AA9" s="23" t="s">
        <v>50</v>
      </c>
      <c r="AB9" s="23" t="s">
        <v>3</v>
      </c>
      <c r="AC9" s="23" t="s">
        <v>4</v>
      </c>
      <c r="AD9" s="23" t="s">
        <v>5</v>
      </c>
      <c r="AE9" s="5" t="s">
        <v>6</v>
      </c>
      <c r="AF9" s="23" t="s">
        <v>50</v>
      </c>
      <c r="AG9" s="23" t="s">
        <v>3</v>
      </c>
      <c r="AH9" s="23" t="s">
        <v>4</v>
      </c>
      <c r="AI9" s="23" t="s">
        <v>5</v>
      </c>
      <c r="AJ9" s="5" t="s">
        <v>6</v>
      </c>
      <c r="AK9" s="23" t="s">
        <v>50</v>
      </c>
      <c r="AL9" s="23" t="s">
        <v>3</v>
      </c>
      <c r="AM9" s="23" t="s">
        <v>4</v>
      </c>
      <c r="AN9" s="23" t="s">
        <v>5</v>
      </c>
      <c r="AO9" s="5" t="s">
        <v>6</v>
      </c>
      <c r="AP9" s="23" t="s">
        <v>50</v>
      </c>
      <c r="AQ9" s="23" t="s">
        <v>3</v>
      </c>
      <c r="AR9" s="23" t="s">
        <v>4</v>
      </c>
      <c r="AS9" s="23" t="s">
        <v>5</v>
      </c>
      <c r="AT9" s="5" t="s">
        <v>6</v>
      </c>
      <c r="AU9" s="23" t="s">
        <v>50</v>
      </c>
      <c r="AV9" s="23" t="s">
        <v>3</v>
      </c>
      <c r="AW9" s="23" t="s">
        <v>4</v>
      </c>
      <c r="AX9" s="23" t="s">
        <v>5</v>
      </c>
      <c r="AY9" s="5" t="s">
        <v>6</v>
      </c>
      <c r="AZ9" s="23" t="s">
        <v>50</v>
      </c>
      <c r="BA9" s="23" t="s">
        <v>3</v>
      </c>
      <c r="BB9" s="23" t="s">
        <v>4</v>
      </c>
      <c r="BC9" s="23" t="s">
        <v>5</v>
      </c>
      <c r="BD9" s="5" t="s">
        <v>6</v>
      </c>
      <c r="BE9" s="23" t="s">
        <v>50</v>
      </c>
      <c r="BF9" s="23" t="s">
        <v>3</v>
      </c>
      <c r="BG9" s="23" t="s">
        <v>4</v>
      </c>
      <c r="BH9" s="23" t="s">
        <v>5</v>
      </c>
      <c r="BI9" s="5" t="s">
        <v>6</v>
      </c>
      <c r="BJ9" s="23" t="s">
        <v>50</v>
      </c>
    </row>
    <row r="10" spans="1:64" x14ac:dyDescent="0.3">
      <c r="A10" s="21">
        <v>1</v>
      </c>
      <c r="B10" s="3" t="s">
        <v>7</v>
      </c>
      <c r="C10" s="15">
        <v>54507</v>
      </c>
      <c r="D10" s="10">
        <v>9587</v>
      </c>
      <c r="E10" s="10">
        <f>F10-D10</f>
        <v>46257</v>
      </c>
      <c r="F10" s="20">
        <v>55844</v>
      </c>
      <c r="G10" s="12">
        <f>F10/C10</f>
        <v>1.0245289595831728</v>
      </c>
      <c r="H10" s="15">
        <v>53973</v>
      </c>
      <c r="I10" s="10">
        <v>13356</v>
      </c>
      <c r="J10" s="10">
        <f>K10-I10</f>
        <v>42919</v>
      </c>
      <c r="K10" s="20">
        <v>56275</v>
      </c>
      <c r="L10" s="12">
        <f>K10/H10</f>
        <v>1.0426509551071832</v>
      </c>
      <c r="M10" s="16">
        <v>85686</v>
      </c>
      <c r="N10" s="10">
        <v>56293</v>
      </c>
      <c r="O10" s="10">
        <f>P10-N10</f>
        <v>31900</v>
      </c>
      <c r="P10" s="13">
        <v>88193</v>
      </c>
      <c r="Q10" s="12">
        <f>P10/M10</f>
        <v>1.0292579884695283</v>
      </c>
      <c r="R10" s="16">
        <v>56418</v>
      </c>
      <c r="S10" s="10">
        <v>42435</v>
      </c>
      <c r="T10" s="10">
        <f>U10-S10</f>
        <v>15954</v>
      </c>
      <c r="U10" s="20">
        <v>58389</v>
      </c>
      <c r="V10" s="12">
        <f>U10/R10</f>
        <v>1.0349356588322876</v>
      </c>
      <c r="W10" s="16">
        <v>59030</v>
      </c>
      <c r="X10" s="10">
        <v>44923</v>
      </c>
      <c r="Y10" s="10">
        <f>Z10-X10</f>
        <v>15977</v>
      </c>
      <c r="Z10" s="20">
        <v>60900</v>
      </c>
      <c r="AA10" s="12">
        <f>Z10/W10</f>
        <v>1.031678807386075</v>
      </c>
      <c r="AB10" s="17">
        <v>93037</v>
      </c>
      <c r="AC10" s="10">
        <v>74661</v>
      </c>
      <c r="AD10" s="10">
        <f>AE10-AC10</f>
        <v>20033</v>
      </c>
      <c r="AE10" s="11">
        <v>94694</v>
      </c>
      <c r="AF10" s="12">
        <f>AE10/AB10</f>
        <v>1.0178101185549835</v>
      </c>
      <c r="AG10" s="16">
        <v>60457</v>
      </c>
      <c r="AH10" s="10">
        <v>48475</v>
      </c>
      <c r="AI10" s="10">
        <f>AJ10-AH10</f>
        <v>13182</v>
      </c>
      <c r="AJ10" s="11">
        <v>61657</v>
      </c>
      <c r="AK10" s="12">
        <f>AJ10/AG10</f>
        <v>1.019848818168285</v>
      </c>
      <c r="AL10" s="18">
        <v>62407</v>
      </c>
      <c r="AM10" s="11">
        <v>49219</v>
      </c>
      <c r="AN10" s="10">
        <f>AO10-AM10</f>
        <v>14264</v>
      </c>
      <c r="AO10" s="11">
        <v>63483</v>
      </c>
      <c r="AP10" s="12">
        <f>AO10/AL10</f>
        <v>1.0172416555835082</v>
      </c>
      <c r="AQ10" s="11">
        <v>99346</v>
      </c>
      <c r="AR10" s="11">
        <v>81067</v>
      </c>
      <c r="AS10" s="10">
        <f>AT10-AR10</f>
        <v>19212</v>
      </c>
      <c r="AT10" s="13">
        <v>100279</v>
      </c>
      <c r="AU10" s="12">
        <f>AT10/AQ10</f>
        <v>1.0093914198860547</v>
      </c>
      <c r="AV10" s="18">
        <v>63719</v>
      </c>
      <c r="AW10" s="14">
        <v>50788</v>
      </c>
      <c r="AX10" s="10">
        <f>AY10-AW10</f>
        <v>13701</v>
      </c>
      <c r="AY10" s="20">
        <v>64489</v>
      </c>
      <c r="AZ10" s="12">
        <f>AY10/AV10</f>
        <v>1.0120843076633343</v>
      </c>
      <c r="BA10" s="18">
        <v>65133</v>
      </c>
      <c r="BB10" s="11">
        <v>52148</v>
      </c>
      <c r="BC10" s="10">
        <f>BD10-BB10</f>
        <v>14036</v>
      </c>
      <c r="BD10" s="20">
        <v>66184</v>
      </c>
      <c r="BE10" s="12">
        <f>BD10/BA10</f>
        <v>1.0161362135937235</v>
      </c>
      <c r="BF10" s="18">
        <v>104274</v>
      </c>
      <c r="BG10" s="11">
        <v>78639</v>
      </c>
      <c r="BH10" s="10">
        <f>BI10-BG10</f>
        <v>26268</v>
      </c>
      <c r="BI10" s="11">
        <v>104907</v>
      </c>
      <c r="BJ10" s="12">
        <f>BI10/BF10</f>
        <v>1.0060705449105243</v>
      </c>
      <c r="BK10" s="24"/>
      <c r="BL10" s="24"/>
    </row>
    <row r="11" spans="1:64" x14ac:dyDescent="0.3">
      <c r="A11" s="21">
        <v>2</v>
      </c>
      <c r="B11" s="3" t="s">
        <v>8</v>
      </c>
      <c r="C11" s="15">
        <v>44420</v>
      </c>
      <c r="D11" s="10">
        <v>7833</v>
      </c>
      <c r="E11" s="10">
        <f t="shared" ref="E11:E48" si="0">F11-D11</f>
        <v>35071</v>
      </c>
      <c r="F11" s="20">
        <v>42904</v>
      </c>
      <c r="G11" s="12">
        <f t="shared" ref="G11:G48" si="1">F11/C11</f>
        <v>0.96587122917604684</v>
      </c>
      <c r="H11" s="15">
        <v>44517</v>
      </c>
      <c r="I11" s="10">
        <v>9674</v>
      </c>
      <c r="J11" s="10">
        <f t="shared" ref="J11:J48" si="2">K11-I11</f>
        <v>33346</v>
      </c>
      <c r="K11" s="20">
        <v>43020</v>
      </c>
      <c r="L11" s="12">
        <f t="shared" ref="L11:L48" si="3">K11/H11</f>
        <v>0.96637239706179656</v>
      </c>
      <c r="M11" s="16">
        <v>92010</v>
      </c>
      <c r="N11" s="10">
        <v>62949</v>
      </c>
      <c r="O11" s="10">
        <f t="shared" ref="O11:O48" si="4">P11-N11</f>
        <v>26879</v>
      </c>
      <c r="P11" s="13">
        <v>89828</v>
      </c>
      <c r="Q11" s="12">
        <f t="shared" ref="Q11:Q48" si="5">P11/M11</f>
        <v>0.97628518639278339</v>
      </c>
      <c r="R11" s="16">
        <v>44191</v>
      </c>
      <c r="S11" s="10">
        <v>31396</v>
      </c>
      <c r="T11" s="10">
        <f t="shared" ref="T11:T48" si="6">U11-S11</f>
        <v>10832</v>
      </c>
      <c r="U11" s="20">
        <v>42228</v>
      </c>
      <c r="V11" s="12">
        <f t="shared" ref="V11:V48" si="7">U11/R11</f>
        <v>0.9555791903328732</v>
      </c>
      <c r="W11" s="16">
        <v>44492</v>
      </c>
      <c r="X11" s="10">
        <v>32162</v>
      </c>
      <c r="Y11" s="10">
        <f t="shared" ref="Y11:Y48" si="8">Z11-X11</f>
        <v>11097</v>
      </c>
      <c r="Z11" s="20">
        <v>43259</v>
      </c>
      <c r="AA11" s="12">
        <f t="shared" ref="AA11:AA48" si="9">Z11/W11</f>
        <v>0.97228715274656119</v>
      </c>
      <c r="AB11" s="17">
        <v>93894</v>
      </c>
      <c r="AC11" s="10">
        <v>74259</v>
      </c>
      <c r="AD11" s="10">
        <f t="shared" ref="AD11:AD48" si="10">AE11-AC11</f>
        <v>17966</v>
      </c>
      <c r="AE11" s="11">
        <v>92225</v>
      </c>
      <c r="AF11" s="12">
        <f t="shared" ref="AF11:AF48" si="11">AE11/AB11</f>
        <v>0.98222463629198886</v>
      </c>
      <c r="AG11" s="16">
        <v>43295</v>
      </c>
      <c r="AH11" s="10">
        <v>32985</v>
      </c>
      <c r="AI11" s="10">
        <f t="shared" ref="AI11:AI48" si="12">AJ11-AH11</f>
        <v>9215</v>
      </c>
      <c r="AJ11" s="20">
        <v>42200</v>
      </c>
      <c r="AK11" s="12">
        <f t="shared" ref="AK11:AK48" si="13">AJ11/AG11</f>
        <v>0.97470839588867075</v>
      </c>
      <c r="AL11" s="18">
        <v>43932</v>
      </c>
      <c r="AM11" s="11">
        <v>33293</v>
      </c>
      <c r="AN11" s="10">
        <f t="shared" ref="AN11:AN48" si="14">AO11-AM11</f>
        <v>9615</v>
      </c>
      <c r="AO11" s="11">
        <v>42908</v>
      </c>
      <c r="AP11" s="12">
        <f t="shared" ref="AP11:AP48" si="15">AO11/AL11</f>
        <v>0.9766912501138123</v>
      </c>
      <c r="AQ11" s="11">
        <v>95802</v>
      </c>
      <c r="AR11" s="11">
        <v>77048</v>
      </c>
      <c r="AS11" s="10">
        <f t="shared" ref="AS11:AS48" si="16">AT11-AR11</f>
        <v>16885</v>
      </c>
      <c r="AT11" s="13">
        <v>93933</v>
      </c>
      <c r="AU11" s="12">
        <f t="shared" ref="AU11:AU48" si="17">AT11/AQ11</f>
        <v>0.98049101271372208</v>
      </c>
      <c r="AV11" s="18">
        <v>43808</v>
      </c>
      <c r="AW11" s="11">
        <v>33275</v>
      </c>
      <c r="AX11" s="10">
        <f t="shared" ref="AX11:AX48" si="18">AY11-AW11</f>
        <v>9229</v>
      </c>
      <c r="AY11" s="20">
        <v>42504</v>
      </c>
      <c r="AZ11" s="12">
        <f t="shared" ref="AZ11:AZ48" si="19">AY11/AV11</f>
        <v>0.97023374726077427</v>
      </c>
      <c r="BA11" s="18">
        <v>44164</v>
      </c>
      <c r="BB11" s="11">
        <v>33834</v>
      </c>
      <c r="BC11" s="10">
        <f t="shared" ref="BC11:BC48" si="20">BD11-BB11</f>
        <v>9295</v>
      </c>
      <c r="BD11" s="20">
        <v>43129</v>
      </c>
      <c r="BE11" s="12">
        <f t="shared" ref="BE11:BE48" si="21">BD11/BA11</f>
        <v>0.9765646227696767</v>
      </c>
      <c r="BF11" s="18">
        <v>97423</v>
      </c>
      <c r="BG11" s="11">
        <v>73400</v>
      </c>
      <c r="BH11" s="10">
        <f t="shared" ref="BH11:BH33" si="22">BI11-BG11</f>
        <v>21912</v>
      </c>
      <c r="BI11" s="11">
        <v>95312</v>
      </c>
      <c r="BJ11" s="12">
        <f t="shared" ref="BJ11:BJ33" si="23">BI11/BF11</f>
        <v>0.97833160547304021</v>
      </c>
      <c r="BK11" s="24"/>
      <c r="BL11" s="24"/>
    </row>
    <row r="12" spans="1:64" x14ac:dyDescent="0.3">
      <c r="A12" s="21">
        <v>3</v>
      </c>
      <c r="B12" s="3" t="s">
        <v>9</v>
      </c>
      <c r="C12" s="15">
        <v>160461</v>
      </c>
      <c r="D12" s="10">
        <v>35591</v>
      </c>
      <c r="E12" s="10">
        <f t="shared" si="0"/>
        <v>115335</v>
      </c>
      <c r="F12" s="20">
        <v>150926</v>
      </c>
      <c r="G12" s="12">
        <f t="shared" si="1"/>
        <v>0.94057746118994645</v>
      </c>
      <c r="H12" s="15">
        <v>161190</v>
      </c>
      <c r="I12" s="10">
        <v>36496</v>
      </c>
      <c r="J12" s="10">
        <f t="shared" si="2"/>
        <v>115787</v>
      </c>
      <c r="K12" s="20">
        <v>152283</v>
      </c>
      <c r="L12" s="12">
        <f t="shared" si="3"/>
        <v>0.94474222966685273</v>
      </c>
      <c r="M12" s="16">
        <v>320319</v>
      </c>
      <c r="N12" s="10">
        <v>238436</v>
      </c>
      <c r="O12" s="10">
        <f t="shared" si="4"/>
        <v>71879</v>
      </c>
      <c r="P12" s="13">
        <v>310315</v>
      </c>
      <c r="Q12" s="12">
        <f t="shared" si="5"/>
        <v>0.96876863376821232</v>
      </c>
      <c r="R12" s="16">
        <v>159828</v>
      </c>
      <c r="S12" s="10">
        <v>123198</v>
      </c>
      <c r="T12" s="10">
        <f t="shared" si="6"/>
        <v>27547</v>
      </c>
      <c r="U12" s="20">
        <v>150745</v>
      </c>
      <c r="V12" s="12">
        <f t="shared" si="7"/>
        <v>0.94317015791976377</v>
      </c>
      <c r="W12" s="16">
        <v>162180</v>
      </c>
      <c r="X12" s="10">
        <v>123165</v>
      </c>
      <c r="Y12" s="10">
        <f t="shared" si="8"/>
        <v>30533</v>
      </c>
      <c r="Z12" s="20">
        <v>153698</v>
      </c>
      <c r="AA12" s="12">
        <f t="shared" si="9"/>
        <v>0.94770008632383773</v>
      </c>
      <c r="AB12" s="17">
        <v>327297</v>
      </c>
      <c r="AC12" s="10">
        <v>263554</v>
      </c>
      <c r="AD12" s="10">
        <f t="shared" si="10"/>
        <v>52039</v>
      </c>
      <c r="AE12" s="11">
        <v>315593</v>
      </c>
      <c r="AF12" s="12">
        <f t="shared" si="11"/>
        <v>0.9642404299458901</v>
      </c>
      <c r="AG12" s="16">
        <v>160729</v>
      </c>
      <c r="AH12" s="10">
        <v>126171</v>
      </c>
      <c r="AI12" s="10">
        <f t="shared" si="12"/>
        <v>25211</v>
      </c>
      <c r="AJ12" s="20">
        <v>151382</v>
      </c>
      <c r="AK12" s="12">
        <f t="shared" si="13"/>
        <v>0.94184621319114781</v>
      </c>
      <c r="AL12" s="18">
        <v>162572</v>
      </c>
      <c r="AM12" s="11">
        <v>127019</v>
      </c>
      <c r="AN12" s="10">
        <f t="shared" si="14"/>
        <v>26350</v>
      </c>
      <c r="AO12" s="11">
        <v>153369</v>
      </c>
      <c r="AP12" s="12">
        <f t="shared" si="15"/>
        <v>0.94339123588317797</v>
      </c>
      <c r="AQ12" s="11">
        <v>333129</v>
      </c>
      <c r="AR12" s="11">
        <v>270140</v>
      </c>
      <c r="AS12" s="10">
        <f t="shared" si="16"/>
        <v>49581</v>
      </c>
      <c r="AT12" s="13">
        <v>319721</v>
      </c>
      <c r="AU12" s="12">
        <f t="shared" si="17"/>
        <v>0.95975132756379655</v>
      </c>
      <c r="AV12" s="18">
        <v>161987</v>
      </c>
      <c r="AW12" s="11">
        <v>125305</v>
      </c>
      <c r="AX12" s="10">
        <f t="shared" si="18"/>
        <v>27158</v>
      </c>
      <c r="AY12" s="20">
        <v>152463</v>
      </c>
      <c r="AZ12" s="12">
        <f t="shared" si="19"/>
        <v>0.94120515843864017</v>
      </c>
      <c r="BA12" s="18">
        <v>163270</v>
      </c>
      <c r="BB12" s="11">
        <v>127021</v>
      </c>
      <c r="BC12" s="10">
        <f t="shared" si="20"/>
        <v>27500</v>
      </c>
      <c r="BD12" s="20">
        <v>154521</v>
      </c>
      <c r="BE12" s="12">
        <f t="shared" si="21"/>
        <v>0.94641391559992649</v>
      </c>
      <c r="BF12" s="18">
        <v>336608</v>
      </c>
      <c r="BG12" s="11">
        <v>260201</v>
      </c>
      <c r="BH12" s="10">
        <f t="shared" si="22"/>
        <v>63227</v>
      </c>
      <c r="BI12" s="11">
        <v>323428</v>
      </c>
      <c r="BJ12" s="12">
        <f t="shared" si="23"/>
        <v>0.96084466204011787</v>
      </c>
      <c r="BK12" s="24"/>
      <c r="BL12" s="24"/>
    </row>
    <row r="13" spans="1:64" x14ac:dyDescent="0.3">
      <c r="A13" s="21">
        <v>4</v>
      </c>
      <c r="B13" s="3" t="s">
        <v>10</v>
      </c>
      <c r="C13" s="15">
        <v>15343</v>
      </c>
      <c r="D13" s="10">
        <v>4007</v>
      </c>
      <c r="E13" s="10">
        <f t="shared" si="0"/>
        <v>11236</v>
      </c>
      <c r="F13" s="20">
        <v>15243</v>
      </c>
      <c r="G13" s="12">
        <f t="shared" si="1"/>
        <v>0.993482369810337</v>
      </c>
      <c r="H13" s="15">
        <v>15350</v>
      </c>
      <c r="I13" s="10">
        <v>4403</v>
      </c>
      <c r="J13" s="10">
        <f t="shared" si="2"/>
        <v>10864</v>
      </c>
      <c r="K13" s="20">
        <v>15267</v>
      </c>
      <c r="L13" s="12">
        <f t="shared" si="3"/>
        <v>0.99459283387622155</v>
      </c>
      <c r="M13" s="16">
        <v>26465</v>
      </c>
      <c r="N13" s="10">
        <v>18827</v>
      </c>
      <c r="O13" s="10">
        <f t="shared" si="4"/>
        <v>7512</v>
      </c>
      <c r="P13" s="13">
        <v>26339</v>
      </c>
      <c r="Q13" s="12">
        <f t="shared" si="5"/>
        <v>0.99523899489892309</v>
      </c>
      <c r="R13" s="16">
        <v>15442</v>
      </c>
      <c r="S13" s="10">
        <v>12336</v>
      </c>
      <c r="T13" s="10">
        <f t="shared" si="6"/>
        <v>2932</v>
      </c>
      <c r="U13" s="20">
        <v>15268</v>
      </c>
      <c r="V13" s="12">
        <f t="shared" si="7"/>
        <v>0.98873202952985362</v>
      </c>
      <c r="W13" s="16">
        <v>15635</v>
      </c>
      <c r="X13" s="10">
        <v>12275</v>
      </c>
      <c r="Y13" s="10">
        <f t="shared" si="8"/>
        <v>3194</v>
      </c>
      <c r="Z13" s="20">
        <v>15469</v>
      </c>
      <c r="AA13" s="12">
        <f t="shared" si="9"/>
        <v>0.98938279501119286</v>
      </c>
      <c r="AB13" s="17">
        <v>26938</v>
      </c>
      <c r="AC13" s="10">
        <v>21781</v>
      </c>
      <c r="AD13" s="10">
        <f t="shared" si="10"/>
        <v>4868</v>
      </c>
      <c r="AE13" s="11">
        <v>26649</v>
      </c>
      <c r="AF13" s="12">
        <f t="shared" si="11"/>
        <v>0.98927166085084273</v>
      </c>
      <c r="AG13" s="16">
        <v>15617</v>
      </c>
      <c r="AH13" s="10">
        <v>12703</v>
      </c>
      <c r="AI13" s="10">
        <f t="shared" si="12"/>
        <v>2663</v>
      </c>
      <c r="AJ13" s="20">
        <v>15366</v>
      </c>
      <c r="AK13" s="12">
        <f t="shared" si="13"/>
        <v>0.98392777101876161</v>
      </c>
      <c r="AL13" s="18">
        <v>15676</v>
      </c>
      <c r="AM13" s="11">
        <v>12795</v>
      </c>
      <c r="AN13" s="10">
        <f t="shared" si="14"/>
        <v>2664</v>
      </c>
      <c r="AO13" s="11">
        <v>15459</v>
      </c>
      <c r="AP13" s="12">
        <f t="shared" si="15"/>
        <v>0.98615718295483545</v>
      </c>
      <c r="AQ13" s="11">
        <v>27141</v>
      </c>
      <c r="AR13" s="11">
        <v>22398</v>
      </c>
      <c r="AS13" s="10">
        <f t="shared" si="16"/>
        <v>4444</v>
      </c>
      <c r="AT13" s="13">
        <v>26842</v>
      </c>
      <c r="AU13" s="12">
        <f t="shared" si="17"/>
        <v>0.98898345676283117</v>
      </c>
      <c r="AV13" s="18">
        <v>15761</v>
      </c>
      <c r="AW13" s="11">
        <v>12920</v>
      </c>
      <c r="AX13" s="10">
        <f t="shared" si="18"/>
        <v>2629</v>
      </c>
      <c r="AY13" s="20">
        <v>15549</v>
      </c>
      <c r="AZ13" s="12">
        <f t="shared" si="19"/>
        <v>0.98654907683522619</v>
      </c>
      <c r="BA13" s="18">
        <v>15831</v>
      </c>
      <c r="BB13" s="11">
        <v>12904</v>
      </c>
      <c r="BC13" s="10">
        <f t="shared" si="20"/>
        <v>2773</v>
      </c>
      <c r="BD13" s="20">
        <v>15677</v>
      </c>
      <c r="BE13" s="12">
        <f t="shared" si="21"/>
        <v>0.99027225064746383</v>
      </c>
      <c r="BF13" s="18">
        <v>27469</v>
      </c>
      <c r="BG13" s="11">
        <v>21873</v>
      </c>
      <c r="BH13" s="10">
        <f t="shared" si="22"/>
        <v>5159</v>
      </c>
      <c r="BI13" s="11">
        <v>27032</v>
      </c>
      <c r="BJ13" s="12">
        <f t="shared" si="23"/>
        <v>0.98409115730459795</v>
      </c>
      <c r="BK13" s="24"/>
      <c r="BL13" s="24"/>
    </row>
    <row r="14" spans="1:64" x14ac:dyDescent="0.3">
      <c r="A14" s="21">
        <v>5</v>
      </c>
      <c r="B14" s="3" t="s">
        <v>11</v>
      </c>
      <c r="C14" s="15">
        <v>78917</v>
      </c>
      <c r="D14" s="10">
        <v>12881</v>
      </c>
      <c r="E14" s="10">
        <f t="shared" si="0"/>
        <v>62141</v>
      </c>
      <c r="F14" s="20">
        <v>75022</v>
      </c>
      <c r="G14" s="12">
        <f t="shared" si="1"/>
        <v>0.9506443478591432</v>
      </c>
      <c r="H14" s="15">
        <v>78856</v>
      </c>
      <c r="I14" s="10">
        <v>17527</v>
      </c>
      <c r="J14" s="10">
        <f t="shared" si="2"/>
        <v>57278</v>
      </c>
      <c r="K14" s="20">
        <v>74805</v>
      </c>
      <c r="L14" s="12">
        <f t="shared" si="3"/>
        <v>0.94862787866490816</v>
      </c>
      <c r="M14" s="16">
        <v>139510</v>
      </c>
      <c r="N14" s="10">
        <v>87652</v>
      </c>
      <c r="O14" s="10">
        <f t="shared" si="4"/>
        <v>47172</v>
      </c>
      <c r="P14" s="13">
        <v>134824</v>
      </c>
      <c r="Q14" s="12">
        <f t="shared" si="5"/>
        <v>0.96641100996344353</v>
      </c>
      <c r="R14" s="16">
        <v>78838</v>
      </c>
      <c r="S14" s="10">
        <v>52549</v>
      </c>
      <c r="T14" s="10">
        <f t="shared" si="6"/>
        <v>22056</v>
      </c>
      <c r="U14" s="20">
        <v>74605</v>
      </c>
      <c r="V14" s="12">
        <f t="shared" si="7"/>
        <v>0.94630761815368225</v>
      </c>
      <c r="W14" s="16">
        <v>80553</v>
      </c>
      <c r="X14" s="10">
        <v>54241</v>
      </c>
      <c r="Y14" s="10">
        <f t="shared" si="8"/>
        <v>22359</v>
      </c>
      <c r="Z14" s="20">
        <v>76600</v>
      </c>
      <c r="AA14" s="12">
        <f t="shared" si="9"/>
        <v>0.95092671905453552</v>
      </c>
      <c r="AB14" s="17">
        <v>144082</v>
      </c>
      <c r="AC14" s="10">
        <v>105555</v>
      </c>
      <c r="AD14" s="10">
        <f t="shared" si="10"/>
        <v>33625</v>
      </c>
      <c r="AE14" s="11">
        <v>139180</v>
      </c>
      <c r="AF14" s="12">
        <f t="shared" si="11"/>
        <v>0.96597770713899034</v>
      </c>
      <c r="AG14" s="16">
        <v>79635</v>
      </c>
      <c r="AH14" s="10">
        <v>56321</v>
      </c>
      <c r="AI14" s="10">
        <f t="shared" si="12"/>
        <v>19174</v>
      </c>
      <c r="AJ14" s="20">
        <v>75495</v>
      </c>
      <c r="AK14" s="12">
        <f t="shared" si="13"/>
        <v>0.94801280843850066</v>
      </c>
      <c r="AL14" s="18">
        <v>81274</v>
      </c>
      <c r="AM14" s="11">
        <v>57925</v>
      </c>
      <c r="AN14" s="10">
        <f t="shared" si="14"/>
        <v>19069</v>
      </c>
      <c r="AO14" s="11">
        <v>76994</v>
      </c>
      <c r="AP14" s="12">
        <f t="shared" si="15"/>
        <v>0.9473386322809263</v>
      </c>
      <c r="AQ14" s="11">
        <v>148266</v>
      </c>
      <c r="AR14" s="11">
        <v>112495</v>
      </c>
      <c r="AS14" s="10">
        <f t="shared" si="16"/>
        <v>30171</v>
      </c>
      <c r="AT14" s="13">
        <v>142666</v>
      </c>
      <c r="AU14" s="12">
        <f t="shared" si="17"/>
        <v>0.96223004599840822</v>
      </c>
      <c r="AV14" s="18">
        <v>81291</v>
      </c>
      <c r="AW14" s="11">
        <v>58292</v>
      </c>
      <c r="AX14" s="10">
        <f t="shared" si="18"/>
        <v>18863</v>
      </c>
      <c r="AY14" s="20">
        <v>77155</v>
      </c>
      <c r="AZ14" s="12">
        <f t="shared" si="19"/>
        <v>0.94912105891181064</v>
      </c>
      <c r="BA14" s="18">
        <v>82359</v>
      </c>
      <c r="BB14" s="11">
        <v>57689</v>
      </c>
      <c r="BC14" s="10">
        <f t="shared" si="20"/>
        <v>20690</v>
      </c>
      <c r="BD14" s="20">
        <v>78379</v>
      </c>
      <c r="BE14" s="12">
        <f t="shared" si="21"/>
        <v>0.95167498391189786</v>
      </c>
      <c r="BF14" s="18">
        <v>151377</v>
      </c>
      <c r="BG14" s="11">
        <v>108550</v>
      </c>
      <c r="BH14" s="10">
        <f t="shared" si="22"/>
        <v>36689</v>
      </c>
      <c r="BI14" s="11">
        <v>145239</v>
      </c>
      <c r="BJ14" s="12">
        <f t="shared" si="23"/>
        <v>0.95945222854198453</v>
      </c>
      <c r="BK14" s="24"/>
      <c r="BL14" s="24"/>
    </row>
    <row r="15" spans="1:64" x14ac:dyDescent="0.3">
      <c r="A15" s="21">
        <v>6</v>
      </c>
      <c r="B15" s="3" t="s">
        <v>12</v>
      </c>
      <c r="C15" s="15">
        <v>255914</v>
      </c>
      <c r="D15" s="10">
        <v>41806</v>
      </c>
      <c r="E15" s="10">
        <f t="shared" si="0"/>
        <v>197603</v>
      </c>
      <c r="F15" s="20">
        <v>239409</v>
      </c>
      <c r="G15" s="12">
        <f t="shared" si="1"/>
        <v>0.93550567768859849</v>
      </c>
      <c r="H15" s="15">
        <v>256165</v>
      </c>
      <c r="I15" s="10">
        <v>58042</v>
      </c>
      <c r="J15" s="10">
        <f t="shared" si="2"/>
        <v>180987</v>
      </c>
      <c r="K15" s="20">
        <v>239029</v>
      </c>
      <c r="L15" s="12">
        <f t="shared" si="3"/>
        <v>0.93310561552124605</v>
      </c>
      <c r="M15" s="16">
        <v>440788</v>
      </c>
      <c r="N15" s="10">
        <v>289078</v>
      </c>
      <c r="O15" s="10">
        <f t="shared" si="4"/>
        <v>131522</v>
      </c>
      <c r="P15" s="13">
        <v>420600</v>
      </c>
      <c r="Q15" s="12">
        <f t="shared" si="5"/>
        <v>0.95420020508725278</v>
      </c>
      <c r="R15" s="16">
        <v>256617</v>
      </c>
      <c r="S15" s="10">
        <v>181427</v>
      </c>
      <c r="T15" s="10">
        <f t="shared" si="6"/>
        <v>60320</v>
      </c>
      <c r="U15" s="20">
        <v>241747</v>
      </c>
      <c r="V15" s="12">
        <f t="shared" si="7"/>
        <v>0.94205372208388372</v>
      </c>
      <c r="W15" s="16">
        <v>263426</v>
      </c>
      <c r="X15" s="10">
        <v>184322</v>
      </c>
      <c r="Y15" s="10">
        <f t="shared" si="8"/>
        <v>62613</v>
      </c>
      <c r="Z15" s="20">
        <v>246935</v>
      </c>
      <c r="AA15" s="12">
        <f t="shared" si="9"/>
        <v>0.93739797893905685</v>
      </c>
      <c r="AB15" s="17">
        <v>454446</v>
      </c>
      <c r="AC15" s="10">
        <v>344585</v>
      </c>
      <c r="AD15" s="10">
        <f t="shared" si="10"/>
        <v>88363</v>
      </c>
      <c r="AE15" s="11">
        <v>432948</v>
      </c>
      <c r="AF15" s="12">
        <f t="shared" si="11"/>
        <v>0.95269404945802139</v>
      </c>
      <c r="AG15" s="16">
        <v>261808</v>
      </c>
      <c r="AH15" s="10">
        <v>191536</v>
      </c>
      <c r="AI15" s="10">
        <f t="shared" si="12"/>
        <v>53550</v>
      </c>
      <c r="AJ15" s="20">
        <v>245086</v>
      </c>
      <c r="AK15" s="12">
        <f t="shared" si="13"/>
        <v>0.93612876611868234</v>
      </c>
      <c r="AL15" s="18">
        <v>265773</v>
      </c>
      <c r="AM15" s="11">
        <v>195152</v>
      </c>
      <c r="AN15" s="10">
        <f t="shared" si="14"/>
        <v>53422</v>
      </c>
      <c r="AO15" s="11">
        <v>248574</v>
      </c>
      <c r="AP15" s="12">
        <f t="shared" si="15"/>
        <v>0.93528688015712658</v>
      </c>
      <c r="AQ15" s="11">
        <v>464263</v>
      </c>
      <c r="AR15" s="11">
        <v>361115</v>
      </c>
      <c r="AS15" s="10">
        <f t="shared" si="16"/>
        <v>80952</v>
      </c>
      <c r="AT15" s="13">
        <v>442067</v>
      </c>
      <c r="AU15" s="12">
        <f t="shared" si="17"/>
        <v>0.95219089180055272</v>
      </c>
      <c r="AV15" s="18">
        <v>264802</v>
      </c>
      <c r="AW15" s="11">
        <v>197663</v>
      </c>
      <c r="AX15" s="10">
        <f t="shared" si="18"/>
        <v>52835</v>
      </c>
      <c r="AY15" s="20">
        <v>250498</v>
      </c>
      <c r="AZ15" s="12">
        <f t="shared" si="19"/>
        <v>0.9459822811005959</v>
      </c>
      <c r="BA15" s="18">
        <v>267720</v>
      </c>
      <c r="BB15" s="11">
        <v>198828</v>
      </c>
      <c r="BC15" s="10">
        <f t="shared" si="20"/>
        <v>56297</v>
      </c>
      <c r="BD15" s="20">
        <v>255125</v>
      </c>
      <c r="BE15" s="12">
        <f t="shared" si="21"/>
        <v>0.95295457941132522</v>
      </c>
      <c r="BF15" s="18">
        <v>469904</v>
      </c>
      <c r="BG15" s="11">
        <v>352171</v>
      </c>
      <c r="BH15" s="10">
        <f t="shared" si="22"/>
        <v>98643</v>
      </c>
      <c r="BI15" s="11">
        <v>450814</v>
      </c>
      <c r="BJ15" s="12">
        <f t="shared" si="23"/>
        <v>0.95937468078586263</v>
      </c>
      <c r="BK15" s="24"/>
      <c r="BL15" s="24"/>
    </row>
    <row r="16" spans="1:64" x14ac:dyDescent="0.3">
      <c r="A16" s="21">
        <v>7</v>
      </c>
      <c r="B16" s="3" t="s">
        <v>13</v>
      </c>
      <c r="C16" s="15">
        <v>406536</v>
      </c>
      <c r="D16" s="10">
        <v>59365</v>
      </c>
      <c r="E16" s="10">
        <f t="shared" si="0"/>
        <v>313666</v>
      </c>
      <c r="F16" s="20">
        <v>373031</v>
      </c>
      <c r="G16" s="12">
        <f t="shared" si="1"/>
        <v>0.91758417458724439</v>
      </c>
      <c r="H16" s="15">
        <v>404491</v>
      </c>
      <c r="I16" s="10">
        <v>84001</v>
      </c>
      <c r="J16" s="10">
        <f t="shared" si="2"/>
        <v>285987</v>
      </c>
      <c r="K16" s="20">
        <v>369988</v>
      </c>
      <c r="L16" s="12">
        <f t="shared" si="3"/>
        <v>0.91470020346559011</v>
      </c>
      <c r="M16" s="16">
        <v>718779</v>
      </c>
      <c r="N16" s="10">
        <v>479679</v>
      </c>
      <c r="O16" s="10">
        <f t="shared" si="4"/>
        <v>196843</v>
      </c>
      <c r="P16" s="13">
        <v>676522</v>
      </c>
      <c r="Q16" s="12">
        <f t="shared" si="5"/>
        <v>0.94121002422163136</v>
      </c>
      <c r="R16" s="16">
        <v>403668</v>
      </c>
      <c r="S16" s="10">
        <v>282597</v>
      </c>
      <c r="T16" s="10">
        <f t="shared" si="6"/>
        <v>91182</v>
      </c>
      <c r="U16" s="20">
        <v>373779</v>
      </c>
      <c r="V16" s="12">
        <f t="shared" si="7"/>
        <v>0.92595647908677425</v>
      </c>
      <c r="W16" s="16">
        <v>406853</v>
      </c>
      <c r="X16" s="10">
        <v>293612</v>
      </c>
      <c r="Y16" s="10">
        <f t="shared" si="8"/>
        <v>87585</v>
      </c>
      <c r="Z16" s="20">
        <v>381197</v>
      </c>
      <c r="AA16" s="12">
        <f t="shared" si="9"/>
        <v>0.93694036912594969</v>
      </c>
      <c r="AB16" s="17">
        <v>722282</v>
      </c>
      <c r="AC16" s="10">
        <v>569629</v>
      </c>
      <c r="AD16" s="10">
        <f t="shared" si="10"/>
        <v>123995</v>
      </c>
      <c r="AE16" s="11">
        <v>693624</v>
      </c>
      <c r="AF16" s="12">
        <f t="shared" si="11"/>
        <v>0.96032297634441954</v>
      </c>
      <c r="AG16" s="16">
        <v>397671</v>
      </c>
      <c r="AH16" s="10">
        <v>302402</v>
      </c>
      <c r="AI16" s="10">
        <f t="shared" si="12"/>
        <v>76334</v>
      </c>
      <c r="AJ16" s="20">
        <v>378736</v>
      </c>
      <c r="AK16" s="12">
        <f t="shared" si="13"/>
        <v>0.95238526319495265</v>
      </c>
      <c r="AL16" s="18">
        <v>400740</v>
      </c>
      <c r="AM16" s="11">
        <v>306325</v>
      </c>
      <c r="AN16" s="10">
        <f t="shared" si="14"/>
        <v>77333</v>
      </c>
      <c r="AO16" s="11">
        <v>383658</v>
      </c>
      <c r="AP16" s="12">
        <f t="shared" si="15"/>
        <v>0.95737385836203026</v>
      </c>
      <c r="AQ16" s="11">
        <v>730568</v>
      </c>
      <c r="AR16" s="11">
        <v>586576</v>
      </c>
      <c r="AS16" s="10">
        <f t="shared" si="16"/>
        <v>116474</v>
      </c>
      <c r="AT16" s="13">
        <v>703050</v>
      </c>
      <c r="AU16" s="12">
        <f t="shared" si="17"/>
        <v>0.96233341728627586</v>
      </c>
      <c r="AV16" s="18">
        <v>402711</v>
      </c>
      <c r="AW16" s="11">
        <v>307643</v>
      </c>
      <c r="AX16" s="10">
        <f t="shared" si="18"/>
        <v>74840</v>
      </c>
      <c r="AY16" s="20">
        <v>382483</v>
      </c>
      <c r="AZ16" s="12">
        <f t="shared" si="19"/>
        <v>0.94977043090454449</v>
      </c>
      <c r="BA16" s="18">
        <v>402569</v>
      </c>
      <c r="BB16" s="11">
        <v>306448</v>
      </c>
      <c r="BC16" s="10">
        <f t="shared" si="20"/>
        <v>80940</v>
      </c>
      <c r="BD16" s="20">
        <v>387388</v>
      </c>
      <c r="BE16" s="12">
        <f t="shared" si="21"/>
        <v>0.96228969443747536</v>
      </c>
      <c r="BF16" s="18">
        <v>736680</v>
      </c>
      <c r="BG16" s="11">
        <v>572346</v>
      </c>
      <c r="BH16" s="10">
        <f t="shared" si="22"/>
        <v>137194</v>
      </c>
      <c r="BI16" s="11">
        <v>709540</v>
      </c>
      <c r="BJ16" s="12">
        <f t="shared" si="23"/>
        <v>0.96315903784546886</v>
      </c>
      <c r="BK16" s="24"/>
      <c r="BL16" s="24"/>
    </row>
    <row r="17" spans="1:64" x14ac:dyDescent="0.3">
      <c r="A17" s="21">
        <v>8</v>
      </c>
      <c r="B17" s="3" t="s">
        <v>14</v>
      </c>
      <c r="C17" s="15">
        <v>263923</v>
      </c>
      <c r="D17" s="10">
        <v>38538</v>
      </c>
      <c r="E17" s="10">
        <f t="shared" si="0"/>
        <v>221394</v>
      </c>
      <c r="F17" s="20">
        <v>259932</v>
      </c>
      <c r="G17" s="12">
        <f t="shared" si="1"/>
        <v>0.98487816522243232</v>
      </c>
      <c r="H17" s="15">
        <v>264168</v>
      </c>
      <c r="I17" s="10">
        <v>59761</v>
      </c>
      <c r="J17" s="10">
        <f t="shared" si="2"/>
        <v>201005</v>
      </c>
      <c r="K17" s="20">
        <v>260766</v>
      </c>
      <c r="L17" s="12">
        <f t="shared" si="3"/>
        <v>0.98712183156173339</v>
      </c>
      <c r="M17" s="16">
        <v>591219</v>
      </c>
      <c r="N17" s="10">
        <v>412388</v>
      </c>
      <c r="O17" s="10">
        <f t="shared" si="4"/>
        <v>171693</v>
      </c>
      <c r="P17" s="13">
        <v>584081</v>
      </c>
      <c r="Q17" s="12">
        <f t="shared" si="5"/>
        <v>0.98792663970542216</v>
      </c>
      <c r="R17" s="16">
        <v>261213</v>
      </c>
      <c r="S17" s="10">
        <v>187758</v>
      </c>
      <c r="T17" s="10">
        <f t="shared" si="6"/>
        <v>69623</v>
      </c>
      <c r="U17" s="20">
        <v>257381</v>
      </c>
      <c r="V17" s="12">
        <f t="shared" si="7"/>
        <v>0.98532997974832803</v>
      </c>
      <c r="W17" s="16">
        <v>269820</v>
      </c>
      <c r="X17" s="10">
        <v>194565</v>
      </c>
      <c r="Y17" s="10">
        <f t="shared" si="8"/>
        <v>72465</v>
      </c>
      <c r="Z17" s="20">
        <v>267030</v>
      </c>
      <c r="AA17" s="12">
        <f t="shared" si="9"/>
        <v>0.98965977318212139</v>
      </c>
      <c r="AB17" s="17">
        <v>613565</v>
      </c>
      <c r="AC17" s="10">
        <v>480460</v>
      </c>
      <c r="AD17" s="10">
        <f t="shared" si="10"/>
        <v>123892</v>
      </c>
      <c r="AE17" s="11">
        <v>604352</v>
      </c>
      <c r="AF17" s="12">
        <f t="shared" si="11"/>
        <v>0.98498447597239092</v>
      </c>
      <c r="AG17" s="16">
        <v>263808</v>
      </c>
      <c r="AH17" s="10">
        <v>197186</v>
      </c>
      <c r="AI17" s="10">
        <f t="shared" si="12"/>
        <v>62441</v>
      </c>
      <c r="AJ17" s="20">
        <v>259627</v>
      </c>
      <c r="AK17" s="12">
        <f t="shared" si="13"/>
        <v>0.98415135249878705</v>
      </c>
      <c r="AL17" s="18">
        <v>270212</v>
      </c>
      <c r="AM17" s="11">
        <v>204012</v>
      </c>
      <c r="AN17" s="10">
        <f t="shared" si="14"/>
        <v>62614</v>
      </c>
      <c r="AO17" s="11">
        <v>266626</v>
      </c>
      <c r="AP17" s="12">
        <f t="shared" si="15"/>
        <v>0.98672893875919643</v>
      </c>
      <c r="AQ17" s="11">
        <v>633137</v>
      </c>
      <c r="AR17" s="11">
        <v>495489</v>
      </c>
      <c r="AS17" s="10">
        <f t="shared" si="16"/>
        <v>124230</v>
      </c>
      <c r="AT17" s="13">
        <v>619719</v>
      </c>
      <c r="AU17" s="12">
        <f t="shared" si="17"/>
        <v>0.97880711441599533</v>
      </c>
      <c r="AV17" s="18">
        <v>270996</v>
      </c>
      <c r="AW17" s="11">
        <v>203750</v>
      </c>
      <c r="AX17" s="10">
        <f t="shared" si="18"/>
        <v>61991</v>
      </c>
      <c r="AY17" s="20">
        <v>265741</v>
      </c>
      <c r="AZ17" s="12">
        <f t="shared" si="19"/>
        <v>0.98060856986818989</v>
      </c>
      <c r="BA17" s="18">
        <v>277009</v>
      </c>
      <c r="BB17" s="11">
        <v>209030</v>
      </c>
      <c r="BC17" s="10">
        <f t="shared" si="20"/>
        <v>65563</v>
      </c>
      <c r="BD17" s="20">
        <v>274593</v>
      </c>
      <c r="BE17" s="12">
        <f t="shared" si="21"/>
        <v>0.9912782617171283</v>
      </c>
      <c r="BF17" s="18">
        <v>651560</v>
      </c>
      <c r="BG17" s="11">
        <v>475405</v>
      </c>
      <c r="BH17" s="10">
        <f t="shared" si="22"/>
        <v>160494</v>
      </c>
      <c r="BI17" s="11">
        <v>635899</v>
      </c>
      <c r="BJ17" s="12">
        <f t="shared" si="23"/>
        <v>0.97596384062864505</v>
      </c>
      <c r="BK17" s="24"/>
      <c r="BL17" s="24"/>
    </row>
    <row r="18" spans="1:64" x14ac:dyDescent="0.3">
      <c r="A18" s="21">
        <v>9</v>
      </c>
      <c r="B18" s="3" t="s">
        <v>15</v>
      </c>
      <c r="C18" s="15">
        <v>768494</v>
      </c>
      <c r="D18" s="10">
        <v>115025</v>
      </c>
      <c r="E18" s="10">
        <f t="shared" si="0"/>
        <v>625834</v>
      </c>
      <c r="F18" s="20">
        <v>740859</v>
      </c>
      <c r="G18" s="12">
        <f t="shared" si="1"/>
        <v>0.96404005756713784</v>
      </c>
      <c r="H18" s="15">
        <v>766983</v>
      </c>
      <c r="I18" s="10">
        <v>175262</v>
      </c>
      <c r="J18" s="10">
        <f t="shared" si="2"/>
        <v>565001</v>
      </c>
      <c r="K18" s="20">
        <v>740263</v>
      </c>
      <c r="L18" s="12">
        <f t="shared" si="3"/>
        <v>0.96516220046598167</v>
      </c>
      <c r="M18" s="16">
        <v>1193073</v>
      </c>
      <c r="N18" s="10">
        <v>764750</v>
      </c>
      <c r="O18" s="10">
        <f t="shared" si="4"/>
        <v>410738</v>
      </c>
      <c r="P18" s="13">
        <v>1175488</v>
      </c>
      <c r="Q18" s="12">
        <f t="shared" si="5"/>
        <v>0.98526075101858812</v>
      </c>
      <c r="R18" s="16">
        <v>775495</v>
      </c>
      <c r="S18" s="10">
        <v>572029</v>
      </c>
      <c r="T18" s="10">
        <f t="shared" si="6"/>
        <v>184177</v>
      </c>
      <c r="U18" s="20">
        <v>756206</v>
      </c>
      <c r="V18" s="12">
        <f t="shared" si="7"/>
        <v>0.97512685446069924</v>
      </c>
      <c r="W18" s="16">
        <v>789854</v>
      </c>
      <c r="X18" s="10">
        <v>594361</v>
      </c>
      <c r="Y18" s="10">
        <f t="shared" si="8"/>
        <v>178827</v>
      </c>
      <c r="Z18" s="20">
        <v>773188</v>
      </c>
      <c r="AA18" s="12">
        <f t="shared" si="9"/>
        <v>0.97889989795582477</v>
      </c>
      <c r="AB18" s="17">
        <v>1245422</v>
      </c>
      <c r="AC18" s="10">
        <v>972790</v>
      </c>
      <c r="AD18" s="10">
        <f t="shared" si="10"/>
        <v>240984</v>
      </c>
      <c r="AE18" s="11">
        <v>1213774</v>
      </c>
      <c r="AF18" s="12">
        <f t="shared" si="11"/>
        <v>0.97458853304341819</v>
      </c>
      <c r="AG18" s="16">
        <v>794310</v>
      </c>
      <c r="AH18" s="10">
        <v>615038</v>
      </c>
      <c r="AI18" s="10">
        <f t="shared" si="12"/>
        <v>158884</v>
      </c>
      <c r="AJ18" s="20">
        <v>773922</v>
      </c>
      <c r="AK18" s="12">
        <f t="shared" si="13"/>
        <v>0.97433243947577142</v>
      </c>
      <c r="AL18" s="18">
        <v>807429</v>
      </c>
      <c r="AM18" s="11">
        <v>630811</v>
      </c>
      <c r="AN18" s="10">
        <f t="shared" si="14"/>
        <v>156234</v>
      </c>
      <c r="AO18" s="11">
        <v>787045</v>
      </c>
      <c r="AP18" s="12">
        <f t="shared" si="15"/>
        <v>0.97475443661300254</v>
      </c>
      <c r="AQ18" s="11">
        <v>1285494</v>
      </c>
      <c r="AR18" s="11">
        <v>1014620</v>
      </c>
      <c r="AS18" s="10">
        <f t="shared" si="16"/>
        <v>230878</v>
      </c>
      <c r="AT18" s="13">
        <v>1245498</v>
      </c>
      <c r="AU18" s="12">
        <f t="shared" si="17"/>
        <v>0.96888666924933142</v>
      </c>
      <c r="AV18" s="18">
        <v>820095</v>
      </c>
      <c r="AW18" s="11">
        <v>632027</v>
      </c>
      <c r="AX18" s="10">
        <f t="shared" si="18"/>
        <v>161741</v>
      </c>
      <c r="AY18" s="20">
        <v>793768</v>
      </c>
      <c r="AZ18" s="12">
        <f t="shared" si="19"/>
        <v>0.96789762161700776</v>
      </c>
      <c r="BA18" s="18">
        <v>829968</v>
      </c>
      <c r="BB18" s="11">
        <v>608301</v>
      </c>
      <c r="BC18" s="10">
        <f t="shared" si="20"/>
        <v>198194</v>
      </c>
      <c r="BD18" s="20">
        <v>806495</v>
      </c>
      <c r="BE18" s="12">
        <f t="shared" si="21"/>
        <v>0.97171818672527133</v>
      </c>
      <c r="BF18" s="18">
        <v>1319511</v>
      </c>
      <c r="BG18" s="11">
        <v>980778</v>
      </c>
      <c r="BH18" s="10">
        <f t="shared" si="22"/>
        <v>292044</v>
      </c>
      <c r="BI18" s="11">
        <v>1272822</v>
      </c>
      <c r="BJ18" s="12">
        <f t="shared" si="23"/>
        <v>0.96461643745296555</v>
      </c>
      <c r="BK18" s="24"/>
      <c r="BL18" s="24"/>
    </row>
    <row r="19" spans="1:64" x14ac:dyDescent="0.3">
      <c r="A19" s="22">
        <v>10</v>
      </c>
      <c r="B19" s="3" t="s">
        <v>16</v>
      </c>
      <c r="C19" s="15">
        <v>245454</v>
      </c>
      <c r="D19" s="10">
        <v>33894</v>
      </c>
      <c r="E19" s="10">
        <f t="shared" si="0"/>
        <v>181881</v>
      </c>
      <c r="F19" s="20">
        <v>215775</v>
      </c>
      <c r="G19" s="12">
        <f t="shared" si="1"/>
        <v>0.87908528685619303</v>
      </c>
      <c r="H19" s="15">
        <v>247965</v>
      </c>
      <c r="I19" s="10">
        <v>46090</v>
      </c>
      <c r="J19" s="10">
        <f t="shared" si="2"/>
        <v>170661</v>
      </c>
      <c r="K19" s="20">
        <v>216751</v>
      </c>
      <c r="L19" s="12">
        <f t="shared" si="3"/>
        <v>0.87411933135724795</v>
      </c>
      <c r="M19" s="16">
        <v>387570</v>
      </c>
      <c r="N19" s="10">
        <v>217398</v>
      </c>
      <c r="O19" s="10">
        <f t="shared" si="4"/>
        <v>139740</v>
      </c>
      <c r="P19" s="13">
        <v>357138</v>
      </c>
      <c r="Q19" s="12">
        <f t="shared" si="5"/>
        <v>0.92147999071135533</v>
      </c>
      <c r="R19" s="16">
        <v>254467</v>
      </c>
      <c r="S19" s="10">
        <v>160711</v>
      </c>
      <c r="T19" s="10">
        <f t="shared" si="6"/>
        <v>69081</v>
      </c>
      <c r="U19" s="20">
        <v>229792</v>
      </c>
      <c r="V19" s="12">
        <f t="shared" si="7"/>
        <v>0.90303261326616024</v>
      </c>
      <c r="W19" s="16">
        <v>263449</v>
      </c>
      <c r="X19" s="10">
        <v>178009</v>
      </c>
      <c r="Y19" s="10">
        <f t="shared" si="8"/>
        <v>66520</v>
      </c>
      <c r="Z19" s="20">
        <v>244529</v>
      </c>
      <c r="AA19" s="12">
        <f t="shared" si="9"/>
        <v>0.92818344347482817</v>
      </c>
      <c r="AB19" s="17">
        <v>418128</v>
      </c>
      <c r="AC19" s="10">
        <v>308574</v>
      </c>
      <c r="AD19" s="10">
        <f t="shared" si="10"/>
        <v>85785</v>
      </c>
      <c r="AE19" s="11">
        <v>394359</v>
      </c>
      <c r="AF19" s="12">
        <f t="shared" si="11"/>
        <v>0.9431537710940191</v>
      </c>
      <c r="AG19" s="16">
        <v>259213</v>
      </c>
      <c r="AH19" s="10">
        <v>175124</v>
      </c>
      <c r="AI19" s="10">
        <f t="shared" si="12"/>
        <v>59059</v>
      </c>
      <c r="AJ19" s="20">
        <v>234183</v>
      </c>
      <c r="AK19" s="12">
        <f t="shared" si="13"/>
        <v>0.90343848495252943</v>
      </c>
      <c r="AL19" s="18">
        <v>262802</v>
      </c>
      <c r="AM19" s="11">
        <v>181335</v>
      </c>
      <c r="AN19" s="10">
        <f t="shared" si="14"/>
        <v>55775</v>
      </c>
      <c r="AO19" s="11">
        <v>237110</v>
      </c>
      <c r="AP19" s="12">
        <f t="shared" si="15"/>
        <v>0.90223818692399604</v>
      </c>
      <c r="AQ19" s="11">
        <v>437396</v>
      </c>
      <c r="AR19" s="11">
        <v>318863</v>
      </c>
      <c r="AS19" s="10">
        <f t="shared" si="16"/>
        <v>82227</v>
      </c>
      <c r="AT19" s="13">
        <v>401090</v>
      </c>
      <c r="AU19" s="12">
        <f t="shared" si="17"/>
        <v>0.91699512569845176</v>
      </c>
      <c r="AV19" s="18">
        <v>265429</v>
      </c>
      <c r="AW19" s="11">
        <v>181607</v>
      </c>
      <c r="AX19" s="10">
        <f t="shared" si="18"/>
        <v>56300</v>
      </c>
      <c r="AY19" s="20">
        <v>237907</v>
      </c>
      <c r="AZ19" s="12">
        <f t="shared" si="19"/>
        <v>0.89631125461046079</v>
      </c>
      <c r="BA19" s="18">
        <v>272122</v>
      </c>
      <c r="BB19" s="11">
        <v>178858</v>
      </c>
      <c r="BC19" s="10">
        <f t="shared" si="20"/>
        <v>65961</v>
      </c>
      <c r="BD19" s="20">
        <v>244819</v>
      </c>
      <c r="BE19" s="12">
        <f t="shared" si="21"/>
        <v>0.89966632613313147</v>
      </c>
      <c r="BF19" s="18">
        <v>456786</v>
      </c>
      <c r="BG19" s="11">
        <v>300322</v>
      </c>
      <c r="BH19" s="10">
        <f t="shared" si="22"/>
        <v>115393</v>
      </c>
      <c r="BI19" s="11">
        <v>415715</v>
      </c>
      <c r="BJ19" s="12">
        <f t="shared" si="23"/>
        <v>0.91008699916372215</v>
      </c>
      <c r="BK19" s="24"/>
      <c r="BL19" s="24"/>
    </row>
    <row r="20" spans="1:64" x14ac:dyDescent="0.3">
      <c r="A20" s="22">
        <v>11</v>
      </c>
      <c r="B20" s="3" t="s">
        <v>17</v>
      </c>
      <c r="C20" s="15">
        <v>5479</v>
      </c>
      <c r="D20" s="10">
        <v>1124</v>
      </c>
      <c r="E20" s="10">
        <f t="shared" si="0"/>
        <v>3729</v>
      </c>
      <c r="F20" s="20">
        <v>4853</v>
      </c>
      <c r="G20" s="12">
        <f t="shared" si="1"/>
        <v>0.88574557400985576</v>
      </c>
      <c r="H20" s="15">
        <v>5462</v>
      </c>
      <c r="I20" s="10">
        <v>1118</v>
      </c>
      <c r="J20" s="10">
        <f t="shared" si="2"/>
        <v>3683</v>
      </c>
      <c r="K20" s="20">
        <v>4801</v>
      </c>
      <c r="L20" s="12">
        <f t="shared" si="3"/>
        <v>0.87898205785426586</v>
      </c>
      <c r="M20" s="16">
        <v>8047</v>
      </c>
      <c r="N20" s="10">
        <v>4175</v>
      </c>
      <c r="O20" s="10">
        <f t="shared" si="4"/>
        <v>3097</v>
      </c>
      <c r="P20" s="13">
        <v>7272</v>
      </c>
      <c r="Q20" s="12">
        <f t="shared" si="5"/>
        <v>0.9036908164533366</v>
      </c>
      <c r="R20" s="16">
        <v>5619</v>
      </c>
      <c r="S20" s="10">
        <v>3218</v>
      </c>
      <c r="T20" s="10">
        <f t="shared" si="6"/>
        <v>1612</v>
      </c>
      <c r="U20" s="20">
        <v>4830</v>
      </c>
      <c r="V20" s="12">
        <f t="shared" si="7"/>
        <v>0.85958355579284573</v>
      </c>
      <c r="W20" s="16">
        <v>5711</v>
      </c>
      <c r="X20" s="10">
        <v>3351</v>
      </c>
      <c r="Y20" s="10">
        <f t="shared" si="8"/>
        <v>1562</v>
      </c>
      <c r="Z20" s="20">
        <v>4913</v>
      </c>
      <c r="AA20" s="12">
        <f t="shared" si="9"/>
        <v>0.86026965505165465</v>
      </c>
      <c r="AB20" s="17">
        <v>8314</v>
      </c>
      <c r="AC20" s="10">
        <v>5305</v>
      </c>
      <c r="AD20" s="10">
        <f t="shared" si="10"/>
        <v>2186</v>
      </c>
      <c r="AE20" s="11">
        <v>7491</v>
      </c>
      <c r="AF20" s="12">
        <f t="shared" si="11"/>
        <v>0.90101034399807556</v>
      </c>
      <c r="AG20" s="16">
        <v>5709</v>
      </c>
      <c r="AH20" s="10">
        <v>3389</v>
      </c>
      <c r="AI20" s="10">
        <f t="shared" si="12"/>
        <v>1514</v>
      </c>
      <c r="AJ20" s="20">
        <v>4903</v>
      </c>
      <c r="AK20" s="12">
        <f t="shared" si="13"/>
        <v>0.8588194079523559</v>
      </c>
      <c r="AL20" s="18">
        <v>5805</v>
      </c>
      <c r="AM20" s="11">
        <v>3512</v>
      </c>
      <c r="AN20" s="10">
        <f t="shared" si="14"/>
        <v>1490</v>
      </c>
      <c r="AO20" s="11">
        <v>5002</v>
      </c>
      <c r="AP20" s="12">
        <f t="shared" si="15"/>
        <v>0.86167097329888032</v>
      </c>
      <c r="AQ20" s="11">
        <v>8632</v>
      </c>
      <c r="AR20" s="11">
        <v>5851</v>
      </c>
      <c r="AS20" s="10">
        <f t="shared" si="16"/>
        <v>1922</v>
      </c>
      <c r="AT20" s="13">
        <v>7773</v>
      </c>
      <c r="AU20" s="12">
        <f t="shared" si="17"/>
        <v>0.90048656163113994</v>
      </c>
      <c r="AV20" s="18">
        <v>5837</v>
      </c>
      <c r="AW20" s="11">
        <v>3451</v>
      </c>
      <c r="AX20" s="10">
        <f t="shared" si="18"/>
        <v>1507</v>
      </c>
      <c r="AY20" s="20">
        <v>4958</v>
      </c>
      <c r="AZ20" s="12">
        <f t="shared" si="19"/>
        <v>0.84940894295014557</v>
      </c>
      <c r="BA20" s="18">
        <v>5912</v>
      </c>
      <c r="BB20" s="11">
        <v>3508</v>
      </c>
      <c r="BC20" s="10">
        <f t="shared" si="20"/>
        <v>1555</v>
      </c>
      <c r="BD20" s="20">
        <v>5063</v>
      </c>
      <c r="BE20" s="12">
        <f t="shared" si="21"/>
        <v>0.85639377537212447</v>
      </c>
      <c r="BF20" s="18">
        <v>8941</v>
      </c>
      <c r="BG20" s="11">
        <v>5756</v>
      </c>
      <c r="BH20" s="10">
        <f t="shared" si="22"/>
        <v>2250</v>
      </c>
      <c r="BI20" s="11">
        <v>8006</v>
      </c>
      <c r="BJ20" s="12">
        <f t="shared" si="23"/>
        <v>0.89542556760988701</v>
      </c>
      <c r="BK20" s="24"/>
      <c r="BL20" s="24"/>
    </row>
    <row r="21" spans="1:64" x14ac:dyDescent="0.3">
      <c r="A21" s="22">
        <v>12</v>
      </c>
      <c r="B21" s="3" t="s">
        <v>18</v>
      </c>
      <c r="C21" s="15">
        <v>10109</v>
      </c>
      <c r="D21" s="10">
        <v>1385</v>
      </c>
      <c r="E21" s="10">
        <f t="shared" si="0"/>
        <v>6395</v>
      </c>
      <c r="F21" s="20">
        <v>7780</v>
      </c>
      <c r="G21" s="12">
        <f t="shared" si="1"/>
        <v>0.7696112375111287</v>
      </c>
      <c r="H21" s="15">
        <v>10163</v>
      </c>
      <c r="I21" s="10">
        <v>1421</v>
      </c>
      <c r="J21" s="10">
        <f t="shared" si="2"/>
        <v>6393</v>
      </c>
      <c r="K21" s="20">
        <v>7814</v>
      </c>
      <c r="L21" s="12">
        <f t="shared" si="3"/>
        <v>0.76886746039555254</v>
      </c>
      <c r="M21" s="16">
        <v>12994</v>
      </c>
      <c r="N21" s="10">
        <v>4851</v>
      </c>
      <c r="O21" s="10">
        <f t="shared" si="4"/>
        <v>5673</v>
      </c>
      <c r="P21" s="13">
        <v>10524</v>
      </c>
      <c r="Q21" s="12">
        <f t="shared" si="5"/>
        <v>0.80991226720024623</v>
      </c>
      <c r="R21" s="16">
        <v>10237</v>
      </c>
      <c r="S21" s="10">
        <v>4286</v>
      </c>
      <c r="T21" s="10">
        <f t="shared" si="6"/>
        <v>3585</v>
      </c>
      <c r="U21" s="20">
        <v>7871</v>
      </c>
      <c r="V21" s="12">
        <f t="shared" si="7"/>
        <v>0.76887760085962686</v>
      </c>
      <c r="W21" s="16">
        <v>10162</v>
      </c>
      <c r="X21" s="10">
        <v>4420</v>
      </c>
      <c r="Y21" s="10">
        <f t="shared" si="8"/>
        <v>3553</v>
      </c>
      <c r="Z21" s="20">
        <v>7973</v>
      </c>
      <c r="AA21" s="12">
        <f t="shared" si="9"/>
        <v>0.78458964770714423</v>
      </c>
      <c r="AB21" s="17">
        <v>13196</v>
      </c>
      <c r="AC21" s="10">
        <v>6552</v>
      </c>
      <c r="AD21" s="10">
        <f t="shared" si="10"/>
        <v>4247</v>
      </c>
      <c r="AE21" s="11">
        <v>10799</v>
      </c>
      <c r="AF21" s="12">
        <f t="shared" si="11"/>
        <v>0.81835404668081235</v>
      </c>
      <c r="AG21" s="16">
        <v>10295</v>
      </c>
      <c r="AH21" s="10">
        <v>5006</v>
      </c>
      <c r="AI21" s="10">
        <f t="shared" si="12"/>
        <v>3028</v>
      </c>
      <c r="AJ21" s="20">
        <v>8034</v>
      </c>
      <c r="AK21" s="12">
        <f t="shared" si="13"/>
        <v>0.78037882467217101</v>
      </c>
      <c r="AL21" s="18">
        <v>10459</v>
      </c>
      <c r="AM21" s="11">
        <v>5163</v>
      </c>
      <c r="AN21" s="10">
        <f t="shared" si="14"/>
        <v>2979</v>
      </c>
      <c r="AO21" s="11">
        <v>8142</v>
      </c>
      <c r="AP21" s="12">
        <f t="shared" si="15"/>
        <v>0.77846830480925522</v>
      </c>
      <c r="AQ21" s="11">
        <v>13595</v>
      </c>
      <c r="AR21" s="11">
        <v>7233</v>
      </c>
      <c r="AS21" s="10">
        <f t="shared" si="16"/>
        <v>3830</v>
      </c>
      <c r="AT21" s="13">
        <v>11063</v>
      </c>
      <c r="AU21" s="12">
        <f t="shared" si="17"/>
        <v>0.81375505700625228</v>
      </c>
      <c r="AV21" s="18">
        <v>10391</v>
      </c>
      <c r="AW21" s="11">
        <v>5226</v>
      </c>
      <c r="AX21" s="10">
        <f t="shared" si="18"/>
        <v>3015</v>
      </c>
      <c r="AY21" s="20">
        <v>8241</v>
      </c>
      <c r="AZ21" s="12">
        <f t="shared" si="19"/>
        <v>0.79309017418920225</v>
      </c>
      <c r="BA21" s="18">
        <v>10525</v>
      </c>
      <c r="BB21" s="11">
        <v>5269</v>
      </c>
      <c r="BC21" s="10">
        <f t="shared" si="20"/>
        <v>3121</v>
      </c>
      <c r="BD21" s="20">
        <v>8390</v>
      </c>
      <c r="BE21" s="12">
        <f t="shared" si="21"/>
        <v>0.79714964370546315</v>
      </c>
      <c r="BF21" s="18">
        <v>13618</v>
      </c>
      <c r="BG21" s="11">
        <v>6300</v>
      </c>
      <c r="BH21" s="10">
        <f t="shared" si="22"/>
        <v>5150</v>
      </c>
      <c r="BI21" s="11">
        <v>11450</v>
      </c>
      <c r="BJ21" s="12">
        <f t="shared" si="23"/>
        <v>0.8407989425760023</v>
      </c>
      <c r="BK21" s="24"/>
      <c r="BL21" s="24"/>
    </row>
    <row r="22" spans="1:64" x14ac:dyDescent="0.3">
      <c r="A22" s="22">
        <v>13</v>
      </c>
      <c r="B22" s="3" t="s">
        <v>19</v>
      </c>
      <c r="C22" s="15">
        <v>5921</v>
      </c>
      <c r="D22" s="10">
        <v>1313</v>
      </c>
      <c r="E22" s="10">
        <f t="shared" si="0"/>
        <v>3847</v>
      </c>
      <c r="F22" s="20">
        <v>5160</v>
      </c>
      <c r="G22" s="12">
        <f t="shared" si="1"/>
        <v>0.87147441310589424</v>
      </c>
      <c r="H22" s="15">
        <v>5940</v>
      </c>
      <c r="I22" s="10">
        <v>1049</v>
      </c>
      <c r="J22" s="10">
        <f t="shared" si="2"/>
        <v>4126</v>
      </c>
      <c r="K22" s="20">
        <v>5175</v>
      </c>
      <c r="L22" s="12">
        <f t="shared" si="3"/>
        <v>0.87121212121212122</v>
      </c>
      <c r="M22" s="16">
        <v>7004</v>
      </c>
      <c r="N22" s="10">
        <v>3042</v>
      </c>
      <c r="O22" s="10">
        <f t="shared" si="4"/>
        <v>3147</v>
      </c>
      <c r="P22" s="13">
        <v>6189</v>
      </c>
      <c r="Q22" s="12">
        <f t="shared" si="5"/>
        <v>0.88363792118789264</v>
      </c>
      <c r="R22" s="16">
        <v>5966</v>
      </c>
      <c r="S22" s="10">
        <v>3273</v>
      </c>
      <c r="T22" s="10">
        <f t="shared" si="6"/>
        <v>1864</v>
      </c>
      <c r="U22" s="20">
        <v>5137</v>
      </c>
      <c r="V22" s="12">
        <f t="shared" si="7"/>
        <v>0.86104592691920889</v>
      </c>
      <c r="W22" s="16">
        <v>5920</v>
      </c>
      <c r="X22" s="10">
        <v>3386</v>
      </c>
      <c r="Y22" s="10">
        <f t="shared" si="8"/>
        <v>1815</v>
      </c>
      <c r="Z22" s="20">
        <v>5201</v>
      </c>
      <c r="AA22" s="12">
        <f t="shared" si="9"/>
        <v>0.8785472972972973</v>
      </c>
      <c r="AB22" s="17">
        <v>7073</v>
      </c>
      <c r="AC22" s="10">
        <v>4344</v>
      </c>
      <c r="AD22" s="10">
        <f t="shared" si="10"/>
        <v>2016</v>
      </c>
      <c r="AE22" s="11">
        <v>6360</v>
      </c>
      <c r="AF22" s="12">
        <f t="shared" si="11"/>
        <v>0.89919411847872188</v>
      </c>
      <c r="AG22" s="16">
        <v>5998</v>
      </c>
      <c r="AH22" s="10">
        <v>3710</v>
      </c>
      <c r="AI22" s="10">
        <f t="shared" si="12"/>
        <v>1590</v>
      </c>
      <c r="AJ22" s="20">
        <v>5300</v>
      </c>
      <c r="AK22" s="12">
        <f t="shared" si="13"/>
        <v>0.88362787595865289</v>
      </c>
      <c r="AL22" s="18">
        <v>5988</v>
      </c>
      <c r="AM22" s="11">
        <v>3796</v>
      </c>
      <c r="AN22" s="10">
        <f t="shared" si="14"/>
        <v>1591</v>
      </c>
      <c r="AO22" s="11">
        <v>5387</v>
      </c>
      <c r="AP22" s="12">
        <f t="shared" si="15"/>
        <v>0.89963259853039412</v>
      </c>
      <c r="AQ22" s="11">
        <v>7036</v>
      </c>
      <c r="AR22" s="11">
        <v>4554</v>
      </c>
      <c r="AS22" s="10">
        <f t="shared" si="16"/>
        <v>1947</v>
      </c>
      <c r="AT22" s="13">
        <v>6501</v>
      </c>
      <c r="AU22" s="12">
        <f t="shared" si="17"/>
        <v>0.92396247868106884</v>
      </c>
      <c r="AV22" s="18">
        <v>5943</v>
      </c>
      <c r="AW22" s="11">
        <v>3758</v>
      </c>
      <c r="AX22" s="10">
        <f t="shared" si="18"/>
        <v>1654</v>
      </c>
      <c r="AY22" s="20">
        <v>5412</v>
      </c>
      <c r="AZ22" s="12">
        <f t="shared" si="19"/>
        <v>0.91065118626956087</v>
      </c>
      <c r="BA22" s="18">
        <v>5997</v>
      </c>
      <c r="BB22" s="11">
        <v>3866</v>
      </c>
      <c r="BC22" s="10">
        <f t="shared" si="20"/>
        <v>1610</v>
      </c>
      <c r="BD22" s="20">
        <v>5476</v>
      </c>
      <c r="BE22" s="12">
        <f t="shared" si="21"/>
        <v>0.91312322828080705</v>
      </c>
      <c r="BF22" s="18">
        <v>7214</v>
      </c>
      <c r="BG22" s="11">
        <v>4283</v>
      </c>
      <c r="BH22" s="10">
        <f t="shared" si="22"/>
        <v>2402</v>
      </c>
      <c r="BI22" s="11">
        <v>6685</v>
      </c>
      <c r="BJ22" s="12">
        <f t="shared" si="23"/>
        <v>0.92667036318270035</v>
      </c>
      <c r="BK22" s="24"/>
      <c r="BL22" s="24"/>
    </row>
    <row r="23" spans="1:64" x14ac:dyDescent="0.3">
      <c r="A23" s="22">
        <v>14</v>
      </c>
      <c r="B23" s="3" t="s">
        <v>20</v>
      </c>
      <c r="C23" s="15">
        <v>9480</v>
      </c>
      <c r="D23" s="10">
        <v>1147</v>
      </c>
      <c r="E23" s="10">
        <f t="shared" si="0"/>
        <v>6141</v>
      </c>
      <c r="F23" s="20">
        <v>7288</v>
      </c>
      <c r="G23" s="12">
        <f t="shared" si="1"/>
        <v>0.7687763713080169</v>
      </c>
      <c r="H23" s="15">
        <v>9486</v>
      </c>
      <c r="I23" s="10">
        <v>1373</v>
      </c>
      <c r="J23" s="10">
        <f t="shared" si="2"/>
        <v>5886</v>
      </c>
      <c r="K23" s="20">
        <v>7259</v>
      </c>
      <c r="L23" s="12">
        <f t="shared" si="3"/>
        <v>0.76523297491039421</v>
      </c>
      <c r="M23" s="16">
        <v>11077</v>
      </c>
      <c r="N23" s="10">
        <v>3317</v>
      </c>
      <c r="O23" s="10">
        <f t="shared" si="4"/>
        <v>5406</v>
      </c>
      <c r="P23" s="13">
        <v>8723</v>
      </c>
      <c r="Q23" s="12">
        <f t="shared" si="5"/>
        <v>0.78748758689175768</v>
      </c>
      <c r="R23" s="16">
        <v>9575</v>
      </c>
      <c r="S23" s="10">
        <v>4031</v>
      </c>
      <c r="T23" s="10">
        <f t="shared" si="6"/>
        <v>3282</v>
      </c>
      <c r="U23" s="20">
        <v>7313</v>
      </c>
      <c r="V23" s="12">
        <f t="shared" si="7"/>
        <v>0.76375979112271541</v>
      </c>
      <c r="W23" s="16">
        <v>9750</v>
      </c>
      <c r="X23" s="10">
        <v>4211</v>
      </c>
      <c r="Y23" s="10">
        <f t="shared" si="8"/>
        <v>3173</v>
      </c>
      <c r="Z23" s="20">
        <v>7384</v>
      </c>
      <c r="AA23" s="12">
        <f t="shared" si="9"/>
        <v>0.7573333333333333</v>
      </c>
      <c r="AB23" s="17">
        <v>11436</v>
      </c>
      <c r="AC23" s="10">
        <v>5373</v>
      </c>
      <c r="AD23" s="10">
        <f t="shared" si="10"/>
        <v>3625</v>
      </c>
      <c r="AE23" s="11">
        <v>8998</v>
      </c>
      <c r="AF23" s="12">
        <f t="shared" si="11"/>
        <v>0.78681357117873385</v>
      </c>
      <c r="AG23" s="16">
        <v>9837</v>
      </c>
      <c r="AH23" s="10">
        <v>4608</v>
      </c>
      <c r="AI23" s="10">
        <f t="shared" si="12"/>
        <v>2844</v>
      </c>
      <c r="AJ23" s="20">
        <v>7452</v>
      </c>
      <c r="AK23" s="12">
        <f t="shared" si="13"/>
        <v>0.75754803293687101</v>
      </c>
      <c r="AL23" s="18">
        <v>9887</v>
      </c>
      <c r="AM23" s="11">
        <v>4642</v>
      </c>
      <c r="AN23" s="10">
        <f t="shared" si="14"/>
        <v>2896</v>
      </c>
      <c r="AO23" s="11">
        <v>7538</v>
      </c>
      <c r="AP23" s="12">
        <f t="shared" si="15"/>
        <v>0.76241529280873876</v>
      </c>
      <c r="AQ23" s="11">
        <v>10570</v>
      </c>
      <c r="AR23" s="11">
        <v>5830</v>
      </c>
      <c r="AS23" s="10">
        <f t="shared" si="16"/>
        <v>3378</v>
      </c>
      <c r="AT23" s="13">
        <v>9208</v>
      </c>
      <c r="AU23" s="12">
        <f t="shared" si="17"/>
        <v>0.87114474929044461</v>
      </c>
      <c r="AV23" s="18">
        <v>8848</v>
      </c>
      <c r="AW23" s="11">
        <v>4317</v>
      </c>
      <c r="AX23" s="10">
        <f t="shared" si="18"/>
        <v>3201</v>
      </c>
      <c r="AY23" s="20">
        <v>7518</v>
      </c>
      <c r="AZ23" s="12">
        <f t="shared" si="19"/>
        <v>0.84968354430379744</v>
      </c>
      <c r="BA23" s="18">
        <v>8869</v>
      </c>
      <c r="BB23" s="11">
        <v>4348</v>
      </c>
      <c r="BC23" s="10">
        <f t="shared" si="20"/>
        <v>3263</v>
      </c>
      <c r="BD23" s="20">
        <v>7611</v>
      </c>
      <c r="BE23" s="12">
        <f t="shared" si="21"/>
        <v>0.8581576276919608</v>
      </c>
      <c r="BF23" s="18">
        <v>10711</v>
      </c>
      <c r="BG23" s="11">
        <v>5362</v>
      </c>
      <c r="BH23" s="10">
        <f t="shared" si="22"/>
        <v>4035</v>
      </c>
      <c r="BI23" s="11">
        <v>9397</v>
      </c>
      <c r="BJ23" s="12">
        <f t="shared" si="23"/>
        <v>0.87732237886285125</v>
      </c>
      <c r="BK23" s="24"/>
      <c r="BL23" s="24"/>
    </row>
    <row r="24" spans="1:64" x14ac:dyDescent="0.3">
      <c r="A24" s="22">
        <v>15</v>
      </c>
      <c r="B24" s="3" t="s">
        <v>21</v>
      </c>
      <c r="C24" s="15">
        <v>5899</v>
      </c>
      <c r="D24" s="10">
        <v>1641</v>
      </c>
      <c r="E24" s="10">
        <f t="shared" si="0"/>
        <v>3080</v>
      </c>
      <c r="F24" s="20">
        <v>4721</v>
      </c>
      <c r="G24" s="12">
        <f t="shared" si="1"/>
        <v>0.80030513646380741</v>
      </c>
      <c r="H24" s="15">
        <v>5806</v>
      </c>
      <c r="I24" s="10">
        <v>1586</v>
      </c>
      <c r="J24" s="10">
        <f t="shared" si="2"/>
        <v>3125</v>
      </c>
      <c r="K24" s="20">
        <v>4711</v>
      </c>
      <c r="L24" s="12">
        <f t="shared" si="3"/>
        <v>0.81140199793317258</v>
      </c>
      <c r="M24" s="16">
        <v>6586</v>
      </c>
      <c r="N24" s="10">
        <v>3056</v>
      </c>
      <c r="O24" s="10">
        <f t="shared" si="4"/>
        <v>2388</v>
      </c>
      <c r="P24" s="13">
        <v>5444</v>
      </c>
      <c r="Q24" s="12">
        <f t="shared" si="5"/>
        <v>0.82660188278165803</v>
      </c>
      <c r="R24" s="16">
        <v>5878</v>
      </c>
      <c r="S24" s="10">
        <v>3216</v>
      </c>
      <c r="T24" s="10">
        <f t="shared" si="6"/>
        <v>1477</v>
      </c>
      <c r="U24" s="20">
        <v>4693</v>
      </c>
      <c r="V24" s="12">
        <f t="shared" si="7"/>
        <v>0.79840081660428719</v>
      </c>
      <c r="W24" s="16">
        <v>5897</v>
      </c>
      <c r="X24" s="10">
        <v>3348</v>
      </c>
      <c r="Y24" s="10">
        <f t="shared" si="8"/>
        <v>1370</v>
      </c>
      <c r="Z24" s="20">
        <v>4718</v>
      </c>
      <c r="AA24" s="12">
        <f t="shared" si="9"/>
        <v>0.80006783110055957</v>
      </c>
      <c r="AB24" s="17">
        <v>6699</v>
      </c>
      <c r="AC24" s="10">
        <v>4224</v>
      </c>
      <c r="AD24" s="10">
        <f t="shared" si="10"/>
        <v>1293</v>
      </c>
      <c r="AE24" s="11">
        <v>5517</v>
      </c>
      <c r="AF24" s="12">
        <f t="shared" si="11"/>
        <v>0.82355575459023733</v>
      </c>
      <c r="AG24" s="16">
        <v>5948</v>
      </c>
      <c r="AH24" s="10">
        <v>3660</v>
      </c>
      <c r="AI24" s="10">
        <f t="shared" si="12"/>
        <v>1120</v>
      </c>
      <c r="AJ24" s="20">
        <v>4780</v>
      </c>
      <c r="AK24" s="12">
        <f t="shared" si="13"/>
        <v>0.8036314727639543</v>
      </c>
      <c r="AL24" s="18">
        <v>5965</v>
      </c>
      <c r="AM24" s="11">
        <v>3668</v>
      </c>
      <c r="AN24" s="10">
        <f t="shared" si="14"/>
        <v>1216</v>
      </c>
      <c r="AO24" s="11">
        <v>4884</v>
      </c>
      <c r="AP24" s="12">
        <f t="shared" si="15"/>
        <v>0.81877619446772842</v>
      </c>
      <c r="AQ24" s="11">
        <v>6810</v>
      </c>
      <c r="AR24" s="11">
        <v>4323</v>
      </c>
      <c r="AS24" s="10">
        <f t="shared" si="16"/>
        <v>1410</v>
      </c>
      <c r="AT24" s="13">
        <v>5733</v>
      </c>
      <c r="AU24" s="12">
        <f t="shared" si="17"/>
        <v>0.84185022026431722</v>
      </c>
      <c r="AV24" s="18">
        <v>6017</v>
      </c>
      <c r="AW24" s="11">
        <v>3707</v>
      </c>
      <c r="AX24" s="10">
        <f t="shared" si="18"/>
        <v>1254</v>
      </c>
      <c r="AY24" s="20">
        <v>4961</v>
      </c>
      <c r="AZ24" s="12">
        <f t="shared" si="19"/>
        <v>0.82449725776965266</v>
      </c>
      <c r="BA24" s="18">
        <v>6141</v>
      </c>
      <c r="BB24" s="11">
        <v>3732</v>
      </c>
      <c r="BC24" s="10">
        <f t="shared" si="20"/>
        <v>1304</v>
      </c>
      <c r="BD24" s="20">
        <v>5036</v>
      </c>
      <c r="BE24" s="12">
        <f t="shared" si="21"/>
        <v>0.82006187917277318</v>
      </c>
      <c r="BF24" s="18">
        <v>7097</v>
      </c>
      <c r="BG24" s="11">
        <v>4446</v>
      </c>
      <c r="BH24" s="10">
        <f t="shared" si="22"/>
        <v>1477</v>
      </c>
      <c r="BI24" s="11">
        <v>5923</v>
      </c>
      <c r="BJ24" s="12">
        <f t="shared" si="23"/>
        <v>0.83457799070029592</v>
      </c>
      <c r="BK24" s="24"/>
      <c r="BL24" s="24"/>
    </row>
    <row r="25" spans="1:64" x14ac:dyDescent="0.3">
      <c r="A25" s="22">
        <v>16</v>
      </c>
      <c r="B25" s="3" t="s">
        <v>22</v>
      </c>
      <c r="C25" s="15">
        <v>18100</v>
      </c>
      <c r="D25" s="10">
        <v>3372</v>
      </c>
      <c r="E25" s="10">
        <f t="shared" si="0"/>
        <v>12802</v>
      </c>
      <c r="F25" s="20">
        <v>16174</v>
      </c>
      <c r="G25" s="12">
        <f t="shared" si="1"/>
        <v>0.8935911602209945</v>
      </c>
      <c r="H25" s="15">
        <v>17996</v>
      </c>
      <c r="I25" s="10">
        <v>2677</v>
      </c>
      <c r="J25" s="10">
        <f t="shared" si="2"/>
        <v>13569</v>
      </c>
      <c r="K25" s="20">
        <v>16246</v>
      </c>
      <c r="L25" s="12">
        <f t="shared" si="3"/>
        <v>0.9027561680373416</v>
      </c>
      <c r="M25" s="16">
        <v>25145</v>
      </c>
      <c r="N25" s="10">
        <v>13700</v>
      </c>
      <c r="O25" s="10">
        <f t="shared" si="4"/>
        <v>9472</v>
      </c>
      <c r="P25" s="13">
        <v>23172</v>
      </c>
      <c r="Q25" s="12">
        <f t="shared" si="5"/>
        <v>0.92153509644064424</v>
      </c>
      <c r="R25" s="16">
        <v>18343</v>
      </c>
      <c r="S25" s="10">
        <v>12473</v>
      </c>
      <c r="T25" s="10">
        <f t="shared" si="6"/>
        <v>3985</v>
      </c>
      <c r="U25" s="20">
        <v>16458</v>
      </c>
      <c r="V25" s="12">
        <f t="shared" si="7"/>
        <v>0.89723600283486893</v>
      </c>
      <c r="W25" s="16">
        <v>18513</v>
      </c>
      <c r="X25" s="10">
        <v>12524</v>
      </c>
      <c r="Y25" s="10">
        <f t="shared" si="8"/>
        <v>4128</v>
      </c>
      <c r="Z25" s="20">
        <v>16652</v>
      </c>
      <c r="AA25" s="12">
        <f t="shared" si="9"/>
        <v>0.89947604386107061</v>
      </c>
      <c r="AB25" s="17">
        <v>25418</v>
      </c>
      <c r="AC25" s="10">
        <v>18159</v>
      </c>
      <c r="AD25" s="10">
        <f t="shared" si="10"/>
        <v>5450</v>
      </c>
      <c r="AE25" s="11">
        <v>23609</v>
      </c>
      <c r="AF25" s="12">
        <f t="shared" si="11"/>
        <v>0.92882996301833343</v>
      </c>
      <c r="AG25" s="16">
        <v>18377</v>
      </c>
      <c r="AH25" s="10">
        <v>13415</v>
      </c>
      <c r="AI25" s="10">
        <f t="shared" si="12"/>
        <v>3248</v>
      </c>
      <c r="AJ25" s="20">
        <v>16663</v>
      </c>
      <c r="AK25" s="12">
        <f t="shared" si="13"/>
        <v>0.90673124013712791</v>
      </c>
      <c r="AL25" s="18">
        <v>18561</v>
      </c>
      <c r="AM25" s="11">
        <v>13513</v>
      </c>
      <c r="AN25" s="10">
        <f t="shared" si="14"/>
        <v>3305</v>
      </c>
      <c r="AO25" s="11">
        <v>16818</v>
      </c>
      <c r="AP25" s="12">
        <f t="shared" si="15"/>
        <v>0.90609342169064166</v>
      </c>
      <c r="AQ25" s="11">
        <v>25768</v>
      </c>
      <c r="AR25" s="11">
        <v>19589</v>
      </c>
      <c r="AS25" s="10">
        <f t="shared" si="16"/>
        <v>4298</v>
      </c>
      <c r="AT25" s="13">
        <v>23887</v>
      </c>
      <c r="AU25" s="12">
        <f t="shared" si="17"/>
        <v>0.92700248370071403</v>
      </c>
      <c r="AV25" s="18">
        <v>18472</v>
      </c>
      <c r="AW25" s="11">
        <v>13689</v>
      </c>
      <c r="AX25" s="10">
        <f t="shared" si="18"/>
        <v>3334</v>
      </c>
      <c r="AY25" s="20">
        <v>17023</v>
      </c>
      <c r="AZ25" s="12">
        <f t="shared" si="19"/>
        <v>0.92155695106106539</v>
      </c>
      <c r="BA25" s="18">
        <v>18607</v>
      </c>
      <c r="BB25" s="11">
        <v>13755</v>
      </c>
      <c r="BC25" s="10">
        <f t="shared" si="20"/>
        <v>3559</v>
      </c>
      <c r="BD25" s="20">
        <v>17314</v>
      </c>
      <c r="BE25" s="12">
        <f t="shared" si="21"/>
        <v>0.93051002310958242</v>
      </c>
      <c r="BF25" s="18">
        <v>26131</v>
      </c>
      <c r="BG25" s="11">
        <v>18121</v>
      </c>
      <c r="BH25" s="10">
        <f t="shared" si="22"/>
        <v>6380</v>
      </c>
      <c r="BI25" s="11">
        <v>24501</v>
      </c>
      <c r="BJ25" s="12">
        <f t="shared" si="23"/>
        <v>0.93762198155447551</v>
      </c>
      <c r="BK25" s="24"/>
      <c r="BL25" s="24"/>
    </row>
    <row r="26" spans="1:64" x14ac:dyDescent="0.3">
      <c r="A26" s="22">
        <v>17</v>
      </c>
      <c r="B26" s="3" t="s">
        <v>23</v>
      </c>
      <c r="C26" s="15">
        <v>16562</v>
      </c>
      <c r="D26" s="10">
        <v>3476</v>
      </c>
      <c r="E26" s="10">
        <f t="shared" si="0"/>
        <v>9675</v>
      </c>
      <c r="F26" s="20">
        <v>13151</v>
      </c>
      <c r="G26" s="12">
        <f t="shared" si="1"/>
        <v>0.79404661272793142</v>
      </c>
      <c r="H26" s="15">
        <v>16580</v>
      </c>
      <c r="I26" s="10">
        <v>3605</v>
      </c>
      <c r="J26" s="10">
        <f t="shared" si="2"/>
        <v>9478</v>
      </c>
      <c r="K26" s="20">
        <v>13083</v>
      </c>
      <c r="L26" s="12">
        <f t="shared" si="3"/>
        <v>0.78908323281061521</v>
      </c>
      <c r="M26" s="16">
        <v>25396</v>
      </c>
      <c r="N26" s="10">
        <v>13243</v>
      </c>
      <c r="O26" s="10">
        <f t="shared" si="4"/>
        <v>8464</v>
      </c>
      <c r="P26" s="13">
        <v>21707</v>
      </c>
      <c r="Q26" s="12">
        <f t="shared" si="5"/>
        <v>0.85474090407938264</v>
      </c>
      <c r="R26" s="16">
        <v>16475</v>
      </c>
      <c r="S26" s="10">
        <v>8583</v>
      </c>
      <c r="T26" s="10">
        <f t="shared" si="6"/>
        <v>4396</v>
      </c>
      <c r="U26" s="20">
        <v>12979</v>
      </c>
      <c r="V26" s="12">
        <f t="shared" si="7"/>
        <v>0.78779969650986348</v>
      </c>
      <c r="W26" s="16">
        <v>16675</v>
      </c>
      <c r="X26" s="10">
        <v>9279</v>
      </c>
      <c r="Y26" s="10">
        <f t="shared" si="8"/>
        <v>3965</v>
      </c>
      <c r="Z26" s="20">
        <v>13244</v>
      </c>
      <c r="AA26" s="12">
        <f t="shared" si="9"/>
        <v>0.79424287856071962</v>
      </c>
      <c r="AB26" s="17">
        <v>25656</v>
      </c>
      <c r="AC26" s="10">
        <v>17111</v>
      </c>
      <c r="AD26" s="10">
        <f t="shared" si="10"/>
        <v>5329</v>
      </c>
      <c r="AE26" s="11">
        <v>22440</v>
      </c>
      <c r="AF26" s="12">
        <f t="shared" si="11"/>
        <v>0.87464920486435926</v>
      </c>
      <c r="AG26" s="16">
        <v>15844</v>
      </c>
      <c r="AH26" s="10">
        <v>9217</v>
      </c>
      <c r="AI26" s="10">
        <f t="shared" si="12"/>
        <v>3555</v>
      </c>
      <c r="AJ26" s="20">
        <v>12772</v>
      </c>
      <c r="AK26" s="12">
        <f t="shared" si="13"/>
        <v>0.80610956829083569</v>
      </c>
      <c r="AL26" s="18">
        <v>16081</v>
      </c>
      <c r="AM26" s="11">
        <v>9486</v>
      </c>
      <c r="AN26" s="10">
        <f t="shared" si="14"/>
        <v>3495</v>
      </c>
      <c r="AO26" s="11">
        <v>12981</v>
      </c>
      <c r="AP26" s="12">
        <f t="shared" si="15"/>
        <v>0.80722591878614514</v>
      </c>
      <c r="AQ26" s="11">
        <v>26317</v>
      </c>
      <c r="AR26" s="11">
        <v>17360</v>
      </c>
      <c r="AS26" s="10">
        <f t="shared" si="16"/>
        <v>5525</v>
      </c>
      <c r="AT26" s="13">
        <v>22885</v>
      </c>
      <c r="AU26" s="12">
        <f t="shared" si="17"/>
        <v>0.86958999886005239</v>
      </c>
      <c r="AV26" s="18">
        <v>15987</v>
      </c>
      <c r="AW26" s="11">
        <v>9123</v>
      </c>
      <c r="AX26" s="10">
        <f t="shared" si="18"/>
        <v>3716</v>
      </c>
      <c r="AY26" s="20">
        <v>12839</v>
      </c>
      <c r="AZ26" s="12">
        <f t="shared" si="19"/>
        <v>0.80309001063363983</v>
      </c>
      <c r="BA26" s="18">
        <v>16133</v>
      </c>
      <c r="BB26" s="11">
        <v>9240</v>
      </c>
      <c r="BC26" s="10">
        <f t="shared" si="20"/>
        <v>3787</v>
      </c>
      <c r="BD26" s="20">
        <v>13027</v>
      </c>
      <c r="BE26" s="12">
        <f t="shared" si="21"/>
        <v>0.8074753610611789</v>
      </c>
      <c r="BF26" s="18">
        <v>26642</v>
      </c>
      <c r="BG26" s="11">
        <v>16906</v>
      </c>
      <c r="BH26" s="10">
        <f t="shared" si="22"/>
        <v>6323</v>
      </c>
      <c r="BI26" s="11">
        <v>23229</v>
      </c>
      <c r="BJ26" s="12">
        <f t="shared" si="23"/>
        <v>0.87189400195180544</v>
      </c>
      <c r="BK26" s="24"/>
      <c r="BL26" s="24"/>
    </row>
    <row r="27" spans="1:64" x14ac:dyDescent="0.3">
      <c r="A27" s="22">
        <v>18</v>
      </c>
      <c r="B27" s="3" t="s">
        <v>24</v>
      </c>
      <c r="C27" s="15">
        <v>112837</v>
      </c>
      <c r="D27" s="10">
        <v>17404</v>
      </c>
      <c r="E27" s="10">
        <f t="shared" si="0"/>
        <v>84778</v>
      </c>
      <c r="F27" s="20">
        <v>102182</v>
      </c>
      <c r="G27" s="12">
        <f t="shared" si="1"/>
        <v>0.90557175394595746</v>
      </c>
      <c r="H27" s="15">
        <v>111842</v>
      </c>
      <c r="I27" s="10">
        <v>17552</v>
      </c>
      <c r="J27" s="10">
        <f t="shared" si="2"/>
        <v>84484</v>
      </c>
      <c r="K27" s="20">
        <v>102036</v>
      </c>
      <c r="L27" s="12">
        <f t="shared" si="3"/>
        <v>0.91232274100963862</v>
      </c>
      <c r="M27" s="16">
        <v>156288</v>
      </c>
      <c r="N27" s="10">
        <v>71253</v>
      </c>
      <c r="O27" s="10">
        <f t="shared" si="4"/>
        <v>74508</v>
      </c>
      <c r="P27" s="13">
        <v>145761</v>
      </c>
      <c r="Q27" s="12">
        <f t="shared" si="5"/>
        <v>0.93264358108108103</v>
      </c>
      <c r="R27" s="16">
        <v>113087</v>
      </c>
      <c r="S27" s="10">
        <v>65128</v>
      </c>
      <c r="T27" s="10">
        <f t="shared" si="6"/>
        <v>39381</v>
      </c>
      <c r="U27" s="20">
        <v>104509</v>
      </c>
      <c r="V27" s="12">
        <f t="shared" si="7"/>
        <v>0.92414689575282749</v>
      </c>
      <c r="W27" s="16">
        <v>116164</v>
      </c>
      <c r="X27" s="10">
        <v>69610</v>
      </c>
      <c r="Y27" s="10">
        <f t="shared" si="8"/>
        <v>38428</v>
      </c>
      <c r="Z27" s="20">
        <v>108038</v>
      </c>
      <c r="AA27" s="12">
        <f t="shared" si="9"/>
        <v>0.93004717468406739</v>
      </c>
      <c r="AB27" s="17">
        <v>165468</v>
      </c>
      <c r="AC27" s="10">
        <v>107539</v>
      </c>
      <c r="AD27" s="10">
        <f t="shared" si="10"/>
        <v>48109</v>
      </c>
      <c r="AE27" s="11">
        <v>155648</v>
      </c>
      <c r="AF27" s="12">
        <f t="shared" si="11"/>
        <v>0.94065317765368528</v>
      </c>
      <c r="AG27" s="16">
        <v>116084</v>
      </c>
      <c r="AH27" s="10">
        <v>74377</v>
      </c>
      <c r="AI27" s="10">
        <f t="shared" si="12"/>
        <v>32774</v>
      </c>
      <c r="AJ27" s="20">
        <v>107151</v>
      </c>
      <c r="AK27" s="12">
        <f t="shared" si="13"/>
        <v>0.92304710382137078</v>
      </c>
      <c r="AL27" s="18">
        <v>117992</v>
      </c>
      <c r="AM27" s="11">
        <v>75824</v>
      </c>
      <c r="AN27" s="10">
        <f t="shared" si="14"/>
        <v>33358</v>
      </c>
      <c r="AO27" s="11">
        <v>109182</v>
      </c>
      <c r="AP27" s="12">
        <f t="shared" si="15"/>
        <v>0.92533392094379285</v>
      </c>
      <c r="AQ27" s="11">
        <v>170879</v>
      </c>
      <c r="AR27" s="11">
        <v>115350</v>
      </c>
      <c r="AS27" s="10">
        <f t="shared" si="16"/>
        <v>45170</v>
      </c>
      <c r="AT27" s="13">
        <v>160520</v>
      </c>
      <c r="AU27" s="12">
        <f t="shared" si="17"/>
        <v>0.93937815647329392</v>
      </c>
      <c r="AV27" s="18">
        <v>116485</v>
      </c>
      <c r="AW27" s="11">
        <v>75357</v>
      </c>
      <c r="AX27" s="10">
        <f t="shared" si="18"/>
        <v>34170</v>
      </c>
      <c r="AY27" s="20">
        <v>109527</v>
      </c>
      <c r="AZ27" s="12">
        <f t="shared" si="19"/>
        <v>0.94026698716572954</v>
      </c>
      <c r="BA27" s="18">
        <v>117017</v>
      </c>
      <c r="BB27" s="11">
        <v>73302</v>
      </c>
      <c r="BC27" s="10">
        <f t="shared" si="20"/>
        <v>38118</v>
      </c>
      <c r="BD27" s="20">
        <v>111420</v>
      </c>
      <c r="BE27" s="12">
        <f t="shared" si="21"/>
        <v>0.95216934291598654</v>
      </c>
      <c r="BF27" s="18">
        <v>172738</v>
      </c>
      <c r="BG27" s="11">
        <v>101545</v>
      </c>
      <c r="BH27" s="10">
        <f t="shared" si="22"/>
        <v>63117</v>
      </c>
      <c r="BI27" s="11">
        <v>164662</v>
      </c>
      <c r="BJ27" s="12">
        <f t="shared" si="23"/>
        <v>0.95324711412659635</v>
      </c>
      <c r="BK27" s="24"/>
      <c r="BL27" s="24"/>
    </row>
    <row r="28" spans="1:64" x14ac:dyDescent="0.3">
      <c r="A28" s="22">
        <v>19</v>
      </c>
      <c r="B28" s="3" t="s">
        <v>25</v>
      </c>
      <c r="C28" s="15">
        <v>376743</v>
      </c>
      <c r="D28" s="10">
        <v>79035</v>
      </c>
      <c r="E28" s="10">
        <f t="shared" si="0"/>
        <v>248067</v>
      </c>
      <c r="F28" s="20">
        <v>327102</v>
      </c>
      <c r="G28" s="12">
        <f t="shared" si="1"/>
        <v>0.86823643704063513</v>
      </c>
      <c r="H28" s="15">
        <v>377506</v>
      </c>
      <c r="I28" s="10">
        <v>71058</v>
      </c>
      <c r="J28" s="10">
        <f t="shared" si="2"/>
        <v>256662</v>
      </c>
      <c r="K28" s="20">
        <v>327720</v>
      </c>
      <c r="L28" s="12">
        <f t="shared" si="3"/>
        <v>0.86811865241876951</v>
      </c>
      <c r="M28" s="16">
        <v>622937</v>
      </c>
      <c r="N28" s="10">
        <v>385050</v>
      </c>
      <c r="O28" s="10">
        <f t="shared" si="4"/>
        <v>184097</v>
      </c>
      <c r="P28" s="13">
        <v>569147</v>
      </c>
      <c r="Q28" s="12">
        <f t="shared" si="5"/>
        <v>0.9136509791519849</v>
      </c>
      <c r="R28" s="16">
        <v>379798</v>
      </c>
      <c r="S28" s="10">
        <v>246539</v>
      </c>
      <c r="T28" s="10">
        <f t="shared" si="6"/>
        <v>82844</v>
      </c>
      <c r="U28" s="20">
        <v>329383</v>
      </c>
      <c r="V28" s="12">
        <f t="shared" si="7"/>
        <v>0.8672583847202987</v>
      </c>
      <c r="W28" s="16">
        <v>378910</v>
      </c>
      <c r="X28" s="10">
        <v>251099</v>
      </c>
      <c r="Y28" s="10">
        <f t="shared" si="8"/>
        <v>83070</v>
      </c>
      <c r="Z28" s="20">
        <v>334169</v>
      </c>
      <c r="AA28" s="12">
        <f t="shared" si="9"/>
        <v>0.88192182840252298</v>
      </c>
      <c r="AB28" s="17">
        <v>628364</v>
      </c>
      <c r="AC28" s="10">
        <v>459363</v>
      </c>
      <c r="AD28" s="10">
        <f t="shared" si="10"/>
        <v>120949</v>
      </c>
      <c r="AE28" s="11">
        <v>580312</v>
      </c>
      <c r="AF28" s="12">
        <f t="shared" si="11"/>
        <v>0.92352840073587916</v>
      </c>
      <c r="AG28" s="16">
        <v>375124</v>
      </c>
      <c r="AH28" s="10">
        <v>266384</v>
      </c>
      <c r="AI28" s="10">
        <f t="shared" si="12"/>
        <v>67359</v>
      </c>
      <c r="AJ28" s="20">
        <v>333743</v>
      </c>
      <c r="AK28" s="12">
        <f t="shared" si="13"/>
        <v>0.88968714345123212</v>
      </c>
      <c r="AL28" s="18">
        <v>368781</v>
      </c>
      <c r="AM28" s="11">
        <v>269956</v>
      </c>
      <c r="AN28" s="10">
        <f t="shared" si="14"/>
        <v>68522</v>
      </c>
      <c r="AO28" s="11">
        <v>338478</v>
      </c>
      <c r="AP28" s="12">
        <f t="shared" si="15"/>
        <v>0.91782928079266557</v>
      </c>
      <c r="AQ28" s="11">
        <v>617418</v>
      </c>
      <c r="AR28" s="11">
        <v>491762</v>
      </c>
      <c r="AS28" s="10">
        <f t="shared" si="16"/>
        <v>98512</v>
      </c>
      <c r="AT28" s="13">
        <v>590274</v>
      </c>
      <c r="AU28" s="12">
        <f t="shared" si="17"/>
        <v>0.95603626716422263</v>
      </c>
      <c r="AV28" s="18">
        <v>357852</v>
      </c>
      <c r="AW28" s="11">
        <v>272672</v>
      </c>
      <c r="AX28" s="10">
        <f t="shared" si="18"/>
        <v>67579</v>
      </c>
      <c r="AY28" s="20">
        <v>340251</v>
      </c>
      <c r="AZ28" s="12">
        <f t="shared" si="19"/>
        <v>0.95081486200999299</v>
      </c>
      <c r="BA28" s="18">
        <v>359943</v>
      </c>
      <c r="BB28" s="11">
        <v>271828</v>
      </c>
      <c r="BC28" s="10">
        <f t="shared" si="20"/>
        <v>73131</v>
      </c>
      <c r="BD28" s="20">
        <v>344959</v>
      </c>
      <c r="BE28" s="12">
        <f t="shared" si="21"/>
        <v>0.95837118654898135</v>
      </c>
      <c r="BF28" s="18">
        <v>622234</v>
      </c>
      <c r="BG28" s="11">
        <v>475792</v>
      </c>
      <c r="BH28" s="10">
        <f t="shared" si="22"/>
        <v>124736</v>
      </c>
      <c r="BI28" s="11">
        <v>600528</v>
      </c>
      <c r="BJ28" s="12">
        <f t="shared" si="23"/>
        <v>0.96511601744681264</v>
      </c>
      <c r="BK28" s="24"/>
      <c r="BL28" s="24"/>
    </row>
    <row r="29" spans="1:64" x14ac:dyDescent="0.3">
      <c r="A29" s="22">
        <v>20</v>
      </c>
      <c r="B29" s="3" t="s">
        <v>26</v>
      </c>
      <c r="C29" s="15">
        <v>108412</v>
      </c>
      <c r="D29" s="10">
        <v>19011</v>
      </c>
      <c r="E29" s="10">
        <f t="shared" si="0"/>
        <v>85755</v>
      </c>
      <c r="F29" s="20">
        <v>104766</v>
      </c>
      <c r="G29" s="12">
        <f t="shared" si="1"/>
        <v>0.96636903663801055</v>
      </c>
      <c r="H29" s="15">
        <v>108534</v>
      </c>
      <c r="I29" s="10">
        <v>22968</v>
      </c>
      <c r="J29" s="10">
        <f t="shared" si="2"/>
        <v>81763</v>
      </c>
      <c r="K29" s="20">
        <v>104731</v>
      </c>
      <c r="L29" s="12">
        <f t="shared" si="3"/>
        <v>0.96496028894171415</v>
      </c>
      <c r="M29" s="16">
        <v>155259</v>
      </c>
      <c r="N29" s="10">
        <v>91481</v>
      </c>
      <c r="O29" s="10">
        <f t="shared" si="4"/>
        <v>58705</v>
      </c>
      <c r="P29" s="13">
        <v>150186</v>
      </c>
      <c r="Q29" s="12">
        <f t="shared" si="5"/>
        <v>0.96732556566769079</v>
      </c>
      <c r="R29" s="16">
        <v>111838</v>
      </c>
      <c r="S29" s="10">
        <v>77822</v>
      </c>
      <c r="T29" s="10">
        <f t="shared" si="6"/>
        <v>29093</v>
      </c>
      <c r="U29" s="20">
        <v>106915</v>
      </c>
      <c r="V29" s="12">
        <f t="shared" si="7"/>
        <v>0.95598097247804859</v>
      </c>
      <c r="W29" s="16">
        <v>113722</v>
      </c>
      <c r="X29" s="10">
        <v>81058</v>
      </c>
      <c r="Y29" s="10">
        <f t="shared" si="8"/>
        <v>27482</v>
      </c>
      <c r="Z29" s="20">
        <v>108540</v>
      </c>
      <c r="AA29" s="12">
        <f t="shared" si="9"/>
        <v>0.95443273948752216</v>
      </c>
      <c r="AB29" s="17">
        <v>160157</v>
      </c>
      <c r="AC29" s="10">
        <v>120630</v>
      </c>
      <c r="AD29" s="10">
        <f t="shared" si="10"/>
        <v>33492</v>
      </c>
      <c r="AE29" s="11">
        <v>154122</v>
      </c>
      <c r="AF29" s="12">
        <f t="shared" si="11"/>
        <v>0.96231822524148181</v>
      </c>
      <c r="AG29" s="16">
        <v>115309</v>
      </c>
      <c r="AH29" s="10">
        <v>84561</v>
      </c>
      <c r="AI29" s="10">
        <f t="shared" si="12"/>
        <v>25254</v>
      </c>
      <c r="AJ29" s="20">
        <v>109815</v>
      </c>
      <c r="AK29" s="12">
        <f t="shared" si="13"/>
        <v>0.95235410939302223</v>
      </c>
      <c r="AL29" s="18">
        <v>116530</v>
      </c>
      <c r="AM29" s="11">
        <v>86931</v>
      </c>
      <c r="AN29" s="10">
        <f t="shared" si="14"/>
        <v>24000</v>
      </c>
      <c r="AO29" s="11">
        <v>110931</v>
      </c>
      <c r="AP29" s="12">
        <f t="shared" si="15"/>
        <v>0.95195228696473011</v>
      </c>
      <c r="AQ29" s="11">
        <v>164389</v>
      </c>
      <c r="AR29" s="11">
        <v>127564</v>
      </c>
      <c r="AS29" s="10">
        <f t="shared" si="16"/>
        <v>29550</v>
      </c>
      <c r="AT29" s="13">
        <v>157114</v>
      </c>
      <c r="AU29" s="12">
        <f t="shared" si="17"/>
        <v>0.95574521409583368</v>
      </c>
      <c r="AV29" s="18">
        <v>118862</v>
      </c>
      <c r="AW29" s="11">
        <v>88940</v>
      </c>
      <c r="AX29" s="10">
        <f t="shared" si="18"/>
        <v>23781</v>
      </c>
      <c r="AY29" s="20">
        <v>112721</v>
      </c>
      <c r="AZ29" s="12">
        <f t="shared" si="19"/>
        <v>0.94833504400060575</v>
      </c>
      <c r="BA29" s="18">
        <v>119046</v>
      </c>
      <c r="BB29" s="11">
        <v>84381</v>
      </c>
      <c r="BC29" s="10">
        <f t="shared" si="20"/>
        <v>29756</v>
      </c>
      <c r="BD29" s="20">
        <v>114137</v>
      </c>
      <c r="BE29" s="12">
        <f t="shared" si="21"/>
        <v>0.95876383918821295</v>
      </c>
      <c r="BF29" s="18">
        <v>167253</v>
      </c>
      <c r="BG29" s="11">
        <v>119004</v>
      </c>
      <c r="BH29" s="10">
        <f t="shared" si="22"/>
        <v>41683</v>
      </c>
      <c r="BI29" s="11">
        <v>160687</v>
      </c>
      <c r="BJ29" s="12">
        <f t="shared" si="23"/>
        <v>0.96074210925962467</v>
      </c>
      <c r="BK29" s="24"/>
      <c r="BL29" s="24"/>
    </row>
    <row r="30" spans="1:64" x14ac:dyDescent="0.3">
      <c r="A30" s="22">
        <v>21</v>
      </c>
      <c r="B30" s="3" t="s">
        <v>27</v>
      </c>
      <c r="C30" s="15">
        <v>149317</v>
      </c>
      <c r="D30" s="10">
        <v>26484</v>
      </c>
      <c r="E30" s="10">
        <f t="shared" si="0"/>
        <v>116754</v>
      </c>
      <c r="F30" s="20">
        <v>143238</v>
      </c>
      <c r="G30" s="12">
        <f t="shared" si="1"/>
        <v>0.95928795783467391</v>
      </c>
      <c r="H30" s="15">
        <v>149659</v>
      </c>
      <c r="I30" s="10">
        <v>27929</v>
      </c>
      <c r="J30" s="10">
        <f t="shared" si="2"/>
        <v>116063</v>
      </c>
      <c r="K30" s="20">
        <v>143992</v>
      </c>
      <c r="L30" s="12">
        <f t="shared" si="3"/>
        <v>0.96213391777307078</v>
      </c>
      <c r="M30" s="16">
        <v>249952</v>
      </c>
      <c r="N30" s="10">
        <v>142507</v>
      </c>
      <c r="O30" s="10">
        <f t="shared" si="4"/>
        <v>99041</v>
      </c>
      <c r="P30" s="13">
        <v>241548</v>
      </c>
      <c r="Q30" s="12">
        <f t="shared" si="5"/>
        <v>0.96637754448854185</v>
      </c>
      <c r="R30" s="16">
        <v>151431</v>
      </c>
      <c r="S30" s="10">
        <v>99495</v>
      </c>
      <c r="T30" s="10">
        <f t="shared" si="6"/>
        <v>43790</v>
      </c>
      <c r="U30" s="20">
        <v>143285</v>
      </c>
      <c r="V30" s="12">
        <f t="shared" si="7"/>
        <v>0.94620652310293141</v>
      </c>
      <c r="W30" s="16">
        <v>154416</v>
      </c>
      <c r="X30" s="10">
        <v>103700</v>
      </c>
      <c r="Y30" s="10">
        <f t="shared" si="8"/>
        <v>43110</v>
      </c>
      <c r="Z30" s="20">
        <v>146810</v>
      </c>
      <c r="AA30" s="12">
        <f t="shared" si="9"/>
        <v>0.95074344627499741</v>
      </c>
      <c r="AB30" s="17">
        <v>259264</v>
      </c>
      <c r="AC30" s="10">
        <v>188167</v>
      </c>
      <c r="AD30" s="10">
        <f t="shared" si="10"/>
        <v>60277</v>
      </c>
      <c r="AE30" s="11">
        <v>248444</v>
      </c>
      <c r="AF30" s="12">
        <f t="shared" si="11"/>
        <v>0.95826647741298443</v>
      </c>
      <c r="AG30" s="16">
        <v>153178</v>
      </c>
      <c r="AH30" s="10">
        <v>108804</v>
      </c>
      <c r="AI30" s="10">
        <f t="shared" si="12"/>
        <v>35797</v>
      </c>
      <c r="AJ30" s="20">
        <v>144601</v>
      </c>
      <c r="AK30" s="12">
        <f t="shared" si="13"/>
        <v>0.94400631944535118</v>
      </c>
      <c r="AL30" s="18">
        <v>156106</v>
      </c>
      <c r="AM30" s="11">
        <v>110696</v>
      </c>
      <c r="AN30" s="10">
        <f t="shared" si="14"/>
        <v>37177</v>
      </c>
      <c r="AO30" s="11">
        <v>147873</v>
      </c>
      <c r="AP30" s="12">
        <f t="shared" si="15"/>
        <v>0.94726019499570802</v>
      </c>
      <c r="AQ30" s="11">
        <v>266513</v>
      </c>
      <c r="AR30" s="11">
        <v>198120</v>
      </c>
      <c r="AS30" s="10">
        <f t="shared" si="16"/>
        <v>56624</v>
      </c>
      <c r="AT30" s="13">
        <v>254744</v>
      </c>
      <c r="AU30" s="12">
        <f t="shared" si="17"/>
        <v>0.95584080326288023</v>
      </c>
      <c r="AV30" s="18">
        <v>155103</v>
      </c>
      <c r="AW30" s="11">
        <v>109017</v>
      </c>
      <c r="AX30" s="10">
        <f t="shared" si="18"/>
        <v>39205</v>
      </c>
      <c r="AY30" s="20">
        <v>148222</v>
      </c>
      <c r="AZ30" s="12">
        <f t="shared" si="19"/>
        <v>0.95563593225147159</v>
      </c>
      <c r="BA30" s="18">
        <v>156855</v>
      </c>
      <c r="BB30" s="11">
        <v>108930</v>
      </c>
      <c r="BC30" s="10">
        <f t="shared" si="20"/>
        <v>41866</v>
      </c>
      <c r="BD30" s="20">
        <v>150796</v>
      </c>
      <c r="BE30" s="12">
        <f t="shared" si="21"/>
        <v>0.96137196774090716</v>
      </c>
      <c r="BF30" s="18">
        <v>270589</v>
      </c>
      <c r="BG30" s="11">
        <v>186215</v>
      </c>
      <c r="BH30" s="10">
        <f t="shared" si="22"/>
        <v>73593</v>
      </c>
      <c r="BI30" s="11">
        <v>259808</v>
      </c>
      <c r="BJ30" s="12">
        <f t="shared" si="23"/>
        <v>0.96015728651201637</v>
      </c>
      <c r="BK30" s="24"/>
      <c r="BL30" s="24"/>
    </row>
    <row r="31" spans="1:64" x14ac:dyDescent="0.3">
      <c r="A31" s="22">
        <v>22</v>
      </c>
      <c r="B31" s="3" t="s">
        <v>28</v>
      </c>
      <c r="C31" s="15">
        <v>71837</v>
      </c>
      <c r="D31" s="10">
        <v>11893</v>
      </c>
      <c r="E31" s="10">
        <f t="shared" si="0"/>
        <v>57274</v>
      </c>
      <c r="F31" s="20">
        <v>69167</v>
      </c>
      <c r="G31" s="12">
        <f t="shared" si="1"/>
        <v>0.96283252362988436</v>
      </c>
      <c r="H31" s="15">
        <v>72505</v>
      </c>
      <c r="I31" s="10">
        <v>16369</v>
      </c>
      <c r="J31" s="10">
        <f t="shared" si="2"/>
        <v>52860</v>
      </c>
      <c r="K31" s="20">
        <v>69229</v>
      </c>
      <c r="L31" s="12">
        <f t="shared" si="3"/>
        <v>0.95481690917867734</v>
      </c>
      <c r="M31" s="16">
        <v>118891</v>
      </c>
      <c r="N31" s="10">
        <v>63999</v>
      </c>
      <c r="O31" s="10">
        <f t="shared" si="4"/>
        <v>51371</v>
      </c>
      <c r="P31" s="13">
        <v>115370</v>
      </c>
      <c r="Q31" s="12">
        <f t="shared" si="5"/>
        <v>0.97038463802979202</v>
      </c>
      <c r="R31" s="16">
        <v>72813</v>
      </c>
      <c r="S31" s="10">
        <v>42853</v>
      </c>
      <c r="T31" s="10">
        <f t="shared" si="6"/>
        <v>26574</v>
      </c>
      <c r="U31" s="20">
        <v>69427</v>
      </c>
      <c r="V31" s="12">
        <f t="shared" si="7"/>
        <v>0.95349731503989676</v>
      </c>
      <c r="W31" s="16">
        <v>74776</v>
      </c>
      <c r="X31" s="10">
        <v>44857</v>
      </c>
      <c r="Y31" s="10">
        <f t="shared" si="8"/>
        <v>26362</v>
      </c>
      <c r="Z31" s="20">
        <v>71219</v>
      </c>
      <c r="AA31" s="12">
        <f t="shared" si="9"/>
        <v>0.95243126136728362</v>
      </c>
      <c r="AB31" s="17">
        <v>124489</v>
      </c>
      <c r="AC31" s="10">
        <v>84185</v>
      </c>
      <c r="AD31" s="10">
        <f t="shared" si="10"/>
        <v>35717</v>
      </c>
      <c r="AE31" s="11">
        <v>119902</v>
      </c>
      <c r="AF31" s="12">
        <f t="shared" si="11"/>
        <v>0.96315337098056852</v>
      </c>
      <c r="AG31" s="16">
        <v>73552</v>
      </c>
      <c r="AH31" s="10">
        <v>46942</v>
      </c>
      <c r="AI31" s="10">
        <f t="shared" si="12"/>
        <v>22349</v>
      </c>
      <c r="AJ31" s="20">
        <v>69291</v>
      </c>
      <c r="AK31" s="12">
        <f t="shared" si="13"/>
        <v>0.94206819664998909</v>
      </c>
      <c r="AL31" s="18">
        <v>74464</v>
      </c>
      <c r="AM31" s="11">
        <v>47097</v>
      </c>
      <c r="AN31" s="10">
        <f t="shared" si="14"/>
        <v>23178</v>
      </c>
      <c r="AO31" s="11">
        <v>70275</v>
      </c>
      <c r="AP31" s="12">
        <f t="shared" si="15"/>
        <v>0.94374462827675121</v>
      </c>
      <c r="AQ31" s="11">
        <v>126646</v>
      </c>
      <c r="AR31" s="11">
        <v>87889</v>
      </c>
      <c r="AS31" s="10">
        <f t="shared" si="16"/>
        <v>34485</v>
      </c>
      <c r="AT31" s="13">
        <v>122374</v>
      </c>
      <c r="AU31" s="12">
        <f t="shared" si="17"/>
        <v>0.96626818059788699</v>
      </c>
      <c r="AV31" s="18">
        <v>72827</v>
      </c>
      <c r="AW31" s="11">
        <v>47034</v>
      </c>
      <c r="AX31" s="10">
        <f t="shared" si="18"/>
        <v>22807</v>
      </c>
      <c r="AY31" s="20">
        <v>69841</v>
      </c>
      <c r="AZ31" s="12">
        <f t="shared" si="19"/>
        <v>0.9589987230010848</v>
      </c>
      <c r="BA31" s="18">
        <v>73978</v>
      </c>
      <c r="BB31" s="11">
        <v>46293</v>
      </c>
      <c r="BC31" s="10">
        <f t="shared" si="20"/>
        <v>25490</v>
      </c>
      <c r="BD31" s="20">
        <v>71783</v>
      </c>
      <c r="BE31" s="12">
        <f t="shared" si="21"/>
        <v>0.97032901673470495</v>
      </c>
      <c r="BF31" s="18">
        <v>129555</v>
      </c>
      <c r="BG31" s="11">
        <v>76761</v>
      </c>
      <c r="BH31" s="10">
        <f t="shared" si="22"/>
        <v>48864</v>
      </c>
      <c r="BI31" s="11">
        <v>125625</v>
      </c>
      <c r="BJ31" s="12">
        <f t="shared" si="23"/>
        <v>0.96966539307629962</v>
      </c>
      <c r="BK31" s="24"/>
      <c r="BL31" s="24"/>
    </row>
    <row r="32" spans="1:64" x14ac:dyDescent="0.3">
      <c r="A32" s="22">
        <v>23</v>
      </c>
      <c r="B32" s="3" t="s">
        <v>29</v>
      </c>
      <c r="C32" s="15">
        <v>185661</v>
      </c>
      <c r="D32" s="10">
        <v>30209</v>
      </c>
      <c r="E32" s="10">
        <f t="shared" si="0"/>
        <v>153246</v>
      </c>
      <c r="F32" s="20">
        <v>183455</v>
      </c>
      <c r="G32" s="12">
        <f t="shared" si="1"/>
        <v>0.98811812927863152</v>
      </c>
      <c r="H32" s="15">
        <v>186389</v>
      </c>
      <c r="I32" s="10">
        <v>45637</v>
      </c>
      <c r="J32" s="10">
        <f t="shared" si="2"/>
        <v>138219</v>
      </c>
      <c r="K32" s="20">
        <v>183856</v>
      </c>
      <c r="L32" s="12">
        <f t="shared" si="3"/>
        <v>0.98641014222942336</v>
      </c>
      <c r="M32" s="16">
        <v>382231</v>
      </c>
      <c r="N32" s="10">
        <v>250560</v>
      </c>
      <c r="O32" s="10">
        <f t="shared" si="4"/>
        <v>127451</v>
      </c>
      <c r="P32" s="13">
        <v>378011</v>
      </c>
      <c r="Q32" s="12">
        <f t="shared" si="5"/>
        <v>0.98895955587066464</v>
      </c>
      <c r="R32" s="16">
        <v>184231</v>
      </c>
      <c r="S32" s="10">
        <v>126062</v>
      </c>
      <c r="T32" s="10">
        <f t="shared" si="6"/>
        <v>54044</v>
      </c>
      <c r="U32" s="20">
        <v>180106</v>
      </c>
      <c r="V32" s="12">
        <f t="shared" si="7"/>
        <v>0.977609631386683</v>
      </c>
      <c r="W32" s="16">
        <v>187639</v>
      </c>
      <c r="X32" s="10">
        <v>130913</v>
      </c>
      <c r="Y32" s="10">
        <f t="shared" si="8"/>
        <v>54035</v>
      </c>
      <c r="Z32" s="20">
        <v>184948</v>
      </c>
      <c r="AA32" s="12">
        <f t="shared" si="9"/>
        <v>0.98565863173434098</v>
      </c>
      <c r="AB32" s="17">
        <v>392348</v>
      </c>
      <c r="AC32" s="10">
        <v>299565</v>
      </c>
      <c r="AD32" s="10">
        <f t="shared" si="10"/>
        <v>88203</v>
      </c>
      <c r="AE32" s="11">
        <v>387768</v>
      </c>
      <c r="AF32" s="12">
        <f t="shared" si="11"/>
        <v>0.98832668957150283</v>
      </c>
      <c r="AG32" s="16">
        <v>183147</v>
      </c>
      <c r="AH32" s="10">
        <v>135538</v>
      </c>
      <c r="AI32" s="10">
        <f t="shared" si="12"/>
        <v>45246</v>
      </c>
      <c r="AJ32" s="20">
        <v>180784</v>
      </c>
      <c r="AK32" s="12">
        <f t="shared" si="13"/>
        <v>0.98709779575969026</v>
      </c>
      <c r="AL32" s="18">
        <v>187303</v>
      </c>
      <c r="AM32" s="11">
        <v>139226</v>
      </c>
      <c r="AN32" s="10">
        <f t="shared" si="14"/>
        <v>45271</v>
      </c>
      <c r="AO32" s="11">
        <v>184497</v>
      </c>
      <c r="AP32" s="12">
        <f t="shared" si="15"/>
        <v>0.98501892655216416</v>
      </c>
      <c r="AQ32" s="11">
        <v>402574</v>
      </c>
      <c r="AR32" s="11">
        <v>313468</v>
      </c>
      <c r="AS32" s="10">
        <f t="shared" si="16"/>
        <v>82536</v>
      </c>
      <c r="AT32" s="13">
        <v>396004</v>
      </c>
      <c r="AU32" s="12">
        <f t="shared" si="17"/>
        <v>0.98368001907723801</v>
      </c>
      <c r="AV32" s="18">
        <v>187080</v>
      </c>
      <c r="AW32" s="11">
        <v>139372</v>
      </c>
      <c r="AX32" s="10">
        <f t="shared" si="18"/>
        <v>44449</v>
      </c>
      <c r="AY32" s="20">
        <v>183821</v>
      </c>
      <c r="AZ32" s="12">
        <f t="shared" si="19"/>
        <v>0.98257964507162709</v>
      </c>
      <c r="BA32" s="18">
        <v>189893</v>
      </c>
      <c r="BB32" s="11">
        <v>138724</v>
      </c>
      <c r="BC32" s="10">
        <f t="shared" si="20"/>
        <v>49712</v>
      </c>
      <c r="BD32" s="20">
        <v>188436</v>
      </c>
      <c r="BE32" s="12">
        <f t="shared" si="21"/>
        <v>0.99232725798212673</v>
      </c>
      <c r="BF32" s="18">
        <v>410654</v>
      </c>
      <c r="BG32" s="11">
        <v>279657</v>
      </c>
      <c r="BH32" s="10">
        <f t="shared" si="22"/>
        <v>124580</v>
      </c>
      <c r="BI32" s="11">
        <v>404237</v>
      </c>
      <c r="BJ32" s="12">
        <f t="shared" si="23"/>
        <v>0.98437370633185117</v>
      </c>
      <c r="BK32" s="24"/>
      <c r="BL32" s="24"/>
    </row>
    <row r="33" spans="1:64" x14ac:dyDescent="0.3">
      <c r="A33" s="22">
        <v>24</v>
      </c>
      <c r="B33" s="3" t="s">
        <v>30</v>
      </c>
      <c r="C33" s="15">
        <v>554520</v>
      </c>
      <c r="D33" s="10">
        <v>126315</v>
      </c>
      <c r="E33" s="10">
        <f t="shared" si="0"/>
        <v>412438</v>
      </c>
      <c r="F33" s="20">
        <v>538753</v>
      </c>
      <c r="G33" s="12">
        <f t="shared" si="1"/>
        <v>0.9715663997691697</v>
      </c>
      <c r="H33" s="15">
        <v>558618</v>
      </c>
      <c r="I33" s="10">
        <v>153200</v>
      </c>
      <c r="J33" s="10">
        <f t="shared" si="2"/>
        <v>390451</v>
      </c>
      <c r="K33" s="20">
        <v>543651</v>
      </c>
      <c r="L33" s="12">
        <f t="shared" si="3"/>
        <v>0.97320709321933774</v>
      </c>
      <c r="M33" s="16">
        <v>943614</v>
      </c>
      <c r="N33" s="10">
        <v>708019</v>
      </c>
      <c r="O33" s="10">
        <f t="shared" si="4"/>
        <v>222027</v>
      </c>
      <c r="P33" s="13">
        <v>930046</v>
      </c>
      <c r="Q33" s="12">
        <f t="shared" si="5"/>
        <v>0.9856212391931447</v>
      </c>
      <c r="R33" s="16">
        <v>563773</v>
      </c>
      <c r="S33" s="10">
        <v>448580</v>
      </c>
      <c r="T33" s="10">
        <f t="shared" si="6"/>
        <v>103847</v>
      </c>
      <c r="U33" s="20">
        <v>552427</v>
      </c>
      <c r="V33" s="12">
        <f t="shared" si="7"/>
        <v>0.97987487871891699</v>
      </c>
      <c r="W33" s="16">
        <v>571583</v>
      </c>
      <c r="X33" s="10">
        <v>447744</v>
      </c>
      <c r="Y33" s="10">
        <f t="shared" si="8"/>
        <v>110957</v>
      </c>
      <c r="Z33" s="20">
        <v>558701</v>
      </c>
      <c r="AA33" s="12">
        <f t="shared" si="9"/>
        <v>0.97746259073485386</v>
      </c>
      <c r="AB33" s="17">
        <v>961057</v>
      </c>
      <c r="AC33" s="10">
        <v>795689</v>
      </c>
      <c r="AD33" s="10">
        <f t="shared" si="10"/>
        <v>149482</v>
      </c>
      <c r="AE33" s="11">
        <v>945171</v>
      </c>
      <c r="AF33" s="12">
        <f t="shared" si="11"/>
        <v>0.98347028324022401</v>
      </c>
      <c r="AG33" s="16">
        <v>565645</v>
      </c>
      <c r="AH33" s="10">
        <v>456780</v>
      </c>
      <c r="AI33" s="10">
        <f t="shared" si="12"/>
        <v>97883</v>
      </c>
      <c r="AJ33" s="20">
        <v>554663</v>
      </c>
      <c r="AK33" s="12">
        <f t="shared" si="13"/>
        <v>0.98058499588964809</v>
      </c>
      <c r="AL33" s="18">
        <v>569536</v>
      </c>
      <c r="AM33" s="11">
        <v>465895</v>
      </c>
      <c r="AN33" s="10">
        <f t="shared" si="14"/>
        <v>93732</v>
      </c>
      <c r="AO33" s="11">
        <v>559627</v>
      </c>
      <c r="AP33" s="12">
        <f t="shared" si="15"/>
        <v>0.98260162658725703</v>
      </c>
      <c r="AQ33" s="11">
        <v>971221</v>
      </c>
      <c r="AR33" s="11">
        <v>801500</v>
      </c>
      <c r="AS33" s="10">
        <f t="shared" si="16"/>
        <v>154798</v>
      </c>
      <c r="AT33" s="13">
        <v>956298</v>
      </c>
      <c r="AU33" s="12">
        <f t="shared" si="17"/>
        <v>0.98463480505466827</v>
      </c>
      <c r="AV33" s="18">
        <v>571074</v>
      </c>
      <c r="AW33" s="11">
        <v>471193</v>
      </c>
      <c r="AX33" s="10">
        <f t="shared" si="18"/>
        <v>93002</v>
      </c>
      <c r="AY33" s="20">
        <v>564195</v>
      </c>
      <c r="AZ33" s="12">
        <f t="shared" si="19"/>
        <v>0.98795427562802718</v>
      </c>
      <c r="BA33" s="18">
        <v>575700</v>
      </c>
      <c r="BB33" s="11">
        <v>476906</v>
      </c>
      <c r="BC33" s="10">
        <f t="shared" si="20"/>
        <v>96951</v>
      </c>
      <c r="BD33" s="20">
        <v>573857</v>
      </c>
      <c r="BE33" s="12">
        <f t="shared" si="21"/>
        <v>0.99679867986798676</v>
      </c>
      <c r="BF33" s="18">
        <v>986775</v>
      </c>
      <c r="BG33" s="11">
        <v>804764</v>
      </c>
      <c r="BH33" s="10">
        <f t="shared" si="22"/>
        <v>171039</v>
      </c>
      <c r="BI33" s="11">
        <v>975803</v>
      </c>
      <c r="BJ33" s="12">
        <f t="shared" si="23"/>
        <v>0.98888095057130554</v>
      </c>
      <c r="BK33" s="24"/>
      <c r="BL33" s="24"/>
    </row>
    <row r="34" spans="1:64" x14ac:dyDescent="0.3">
      <c r="A34" s="22">
        <v>25</v>
      </c>
      <c r="B34" s="3" t="s">
        <v>31</v>
      </c>
      <c r="C34" s="15" t="s">
        <v>47</v>
      </c>
      <c r="D34" s="15" t="s">
        <v>47</v>
      </c>
      <c r="E34" s="15" t="s">
        <v>47</v>
      </c>
      <c r="F34" s="15">
        <v>1</v>
      </c>
      <c r="G34" s="15" t="s">
        <v>47</v>
      </c>
      <c r="H34" s="15" t="s">
        <v>47</v>
      </c>
      <c r="I34" s="15" t="s">
        <v>47</v>
      </c>
      <c r="J34" s="15" t="s">
        <v>47</v>
      </c>
      <c r="K34" s="15">
        <v>1</v>
      </c>
      <c r="L34" s="15" t="s">
        <v>47</v>
      </c>
      <c r="M34" s="15" t="s">
        <v>47</v>
      </c>
      <c r="N34" s="15" t="s">
        <v>47</v>
      </c>
      <c r="O34" s="15" t="s">
        <v>47</v>
      </c>
      <c r="P34" s="15">
        <v>1</v>
      </c>
      <c r="Q34" s="15" t="s">
        <v>47</v>
      </c>
      <c r="R34" s="15" t="s">
        <v>47</v>
      </c>
      <c r="S34" s="15" t="s">
        <v>47</v>
      </c>
      <c r="T34" s="15" t="s">
        <v>47</v>
      </c>
      <c r="U34" s="15">
        <v>1</v>
      </c>
      <c r="V34" s="15" t="s">
        <v>47</v>
      </c>
      <c r="W34" s="15" t="s">
        <v>47</v>
      </c>
      <c r="X34" s="15" t="s">
        <v>47</v>
      </c>
      <c r="Y34" s="15" t="s">
        <v>47</v>
      </c>
      <c r="Z34" s="15">
        <v>1</v>
      </c>
      <c r="AA34" s="15" t="s">
        <v>47</v>
      </c>
      <c r="AB34" s="15" t="s">
        <v>47</v>
      </c>
      <c r="AC34" s="15" t="s">
        <v>47</v>
      </c>
      <c r="AD34" s="15" t="s">
        <v>47</v>
      </c>
      <c r="AE34" s="11">
        <v>0</v>
      </c>
      <c r="AF34" s="15" t="s">
        <v>47</v>
      </c>
      <c r="AG34" s="15" t="s">
        <v>47</v>
      </c>
      <c r="AH34" s="15" t="s">
        <v>47</v>
      </c>
      <c r="AI34" s="15" t="s">
        <v>47</v>
      </c>
      <c r="AJ34" s="15">
        <v>0</v>
      </c>
      <c r="AK34" s="15" t="s">
        <v>47</v>
      </c>
      <c r="AL34" s="15" t="s">
        <v>47</v>
      </c>
      <c r="AM34" s="15" t="s">
        <v>47</v>
      </c>
      <c r="AN34" s="15" t="s">
        <v>47</v>
      </c>
      <c r="AO34" s="11">
        <v>0</v>
      </c>
      <c r="AP34" s="15" t="s">
        <v>47</v>
      </c>
      <c r="AQ34" s="15" t="s">
        <v>47</v>
      </c>
      <c r="AR34" s="15" t="s">
        <v>47</v>
      </c>
      <c r="AS34" s="15" t="s">
        <v>47</v>
      </c>
      <c r="AT34" s="15">
        <v>0</v>
      </c>
      <c r="AU34" s="15" t="s">
        <v>47</v>
      </c>
      <c r="AV34" s="15" t="s">
        <v>47</v>
      </c>
      <c r="AW34" s="15" t="s">
        <v>47</v>
      </c>
      <c r="AX34" s="15" t="s">
        <v>47</v>
      </c>
      <c r="AY34" s="15">
        <v>0</v>
      </c>
      <c r="AZ34" s="15" t="s">
        <v>47</v>
      </c>
      <c r="BA34" s="15" t="s">
        <v>47</v>
      </c>
      <c r="BB34" s="15" t="s">
        <v>47</v>
      </c>
      <c r="BC34" s="15" t="s">
        <v>47</v>
      </c>
      <c r="BD34" s="15">
        <v>0</v>
      </c>
      <c r="BE34" s="15" t="s">
        <v>47</v>
      </c>
      <c r="BF34" s="15" t="s">
        <v>47</v>
      </c>
      <c r="BG34" s="15" t="s">
        <v>47</v>
      </c>
      <c r="BH34" s="15" t="s">
        <v>47</v>
      </c>
      <c r="BI34" s="11">
        <v>0</v>
      </c>
      <c r="BJ34" s="15" t="s">
        <v>47</v>
      </c>
      <c r="BK34" s="24"/>
      <c r="BL34" s="24"/>
    </row>
    <row r="35" spans="1:64" x14ac:dyDescent="0.3">
      <c r="A35" s="22">
        <v>26</v>
      </c>
      <c r="B35" s="3" t="s">
        <v>32</v>
      </c>
      <c r="C35" s="15">
        <v>11035</v>
      </c>
      <c r="D35" s="10">
        <v>3169</v>
      </c>
      <c r="E35" s="10">
        <f t="shared" si="0"/>
        <v>7352</v>
      </c>
      <c r="F35" s="20">
        <v>10521</v>
      </c>
      <c r="G35" s="12">
        <f t="shared" si="1"/>
        <v>0.95342093339374712</v>
      </c>
      <c r="H35" s="15">
        <v>10929</v>
      </c>
      <c r="I35" s="10">
        <v>3452</v>
      </c>
      <c r="J35" s="10">
        <f t="shared" si="2"/>
        <v>7056</v>
      </c>
      <c r="K35" s="20">
        <v>10508</v>
      </c>
      <c r="L35" s="12">
        <f t="shared" si="3"/>
        <v>0.96147863482477813</v>
      </c>
      <c r="M35" s="16">
        <v>13837</v>
      </c>
      <c r="N35" s="10">
        <v>8518</v>
      </c>
      <c r="O35" s="10">
        <f t="shared" si="4"/>
        <v>4916</v>
      </c>
      <c r="P35" s="13">
        <v>13434</v>
      </c>
      <c r="Q35" s="12">
        <f t="shared" si="5"/>
        <v>0.97087518970875186</v>
      </c>
      <c r="R35" s="16">
        <v>11094</v>
      </c>
      <c r="S35" s="10">
        <v>7766</v>
      </c>
      <c r="T35" s="10">
        <f t="shared" si="6"/>
        <v>2866</v>
      </c>
      <c r="U35" s="20">
        <v>10632</v>
      </c>
      <c r="V35" s="12">
        <f t="shared" si="7"/>
        <v>0.95835586803677664</v>
      </c>
      <c r="W35" s="16">
        <v>11128</v>
      </c>
      <c r="X35" s="10">
        <v>7575</v>
      </c>
      <c r="Y35" s="10">
        <f t="shared" si="8"/>
        <v>3103</v>
      </c>
      <c r="Z35" s="20">
        <v>10678</v>
      </c>
      <c r="AA35" s="12">
        <f t="shared" si="9"/>
        <v>0.95956146657081232</v>
      </c>
      <c r="AB35" s="17">
        <v>14078</v>
      </c>
      <c r="AC35" s="10">
        <v>10079</v>
      </c>
      <c r="AD35" s="10">
        <f t="shared" si="10"/>
        <v>3500</v>
      </c>
      <c r="AE35" s="11">
        <v>13579</v>
      </c>
      <c r="AF35" s="12">
        <f t="shared" si="11"/>
        <v>0.96455462423639726</v>
      </c>
      <c r="AG35" s="16">
        <v>11277</v>
      </c>
      <c r="AH35" s="10">
        <v>8103</v>
      </c>
      <c r="AI35" s="10">
        <f t="shared" si="12"/>
        <v>2668</v>
      </c>
      <c r="AJ35" s="20">
        <v>10771</v>
      </c>
      <c r="AK35" s="12">
        <f t="shared" si="13"/>
        <v>0.95512991043717299</v>
      </c>
      <c r="AL35" s="18">
        <v>11345</v>
      </c>
      <c r="AM35" s="11">
        <v>8182</v>
      </c>
      <c r="AN35" s="10">
        <f t="shared" si="14"/>
        <v>2669</v>
      </c>
      <c r="AO35" s="11">
        <v>10851</v>
      </c>
      <c r="AP35" s="12">
        <f t="shared" si="15"/>
        <v>0.95645658880564122</v>
      </c>
      <c r="AQ35" s="11">
        <v>14313</v>
      </c>
      <c r="AR35" s="11">
        <v>10611</v>
      </c>
      <c r="AS35" s="10">
        <f t="shared" si="16"/>
        <v>3210</v>
      </c>
      <c r="AT35" s="13">
        <v>13821</v>
      </c>
      <c r="AU35" s="12">
        <f t="shared" si="17"/>
        <v>0.96562565499895203</v>
      </c>
      <c r="AV35" s="18">
        <v>11396</v>
      </c>
      <c r="AW35" s="11">
        <v>8375</v>
      </c>
      <c r="AX35" s="10">
        <f t="shared" si="18"/>
        <v>2587</v>
      </c>
      <c r="AY35" s="20">
        <v>10962</v>
      </c>
      <c r="AZ35" s="12">
        <f t="shared" si="19"/>
        <v>0.96191646191646196</v>
      </c>
      <c r="BA35" s="18">
        <v>11511</v>
      </c>
      <c r="BB35" s="11">
        <v>8549</v>
      </c>
      <c r="BC35" s="10">
        <f t="shared" si="20"/>
        <v>2551</v>
      </c>
      <c r="BD35" s="20">
        <v>11100</v>
      </c>
      <c r="BE35" s="12">
        <f t="shared" si="21"/>
        <v>0.96429502215272345</v>
      </c>
      <c r="BF35" s="18">
        <v>14581</v>
      </c>
      <c r="BG35" s="11">
        <v>10675</v>
      </c>
      <c r="BH35" s="10">
        <f t="shared" ref="BH35:BH48" si="24">BI35-BG35</f>
        <v>3369</v>
      </c>
      <c r="BI35" s="11">
        <v>14044</v>
      </c>
      <c r="BJ35" s="12">
        <f t="shared" ref="BJ35:BJ48" si="25">BI35/BF35</f>
        <v>0.96317125025718398</v>
      </c>
      <c r="BK35" s="24"/>
      <c r="BL35" s="24"/>
    </row>
    <row r="36" spans="1:64" x14ac:dyDescent="0.3">
      <c r="A36" s="22">
        <v>27</v>
      </c>
      <c r="B36" s="3" t="s">
        <v>33</v>
      </c>
      <c r="C36" s="15">
        <v>747626</v>
      </c>
      <c r="D36" s="10">
        <v>175007</v>
      </c>
      <c r="E36" s="10">
        <f t="shared" si="0"/>
        <v>551060</v>
      </c>
      <c r="F36" s="20">
        <v>726067</v>
      </c>
      <c r="G36" s="12">
        <f t="shared" si="1"/>
        <v>0.97116338918122158</v>
      </c>
      <c r="H36" s="15">
        <v>754952</v>
      </c>
      <c r="I36" s="10">
        <v>186350</v>
      </c>
      <c r="J36" s="10">
        <f t="shared" si="2"/>
        <v>545543</v>
      </c>
      <c r="K36" s="20">
        <v>731893</v>
      </c>
      <c r="L36" s="12">
        <f t="shared" si="3"/>
        <v>0.96945633629687711</v>
      </c>
      <c r="M36" s="16">
        <v>1378095</v>
      </c>
      <c r="N36" s="10">
        <v>853111</v>
      </c>
      <c r="O36" s="10">
        <f t="shared" si="4"/>
        <v>493448</v>
      </c>
      <c r="P36" s="13">
        <v>1346559</v>
      </c>
      <c r="Q36" s="12">
        <f t="shared" si="5"/>
        <v>0.97711623654392477</v>
      </c>
      <c r="R36" s="16">
        <v>758000</v>
      </c>
      <c r="S36" s="10">
        <v>501172</v>
      </c>
      <c r="T36" s="10">
        <f t="shared" si="6"/>
        <v>231309</v>
      </c>
      <c r="U36" s="20">
        <v>732481</v>
      </c>
      <c r="V36" s="12">
        <f t="shared" si="7"/>
        <v>0.96633377308707125</v>
      </c>
      <c r="W36" s="16">
        <v>766789</v>
      </c>
      <c r="X36" s="10">
        <v>502998</v>
      </c>
      <c r="Y36" s="10">
        <f t="shared" si="8"/>
        <v>245549</v>
      </c>
      <c r="Z36" s="20">
        <v>748547</v>
      </c>
      <c r="AA36" s="12">
        <f t="shared" si="9"/>
        <v>0.97620988303170753</v>
      </c>
      <c r="AB36" s="17">
        <v>1410553</v>
      </c>
      <c r="AC36" s="10">
        <v>1033677</v>
      </c>
      <c r="AD36" s="10">
        <f t="shared" si="10"/>
        <v>344803</v>
      </c>
      <c r="AE36" s="11">
        <v>1378480</v>
      </c>
      <c r="AF36" s="12">
        <f t="shared" si="11"/>
        <v>0.97726210925785839</v>
      </c>
      <c r="AG36" s="16">
        <v>767229</v>
      </c>
      <c r="AH36" s="10">
        <v>541818</v>
      </c>
      <c r="AI36" s="10">
        <f t="shared" si="12"/>
        <v>202711</v>
      </c>
      <c r="AJ36" s="20">
        <v>744529</v>
      </c>
      <c r="AK36" s="12">
        <f t="shared" si="13"/>
        <v>0.97041300576490197</v>
      </c>
      <c r="AL36" s="18">
        <v>779513</v>
      </c>
      <c r="AM36" s="11">
        <v>550598</v>
      </c>
      <c r="AN36" s="10">
        <f t="shared" si="14"/>
        <v>205116</v>
      </c>
      <c r="AO36" s="11">
        <v>755714</v>
      </c>
      <c r="AP36" s="12">
        <f t="shared" si="15"/>
        <v>0.96946939948403688</v>
      </c>
      <c r="AQ36" s="11">
        <v>1443943</v>
      </c>
      <c r="AR36" s="11">
        <v>1078746</v>
      </c>
      <c r="AS36" s="10">
        <f t="shared" si="16"/>
        <v>324150</v>
      </c>
      <c r="AT36" s="13">
        <v>1402896</v>
      </c>
      <c r="AU36" s="12">
        <f t="shared" si="17"/>
        <v>0.97157297760368655</v>
      </c>
      <c r="AV36" s="18">
        <v>783108</v>
      </c>
      <c r="AW36" s="11">
        <v>550597</v>
      </c>
      <c r="AX36" s="10">
        <f t="shared" si="18"/>
        <v>207956</v>
      </c>
      <c r="AY36" s="20">
        <v>758553</v>
      </c>
      <c r="AZ36" s="12">
        <f t="shared" si="19"/>
        <v>0.96864417168513151</v>
      </c>
      <c r="BA36" s="18">
        <v>793830</v>
      </c>
      <c r="BB36" s="11">
        <v>565863</v>
      </c>
      <c r="BC36" s="10">
        <f t="shared" si="20"/>
        <v>206330</v>
      </c>
      <c r="BD36" s="20">
        <v>772193</v>
      </c>
      <c r="BE36" s="12">
        <f t="shared" si="21"/>
        <v>0.97274353450990769</v>
      </c>
      <c r="BF36" s="18">
        <v>1468416</v>
      </c>
      <c r="BG36" s="11">
        <v>1042666</v>
      </c>
      <c r="BH36" s="10">
        <f t="shared" si="24"/>
        <v>383755</v>
      </c>
      <c r="BI36" s="11">
        <v>1426421</v>
      </c>
      <c r="BJ36" s="12">
        <f t="shared" si="25"/>
        <v>0.97140115607566246</v>
      </c>
      <c r="BK36" s="24"/>
      <c r="BL36" s="24"/>
    </row>
    <row r="37" spans="1:64" x14ac:dyDescent="0.3">
      <c r="A37" s="22">
        <v>29</v>
      </c>
      <c r="B37" s="3" t="s">
        <v>34</v>
      </c>
      <c r="C37" s="15">
        <v>592417</v>
      </c>
      <c r="D37" s="10">
        <v>88083</v>
      </c>
      <c r="E37" s="10">
        <f t="shared" si="0"/>
        <v>478362</v>
      </c>
      <c r="F37" s="20">
        <v>566445</v>
      </c>
      <c r="G37" s="12">
        <f t="shared" si="1"/>
        <v>0.95615925944056301</v>
      </c>
      <c r="H37" s="15">
        <v>593173</v>
      </c>
      <c r="I37" s="10">
        <v>106801</v>
      </c>
      <c r="J37" s="10">
        <f t="shared" si="2"/>
        <v>459867</v>
      </c>
      <c r="K37" s="20">
        <v>566668</v>
      </c>
      <c r="L37" s="12">
        <f t="shared" si="3"/>
        <v>0.95531657711999707</v>
      </c>
      <c r="M37" s="16">
        <v>768378</v>
      </c>
      <c r="N37" s="10">
        <v>470743</v>
      </c>
      <c r="O37" s="10">
        <f t="shared" si="4"/>
        <v>267466</v>
      </c>
      <c r="P37" s="13">
        <v>738209</v>
      </c>
      <c r="Q37" s="12">
        <f t="shared" si="5"/>
        <v>0.96073677278631087</v>
      </c>
      <c r="R37" s="16">
        <v>601605</v>
      </c>
      <c r="S37" s="10">
        <v>429186</v>
      </c>
      <c r="T37" s="10">
        <f t="shared" si="6"/>
        <v>144762</v>
      </c>
      <c r="U37" s="20">
        <v>573948</v>
      </c>
      <c r="V37" s="12">
        <f t="shared" si="7"/>
        <v>0.95402797516642979</v>
      </c>
      <c r="W37" s="16">
        <v>609453</v>
      </c>
      <c r="X37" s="10">
        <v>440736</v>
      </c>
      <c r="Y37" s="10">
        <f t="shared" si="8"/>
        <v>142446</v>
      </c>
      <c r="Z37" s="20">
        <v>583182</v>
      </c>
      <c r="AA37" s="12">
        <f t="shared" si="9"/>
        <v>0.95689413293559966</v>
      </c>
      <c r="AB37" s="17">
        <v>790568</v>
      </c>
      <c r="AC37" s="10">
        <v>586932</v>
      </c>
      <c r="AD37" s="10">
        <f t="shared" si="10"/>
        <v>172702</v>
      </c>
      <c r="AE37" s="11">
        <v>759634</v>
      </c>
      <c r="AF37" s="12">
        <f t="shared" si="11"/>
        <v>0.96087117110735576</v>
      </c>
      <c r="AG37" s="16">
        <v>617773</v>
      </c>
      <c r="AH37" s="10">
        <v>471802</v>
      </c>
      <c r="AI37" s="10">
        <f t="shared" si="12"/>
        <v>117976</v>
      </c>
      <c r="AJ37" s="20">
        <v>589778</v>
      </c>
      <c r="AK37" s="12">
        <f t="shared" si="13"/>
        <v>0.9546840020525339</v>
      </c>
      <c r="AL37" s="18">
        <v>624724</v>
      </c>
      <c r="AM37" s="11">
        <v>474089</v>
      </c>
      <c r="AN37" s="10">
        <f t="shared" si="14"/>
        <v>122530</v>
      </c>
      <c r="AO37" s="11">
        <v>596619</v>
      </c>
      <c r="AP37" s="12">
        <f t="shared" si="15"/>
        <v>0.95501213335809099</v>
      </c>
      <c r="AQ37" s="11">
        <v>810789</v>
      </c>
      <c r="AR37" s="11">
        <v>620608</v>
      </c>
      <c r="AS37" s="10">
        <f t="shared" si="16"/>
        <v>156919</v>
      </c>
      <c r="AT37" s="13">
        <v>777527</v>
      </c>
      <c r="AU37" s="12">
        <f t="shared" si="17"/>
        <v>0.95897576311469446</v>
      </c>
      <c r="AV37" s="18">
        <v>633338</v>
      </c>
      <c r="AW37" s="11">
        <v>474986</v>
      </c>
      <c r="AX37" s="10">
        <f t="shared" si="18"/>
        <v>130849</v>
      </c>
      <c r="AY37" s="20">
        <v>605835</v>
      </c>
      <c r="AZ37" s="12">
        <f t="shared" si="19"/>
        <v>0.95657453050345942</v>
      </c>
      <c r="BA37" s="18">
        <v>640933</v>
      </c>
      <c r="BB37" s="11">
        <v>483677</v>
      </c>
      <c r="BC37" s="10">
        <f t="shared" si="20"/>
        <v>131375</v>
      </c>
      <c r="BD37" s="20">
        <v>615052</v>
      </c>
      <c r="BE37" s="12">
        <f t="shared" si="21"/>
        <v>0.95961980425411075</v>
      </c>
      <c r="BF37" s="18">
        <v>830528</v>
      </c>
      <c r="BG37" s="11">
        <v>611508</v>
      </c>
      <c r="BH37" s="10">
        <f t="shared" si="24"/>
        <v>185616</v>
      </c>
      <c r="BI37" s="11">
        <v>797124</v>
      </c>
      <c r="BJ37" s="12">
        <f t="shared" si="25"/>
        <v>0.9597798027279032</v>
      </c>
      <c r="BK37" s="24"/>
      <c r="BL37" s="24"/>
    </row>
    <row r="38" spans="1:64" x14ac:dyDescent="0.3">
      <c r="A38" s="22">
        <v>30</v>
      </c>
      <c r="B38" s="3" t="s">
        <v>35</v>
      </c>
      <c r="C38" s="15">
        <v>24272</v>
      </c>
      <c r="D38" s="10">
        <v>3744</v>
      </c>
      <c r="E38" s="10">
        <f t="shared" si="0"/>
        <v>16657</v>
      </c>
      <c r="F38" s="20">
        <v>20401</v>
      </c>
      <c r="G38" s="12">
        <f t="shared" si="1"/>
        <v>0.84051582069874753</v>
      </c>
      <c r="H38" s="15">
        <v>24257</v>
      </c>
      <c r="I38" s="10">
        <v>4714</v>
      </c>
      <c r="J38" s="10">
        <f t="shared" si="2"/>
        <v>15702</v>
      </c>
      <c r="K38" s="20">
        <v>20416</v>
      </c>
      <c r="L38" s="12">
        <f t="shared" si="3"/>
        <v>0.84165395555922007</v>
      </c>
      <c r="M38" s="16">
        <v>35597</v>
      </c>
      <c r="N38" s="10">
        <v>18516</v>
      </c>
      <c r="O38" s="10">
        <f t="shared" si="4"/>
        <v>13097</v>
      </c>
      <c r="P38" s="13">
        <v>31613</v>
      </c>
      <c r="Q38" s="12">
        <f t="shared" si="5"/>
        <v>0.88808045621822063</v>
      </c>
      <c r="R38" s="16">
        <v>24050</v>
      </c>
      <c r="S38" s="10">
        <v>13291</v>
      </c>
      <c r="T38" s="10">
        <f t="shared" si="6"/>
        <v>7107</v>
      </c>
      <c r="U38" s="20">
        <v>20398</v>
      </c>
      <c r="V38" s="12">
        <f t="shared" si="7"/>
        <v>0.84814968814968816</v>
      </c>
      <c r="W38" s="16">
        <v>24263</v>
      </c>
      <c r="X38" s="10">
        <v>12869</v>
      </c>
      <c r="Y38" s="10">
        <f t="shared" si="8"/>
        <v>7760</v>
      </c>
      <c r="Z38" s="20">
        <v>20629</v>
      </c>
      <c r="AA38" s="12">
        <f t="shared" si="9"/>
        <v>0.85022462185220293</v>
      </c>
      <c r="AB38" s="17">
        <v>36018</v>
      </c>
      <c r="AC38" s="10">
        <v>22905</v>
      </c>
      <c r="AD38" s="10">
        <f t="shared" si="10"/>
        <v>9147</v>
      </c>
      <c r="AE38" s="11">
        <v>32052</v>
      </c>
      <c r="AF38" s="12">
        <f t="shared" si="11"/>
        <v>0.889888389138764</v>
      </c>
      <c r="AG38" s="16">
        <v>24216</v>
      </c>
      <c r="AH38" s="10">
        <v>14182</v>
      </c>
      <c r="AI38" s="10">
        <f t="shared" si="12"/>
        <v>6187</v>
      </c>
      <c r="AJ38" s="20">
        <v>20369</v>
      </c>
      <c r="AK38" s="12">
        <f t="shared" si="13"/>
        <v>0.84113809051866539</v>
      </c>
      <c r="AL38" s="18">
        <v>24425</v>
      </c>
      <c r="AM38" s="11">
        <v>14212</v>
      </c>
      <c r="AN38" s="10">
        <f t="shared" si="14"/>
        <v>6444</v>
      </c>
      <c r="AO38" s="11">
        <v>20656</v>
      </c>
      <c r="AP38" s="12">
        <f t="shared" si="15"/>
        <v>0.84569089048106449</v>
      </c>
      <c r="AQ38" s="11">
        <v>36434</v>
      </c>
      <c r="AR38" s="11">
        <v>23443</v>
      </c>
      <c r="AS38" s="10">
        <f t="shared" si="16"/>
        <v>9140</v>
      </c>
      <c r="AT38" s="13">
        <v>32583</v>
      </c>
      <c r="AU38" s="12">
        <f t="shared" si="17"/>
        <v>0.89430202558050176</v>
      </c>
      <c r="AV38" s="18">
        <v>24471</v>
      </c>
      <c r="AW38" s="11">
        <v>14149</v>
      </c>
      <c r="AX38" s="10">
        <f t="shared" si="18"/>
        <v>6586</v>
      </c>
      <c r="AY38" s="20">
        <v>20735</v>
      </c>
      <c r="AZ38" s="12">
        <f t="shared" si="19"/>
        <v>0.8473294920518164</v>
      </c>
      <c r="BA38" s="18">
        <v>24769</v>
      </c>
      <c r="BB38" s="11">
        <v>14279</v>
      </c>
      <c r="BC38" s="10">
        <f t="shared" si="20"/>
        <v>6725</v>
      </c>
      <c r="BD38" s="20">
        <v>21004</v>
      </c>
      <c r="BE38" s="12">
        <f t="shared" si="21"/>
        <v>0.84799547821874122</v>
      </c>
      <c r="BF38" s="18">
        <v>37269</v>
      </c>
      <c r="BG38" s="11">
        <v>22757</v>
      </c>
      <c r="BH38" s="10">
        <f t="shared" si="24"/>
        <v>10392</v>
      </c>
      <c r="BI38" s="11">
        <v>33149</v>
      </c>
      <c r="BJ38" s="12">
        <f t="shared" si="25"/>
        <v>0.88945235987013338</v>
      </c>
      <c r="BK38" s="24"/>
      <c r="BL38" s="24"/>
    </row>
    <row r="39" spans="1:64" x14ac:dyDescent="0.3">
      <c r="A39" s="22">
        <v>31</v>
      </c>
      <c r="B39" s="3" t="s">
        <v>36</v>
      </c>
      <c r="C39" s="15">
        <v>196</v>
      </c>
      <c r="D39" s="10">
        <v>52</v>
      </c>
      <c r="E39" s="10">
        <f t="shared" si="0"/>
        <v>126</v>
      </c>
      <c r="F39" s="20">
        <v>178</v>
      </c>
      <c r="G39" s="12">
        <f t="shared" si="1"/>
        <v>0.90816326530612246</v>
      </c>
      <c r="H39" s="15">
        <v>195</v>
      </c>
      <c r="I39" s="10">
        <v>46</v>
      </c>
      <c r="J39" s="10">
        <f t="shared" si="2"/>
        <v>127</v>
      </c>
      <c r="K39" s="20">
        <v>173</v>
      </c>
      <c r="L39" s="12">
        <f t="shared" si="3"/>
        <v>0.88717948717948714</v>
      </c>
      <c r="M39" s="16">
        <v>238</v>
      </c>
      <c r="N39" s="10">
        <v>121</v>
      </c>
      <c r="O39" s="10">
        <f t="shared" si="4"/>
        <v>93</v>
      </c>
      <c r="P39" s="13">
        <v>214</v>
      </c>
      <c r="Q39" s="12">
        <f t="shared" si="5"/>
        <v>0.89915966386554624</v>
      </c>
      <c r="R39" s="16">
        <v>197</v>
      </c>
      <c r="S39" s="10">
        <v>113</v>
      </c>
      <c r="T39" s="10">
        <f t="shared" si="6"/>
        <v>58</v>
      </c>
      <c r="U39" s="20">
        <v>171</v>
      </c>
      <c r="V39" s="12">
        <f t="shared" si="7"/>
        <v>0.86802030456852797</v>
      </c>
      <c r="W39" s="16">
        <v>196</v>
      </c>
      <c r="X39" s="10">
        <v>114</v>
      </c>
      <c r="Y39" s="10">
        <f t="shared" si="8"/>
        <v>58</v>
      </c>
      <c r="Z39" s="20">
        <v>172</v>
      </c>
      <c r="AA39" s="12">
        <f t="shared" si="9"/>
        <v>0.87755102040816324</v>
      </c>
      <c r="AB39" s="17">
        <v>243</v>
      </c>
      <c r="AC39" s="10">
        <v>158</v>
      </c>
      <c r="AD39" s="10">
        <f t="shared" si="10"/>
        <v>57</v>
      </c>
      <c r="AE39" s="11">
        <v>215</v>
      </c>
      <c r="AF39" s="12">
        <f t="shared" si="11"/>
        <v>0.8847736625514403</v>
      </c>
      <c r="AG39" s="16">
        <v>192</v>
      </c>
      <c r="AH39" s="10">
        <v>123</v>
      </c>
      <c r="AI39" s="10">
        <f t="shared" si="12"/>
        <v>45</v>
      </c>
      <c r="AJ39" s="20">
        <v>168</v>
      </c>
      <c r="AK39" s="12">
        <f t="shared" si="13"/>
        <v>0.875</v>
      </c>
      <c r="AL39" s="18">
        <v>170</v>
      </c>
      <c r="AM39" s="11">
        <v>112</v>
      </c>
      <c r="AN39" s="10">
        <f t="shared" si="14"/>
        <v>57</v>
      </c>
      <c r="AO39" s="11">
        <v>169</v>
      </c>
      <c r="AP39" s="12">
        <f t="shared" si="15"/>
        <v>0.99411764705882355</v>
      </c>
      <c r="AQ39" s="11">
        <v>218</v>
      </c>
      <c r="AR39" s="11">
        <v>156</v>
      </c>
      <c r="AS39" s="10">
        <f t="shared" si="16"/>
        <v>58</v>
      </c>
      <c r="AT39" s="13">
        <v>214</v>
      </c>
      <c r="AU39" s="12">
        <f t="shared" si="17"/>
        <v>0.98165137614678899</v>
      </c>
      <c r="AV39" s="18">
        <v>174</v>
      </c>
      <c r="AW39" s="11">
        <v>111</v>
      </c>
      <c r="AX39" s="10">
        <f t="shared" si="18"/>
        <v>60</v>
      </c>
      <c r="AY39" s="20">
        <v>171</v>
      </c>
      <c r="AZ39" s="12">
        <f t="shared" si="19"/>
        <v>0.98275862068965514</v>
      </c>
      <c r="BA39" s="18">
        <v>172</v>
      </c>
      <c r="BB39" s="11">
        <v>127</v>
      </c>
      <c r="BC39" s="10">
        <f t="shared" si="20"/>
        <v>46</v>
      </c>
      <c r="BD39" s="20">
        <v>173</v>
      </c>
      <c r="BE39" s="12">
        <f t="shared" si="21"/>
        <v>1.0058139534883721</v>
      </c>
      <c r="BF39" s="18">
        <v>228</v>
      </c>
      <c r="BG39" s="11">
        <v>148</v>
      </c>
      <c r="BH39" s="10">
        <f t="shared" si="24"/>
        <v>67</v>
      </c>
      <c r="BI39" s="11">
        <v>215</v>
      </c>
      <c r="BJ39" s="12">
        <f t="shared" si="25"/>
        <v>0.94298245614035092</v>
      </c>
      <c r="BK39" s="24"/>
      <c r="BL39" s="24"/>
    </row>
    <row r="40" spans="1:64" x14ac:dyDescent="0.3">
      <c r="A40" s="22">
        <v>32</v>
      </c>
      <c r="B40" s="3" t="s">
        <v>37</v>
      </c>
      <c r="C40" s="15">
        <v>255053</v>
      </c>
      <c r="D40" s="10">
        <v>15285</v>
      </c>
      <c r="E40" s="10">
        <f t="shared" si="0"/>
        <v>228461</v>
      </c>
      <c r="F40" s="20">
        <v>243746</v>
      </c>
      <c r="G40" s="12">
        <f t="shared" si="1"/>
        <v>0.95566803762355279</v>
      </c>
      <c r="H40" s="15">
        <v>254802</v>
      </c>
      <c r="I40" s="10">
        <v>22338</v>
      </c>
      <c r="J40" s="10">
        <f t="shared" si="2"/>
        <v>221641</v>
      </c>
      <c r="K40" s="20">
        <v>243979</v>
      </c>
      <c r="L40" s="12">
        <f t="shared" si="3"/>
        <v>0.95752388128821597</v>
      </c>
      <c r="M40" s="16">
        <v>315837</v>
      </c>
      <c r="N40" s="10">
        <v>140525</v>
      </c>
      <c r="O40" s="10">
        <f t="shared" si="4"/>
        <v>162874</v>
      </c>
      <c r="P40" s="13">
        <v>303399</v>
      </c>
      <c r="Q40" s="12">
        <f t="shared" si="5"/>
        <v>0.96061892685150885</v>
      </c>
      <c r="R40" s="16">
        <v>257348</v>
      </c>
      <c r="S40" s="10">
        <v>168699</v>
      </c>
      <c r="T40" s="10">
        <f t="shared" si="6"/>
        <v>76829</v>
      </c>
      <c r="U40" s="20">
        <v>245528</v>
      </c>
      <c r="V40" s="12">
        <f t="shared" si="7"/>
        <v>0.9540699752863826</v>
      </c>
      <c r="W40" s="16">
        <v>259512</v>
      </c>
      <c r="X40" s="10">
        <v>178522</v>
      </c>
      <c r="Y40" s="10">
        <f t="shared" si="8"/>
        <v>69287</v>
      </c>
      <c r="Z40" s="20">
        <v>247809</v>
      </c>
      <c r="AA40" s="12">
        <f t="shared" si="9"/>
        <v>0.954903819476556</v>
      </c>
      <c r="AB40" s="17">
        <v>322067</v>
      </c>
      <c r="AC40" s="10">
        <v>234066</v>
      </c>
      <c r="AD40" s="10">
        <f t="shared" si="10"/>
        <v>74968</v>
      </c>
      <c r="AE40" s="11">
        <v>309034</v>
      </c>
      <c r="AF40" s="12">
        <f t="shared" si="11"/>
        <v>0.95953326481756906</v>
      </c>
      <c r="AG40" s="16">
        <v>262041</v>
      </c>
      <c r="AH40" s="10">
        <v>198353</v>
      </c>
      <c r="AI40" s="10">
        <f t="shared" si="12"/>
        <v>51918</v>
      </c>
      <c r="AJ40" s="20">
        <v>250271</v>
      </c>
      <c r="AK40" s="12">
        <f t="shared" si="13"/>
        <v>0.9550833648169561</v>
      </c>
      <c r="AL40" s="18">
        <v>264607</v>
      </c>
      <c r="AM40" s="11">
        <v>195769</v>
      </c>
      <c r="AN40" s="10">
        <f t="shared" si="14"/>
        <v>57110</v>
      </c>
      <c r="AO40" s="11">
        <v>252879</v>
      </c>
      <c r="AP40" s="12">
        <f t="shared" si="15"/>
        <v>0.95567766536788523</v>
      </c>
      <c r="AQ40" s="11">
        <v>328683</v>
      </c>
      <c r="AR40" s="11">
        <v>248292</v>
      </c>
      <c r="AS40" s="10">
        <f t="shared" si="16"/>
        <v>67755</v>
      </c>
      <c r="AT40" s="13">
        <v>316047</v>
      </c>
      <c r="AU40" s="12">
        <f t="shared" si="17"/>
        <v>0.96155566305528428</v>
      </c>
      <c r="AV40" s="18">
        <v>267796</v>
      </c>
      <c r="AW40" s="11">
        <v>199637</v>
      </c>
      <c r="AX40" s="10">
        <f t="shared" si="18"/>
        <v>56493</v>
      </c>
      <c r="AY40" s="20">
        <v>256130</v>
      </c>
      <c r="AZ40" s="12">
        <f t="shared" si="19"/>
        <v>0.95643698935010235</v>
      </c>
      <c r="BA40" s="18">
        <v>270158</v>
      </c>
      <c r="BB40" s="11">
        <v>201183</v>
      </c>
      <c r="BC40" s="10">
        <f t="shared" si="20"/>
        <v>57703</v>
      </c>
      <c r="BD40" s="20">
        <v>258886</v>
      </c>
      <c r="BE40" s="12">
        <f t="shared" si="21"/>
        <v>0.95827626796171128</v>
      </c>
      <c r="BF40" s="18">
        <v>335514</v>
      </c>
      <c r="BG40" s="11">
        <v>237188</v>
      </c>
      <c r="BH40" s="10">
        <f t="shared" si="24"/>
        <v>84617</v>
      </c>
      <c r="BI40" s="11">
        <v>321805</v>
      </c>
      <c r="BJ40" s="12">
        <f t="shared" si="25"/>
        <v>0.9591403041303791</v>
      </c>
      <c r="BK40" s="24"/>
      <c r="BL40" s="24"/>
    </row>
    <row r="41" spans="1:64" x14ac:dyDescent="0.3">
      <c r="A41" s="22">
        <v>33</v>
      </c>
      <c r="B41" s="3" t="s">
        <v>38</v>
      </c>
      <c r="C41" s="15">
        <v>803124</v>
      </c>
      <c r="D41" s="10">
        <v>136119</v>
      </c>
      <c r="E41" s="10">
        <f t="shared" si="0"/>
        <v>641279</v>
      </c>
      <c r="F41" s="20">
        <v>777398</v>
      </c>
      <c r="G41" s="12">
        <f t="shared" si="1"/>
        <v>0.96796758657442683</v>
      </c>
      <c r="H41" s="15">
        <v>805681</v>
      </c>
      <c r="I41" s="10">
        <v>129228</v>
      </c>
      <c r="J41" s="10">
        <f t="shared" si="2"/>
        <v>648998</v>
      </c>
      <c r="K41" s="20">
        <v>778226</v>
      </c>
      <c r="L41" s="12">
        <f t="shared" si="3"/>
        <v>0.96592323760892962</v>
      </c>
      <c r="M41" s="16">
        <v>924274</v>
      </c>
      <c r="N41" s="10">
        <v>576762</v>
      </c>
      <c r="O41" s="10">
        <f t="shared" si="4"/>
        <v>314099</v>
      </c>
      <c r="P41" s="13">
        <v>890861</v>
      </c>
      <c r="Q41" s="12">
        <f t="shared" si="5"/>
        <v>0.96384946455271925</v>
      </c>
      <c r="R41" s="16">
        <v>822173</v>
      </c>
      <c r="S41" s="10">
        <v>619559</v>
      </c>
      <c r="T41" s="10">
        <f t="shared" si="6"/>
        <v>171634</v>
      </c>
      <c r="U41" s="20">
        <v>791193</v>
      </c>
      <c r="V41" s="12">
        <f t="shared" si="7"/>
        <v>0.96231936587555178</v>
      </c>
      <c r="W41" s="16">
        <v>833879</v>
      </c>
      <c r="X41" s="10">
        <v>620339</v>
      </c>
      <c r="Y41" s="10">
        <f t="shared" si="8"/>
        <v>179608</v>
      </c>
      <c r="Z41" s="20">
        <v>799947</v>
      </c>
      <c r="AA41" s="12">
        <f t="shared" si="9"/>
        <v>0.95930824496119937</v>
      </c>
      <c r="AB41" s="17">
        <v>956956</v>
      </c>
      <c r="AC41" s="10">
        <v>732727</v>
      </c>
      <c r="AD41" s="10">
        <f t="shared" si="10"/>
        <v>182784</v>
      </c>
      <c r="AE41" s="11">
        <v>915511</v>
      </c>
      <c r="AF41" s="12">
        <f t="shared" si="11"/>
        <v>0.95669079874100793</v>
      </c>
      <c r="AG41" s="16">
        <v>851169</v>
      </c>
      <c r="AH41" s="10">
        <v>660609</v>
      </c>
      <c r="AI41" s="10">
        <f t="shared" si="12"/>
        <v>150982</v>
      </c>
      <c r="AJ41" s="20">
        <v>811591</v>
      </c>
      <c r="AK41" s="12">
        <f t="shared" si="13"/>
        <v>0.95350159604026929</v>
      </c>
      <c r="AL41" s="18">
        <v>859964</v>
      </c>
      <c r="AM41" s="11">
        <v>665716</v>
      </c>
      <c r="AN41" s="10">
        <f t="shared" si="14"/>
        <v>152884</v>
      </c>
      <c r="AO41" s="11">
        <v>818600</v>
      </c>
      <c r="AP41" s="12">
        <f t="shared" si="15"/>
        <v>0.95190031210608816</v>
      </c>
      <c r="AQ41" s="11">
        <v>982238</v>
      </c>
      <c r="AR41" s="11">
        <v>749425</v>
      </c>
      <c r="AS41" s="10">
        <f t="shared" si="16"/>
        <v>184992</v>
      </c>
      <c r="AT41" s="13">
        <v>934417</v>
      </c>
      <c r="AU41" s="12">
        <f t="shared" si="17"/>
        <v>0.9513142435947296</v>
      </c>
      <c r="AV41" s="18">
        <v>867973</v>
      </c>
      <c r="AW41" s="11">
        <v>657564</v>
      </c>
      <c r="AX41" s="10">
        <f t="shared" si="18"/>
        <v>169843</v>
      </c>
      <c r="AY41" s="20">
        <v>827407</v>
      </c>
      <c r="AZ41" s="12">
        <f t="shared" si="19"/>
        <v>0.9532635231741079</v>
      </c>
      <c r="BA41" s="18">
        <v>869274</v>
      </c>
      <c r="BB41" s="11">
        <v>679334</v>
      </c>
      <c r="BC41" s="10">
        <f t="shared" si="20"/>
        <v>154245</v>
      </c>
      <c r="BD41" s="20">
        <v>833579</v>
      </c>
      <c r="BE41" s="12">
        <f t="shared" si="21"/>
        <v>0.95893699800063037</v>
      </c>
      <c r="BF41" s="18">
        <v>986817</v>
      </c>
      <c r="BG41" s="11">
        <v>753606</v>
      </c>
      <c r="BH41" s="10">
        <f t="shared" si="24"/>
        <v>196752</v>
      </c>
      <c r="BI41" s="11">
        <v>950358</v>
      </c>
      <c r="BJ41" s="12">
        <f t="shared" si="25"/>
        <v>0.96305394009223599</v>
      </c>
      <c r="BK41" s="24"/>
      <c r="BL41" s="24"/>
    </row>
    <row r="42" spans="1:64" x14ac:dyDescent="0.3">
      <c r="A42" s="22">
        <v>34</v>
      </c>
      <c r="B42" s="3" t="s">
        <v>39</v>
      </c>
      <c r="C42" s="15">
        <v>17297</v>
      </c>
      <c r="D42" s="10">
        <v>2951</v>
      </c>
      <c r="E42" s="10">
        <f t="shared" si="0"/>
        <v>13184</v>
      </c>
      <c r="F42" s="20">
        <v>16135</v>
      </c>
      <c r="G42" s="12">
        <f t="shared" si="1"/>
        <v>0.93282072035613117</v>
      </c>
      <c r="H42" s="15">
        <v>17324</v>
      </c>
      <c r="I42" s="10">
        <v>3442</v>
      </c>
      <c r="J42" s="10">
        <f t="shared" si="2"/>
        <v>12715</v>
      </c>
      <c r="K42" s="20">
        <v>16157</v>
      </c>
      <c r="L42" s="12">
        <f t="shared" si="3"/>
        <v>0.93263680443315633</v>
      </c>
      <c r="M42" s="16">
        <v>19854</v>
      </c>
      <c r="N42" s="10">
        <v>10914</v>
      </c>
      <c r="O42" s="10">
        <f t="shared" si="4"/>
        <v>7626</v>
      </c>
      <c r="P42" s="13">
        <v>18540</v>
      </c>
      <c r="Q42" s="12">
        <f t="shared" si="5"/>
        <v>0.93381686310063461</v>
      </c>
      <c r="R42" s="16">
        <v>17743</v>
      </c>
      <c r="S42" s="10">
        <v>12264</v>
      </c>
      <c r="T42" s="10">
        <f t="shared" si="6"/>
        <v>4207</v>
      </c>
      <c r="U42" s="20">
        <v>16471</v>
      </c>
      <c r="V42" s="12">
        <f t="shared" si="7"/>
        <v>0.92830975596009691</v>
      </c>
      <c r="W42" s="16">
        <v>17812</v>
      </c>
      <c r="X42" s="10">
        <v>12195</v>
      </c>
      <c r="Y42" s="10">
        <f t="shared" si="8"/>
        <v>4426</v>
      </c>
      <c r="Z42" s="20">
        <v>16621</v>
      </c>
      <c r="AA42" s="12">
        <f t="shared" si="9"/>
        <v>0.93313496519200534</v>
      </c>
      <c r="AB42" s="17">
        <v>20088</v>
      </c>
      <c r="AC42" s="10">
        <v>14312</v>
      </c>
      <c r="AD42" s="10">
        <f t="shared" si="10"/>
        <v>4533</v>
      </c>
      <c r="AE42" s="11">
        <v>18845</v>
      </c>
      <c r="AF42" s="12">
        <f t="shared" si="11"/>
        <v>0.93812226204699323</v>
      </c>
      <c r="AG42" s="16">
        <v>17790</v>
      </c>
      <c r="AH42" s="10">
        <v>13011</v>
      </c>
      <c r="AI42" s="10">
        <f t="shared" si="12"/>
        <v>3747</v>
      </c>
      <c r="AJ42" s="20">
        <v>16758</v>
      </c>
      <c r="AK42" s="12">
        <f t="shared" si="13"/>
        <v>0.94198988195615518</v>
      </c>
      <c r="AL42" s="18">
        <v>17888</v>
      </c>
      <c r="AM42" s="11">
        <v>13125</v>
      </c>
      <c r="AN42" s="10">
        <f t="shared" si="14"/>
        <v>3775</v>
      </c>
      <c r="AO42" s="11">
        <v>16900</v>
      </c>
      <c r="AP42" s="12">
        <f t="shared" si="15"/>
        <v>0.94476744186046513</v>
      </c>
      <c r="AQ42" s="11">
        <v>20224</v>
      </c>
      <c r="AR42" s="11">
        <v>14627</v>
      </c>
      <c r="AS42" s="10">
        <f t="shared" si="16"/>
        <v>4467</v>
      </c>
      <c r="AT42" s="13">
        <v>19094</v>
      </c>
      <c r="AU42" s="12">
        <f t="shared" si="17"/>
        <v>0.94412579113924056</v>
      </c>
      <c r="AV42" s="18">
        <v>17809</v>
      </c>
      <c r="AW42" s="11">
        <v>13146</v>
      </c>
      <c r="AX42" s="10">
        <f t="shared" si="18"/>
        <v>3848</v>
      </c>
      <c r="AY42" s="20">
        <v>16994</v>
      </c>
      <c r="AZ42" s="12">
        <f t="shared" si="19"/>
        <v>0.95423662193273062</v>
      </c>
      <c r="BA42" s="18">
        <v>17859</v>
      </c>
      <c r="BB42" s="11">
        <v>13348</v>
      </c>
      <c r="BC42" s="10">
        <f t="shared" si="20"/>
        <v>3739</v>
      </c>
      <c r="BD42" s="20">
        <v>17087</v>
      </c>
      <c r="BE42" s="12">
        <f t="shared" si="21"/>
        <v>0.95677249566045131</v>
      </c>
      <c r="BF42" s="18">
        <v>20264</v>
      </c>
      <c r="BG42" s="11">
        <v>14678</v>
      </c>
      <c r="BH42" s="10">
        <f t="shared" si="24"/>
        <v>4733</v>
      </c>
      <c r="BI42" s="11">
        <v>19411</v>
      </c>
      <c r="BJ42" s="12">
        <f t="shared" si="25"/>
        <v>0.95790564547966839</v>
      </c>
      <c r="BK42" s="24"/>
      <c r="BL42" s="24"/>
    </row>
    <row r="43" spans="1:64" x14ac:dyDescent="0.3">
      <c r="A43" s="22">
        <v>35</v>
      </c>
      <c r="B43" s="3" t="s">
        <v>40</v>
      </c>
      <c r="C43" s="15">
        <v>3346</v>
      </c>
      <c r="D43" s="10">
        <v>499</v>
      </c>
      <c r="E43" s="10">
        <f t="shared" si="0"/>
        <v>2549</v>
      </c>
      <c r="F43" s="20">
        <v>3048</v>
      </c>
      <c r="G43" s="12">
        <f t="shared" si="1"/>
        <v>0.91093843395098628</v>
      </c>
      <c r="H43" s="15">
        <v>3343</v>
      </c>
      <c r="I43" s="10">
        <v>457</v>
      </c>
      <c r="J43" s="10">
        <f t="shared" si="2"/>
        <v>2574</v>
      </c>
      <c r="K43" s="20">
        <v>3031</v>
      </c>
      <c r="L43" s="12">
        <f t="shared" si="3"/>
        <v>0.90667065510020939</v>
      </c>
      <c r="M43" s="16">
        <v>4020</v>
      </c>
      <c r="N43" s="10">
        <v>1696</v>
      </c>
      <c r="O43" s="10">
        <f t="shared" si="4"/>
        <v>1995</v>
      </c>
      <c r="P43" s="13">
        <v>3691</v>
      </c>
      <c r="Q43" s="12">
        <f t="shared" si="5"/>
        <v>0.91815920398009954</v>
      </c>
      <c r="R43" s="16">
        <v>3295</v>
      </c>
      <c r="S43" s="10">
        <v>1697</v>
      </c>
      <c r="T43" s="10">
        <f t="shared" si="6"/>
        <v>1303</v>
      </c>
      <c r="U43" s="20">
        <v>3000</v>
      </c>
      <c r="V43" s="12">
        <f t="shared" si="7"/>
        <v>0.91047040971168436</v>
      </c>
      <c r="W43" s="16">
        <v>3265</v>
      </c>
      <c r="X43" s="10">
        <v>1781</v>
      </c>
      <c r="Y43" s="10">
        <f t="shared" si="8"/>
        <v>1234</v>
      </c>
      <c r="Z43" s="20">
        <v>3015</v>
      </c>
      <c r="AA43" s="12">
        <f t="shared" si="9"/>
        <v>0.92343032159264926</v>
      </c>
      <c r="AB43" s="17">
        <v>4071</v>
      </c>
      <c r="AC43" s="10">
        <v>2383</v>
      </c>
      <c r="AD43" s="10">
        <f t="shared" si="10"/>
        <v>1410</v>
      </c>
      <c r="AE43" s="11">
        <v>3793</v>
      </c>
      <c r="AF43" s="12">
        <f t="shared" si="11"/>
        <v>0.93171211004667154</v>
      </c>
      <c r="AG43" s="16">
        <v>3330</v>
      </c>
      <c r="AH43" s="10">
        <v>2015</v>
      </c>
      <c r="AI43" s="10">
        <f t="shared" si="12"/>
        <v>1035</v>
      </c>
      <c r="AJ43" s="20">
        <v>3050</v>
      </c>
      <c r="AK43" s="12">
        <f t="shared" si="13"/>
        <v>0.91591591591591592</v>
      </c>
      <c r="AL43" s="18">
        <v>3339</v>
      </c>
      <c r="AM43" s="11">
        <v>1948</v>
      </c>
      <c r="AN43" s="10">
        <f t="shared" si="14"/>
        <v>1123</v>
      </c>
      <c r="AO43" s="11">
        <v>3071</v>
      </c>
      <c r="AP43" s="12">
        <f t="shared" si="15"/>
        <v>0.91973644803833488</v>
      </c>
      <c r="AQ43" s="11">
        <v>4111</v>
      </c>
      <c r="AR43" s="11">
        <v>2470</v>
      </c>
      <c r="AS43" s="10">
        <f t="shared" si="16"/>
        <v>1387</v>
      </c>
      <c r="AT43" s="13">
        <v>3857</v>
      </c>
      <c r="AU43" s="12">
        <f t="shared" si="17"/>
        <v>0.93821454633909029</v>
      </c>
      <c r="AV43" s="18">
        <v>3256</v>
      </c>
      <c r="AW43" s="11">
        <v>2035</v>
      </c>
      <c r="AX43" s="10">
        <f t="shared" si="18"/>
        <v>1071</v>
      </c>
      <c r="AY43" s="20">
        <v>3106</v>
      </c>
      <c r="AZ43" s="12">
        <f t="shared" si="19"/>
        <v>0.9539312039312039</v>
      </c>
      <c r="BA43" s="18">
        <v>3286</v>
      </c>
      <c r="BB43" s="11">
        <v>2033</v>
      </c>
      <c r="BC43" s="10">
        <f t="shared" si="20"/>
        <v>1094</v>
      </c>
      <c r="BD43" s="20">
        <v>3127</v>
      </c>
      <c r="BE43" s="12">
        <f t="shared" si="21"/>
        <v>0.95161290322580649</v>
      </c>
      <c r="BF43" s="18">
        <v>4091</v>
      </c>
      <c r="BG43" s="11">
        <v>2382</v>
      </c>
      <c r="BH43" s="10">
        <f t="shared" si="24"/>
        <v>1550</v>
      </c>
      <c r="BI43" s="11">
        <v>3932</v>
      </c>
      <c r="BJ43" s="12">
        <f t="shared" si="25"/>
        <v>0.96113419701784408</v>
      </c>
      <c r="BK43" s="24"/>
      <c r="BL43" s="24"/>
    </row>
    <row r="44" spans="1:64" x14ac:dyDescent="0.3">
      <c r="A44" s="22">
        <v>36</v>
      </c>
      <c r="B44" s="3" t="s">
        <v>41</v>
      </c>
      <c r="C44" s="15">
        <v>313567</v>
      </c>
      <c r="D44" s="10">
        <v>64367</v>
      </c>
      <c r="E44" s="10">
        <f t="shared" si="0"/>
        <v>211703</v>
      </c>
      <c r="F44" s="20">
        <v>276070</v>
      </c>
      <c r="G44" s="12">
        <f t="shared" si="1"/>
        <v>0.88041790111842122</v>
      </c>
      <c r="H44" s="15">
        <v>315037</v>
      </c>
      <c r="I44" s="10">
        <v>68092</v>
      </c>
      <c r="J44" s="10">
        <f t="shared" si="2"/>
        <v>208642</v>
      </c>
      <c r="K44" s="20">
        <v>276734</v>
      </c>
      <c r="L44" s="12">
        <f t="shared" si="3"/>
        <v>0.87841745572742247</v>
      </c>
      <c r="M44" s="16">
        <v>378050</v>
      </c>
      <c r="N44" s="10">
        <v>201487</v>
      </c>
      <c r="O44" s="10">
        <f t="shared" si="4"/>
        <v>137104</v>
      </c>
      <c r="P44" s="13">
        <v>338591</v>
      </c>
      <c r="Q44" s="12">
        <f t="shared" si="5"/>
        <v>0.89562491733897631</v>
      </c>
      <c r="R44" s="16">
        <v>322476</v>
      </c>
      <c r="S44" s="10">
        <v>197550</v>
      </c>
      <c r="T44" s="10">
        <f t="shared" si="6"/>
        <v>85423</v>
      </c>
      <c r="U44" s="20">
        <v>282973</v>
      </c>
      <c r="V44" s="12">
        <f t="shared" si="7"/>
        <v>0.87750096131184951</v>
      </c>
      <c r="W44" s="16">
        <v>327345</v>
      </c>
      <c r="X44" s="10">
        <v>199892</v>
      </c>
      <c r="Y44" s="10">
        <f t="shared" si="8"/>
        <v>86943</v>
      </c>
      <c r="Z44" s="20">
        <v>286835</v>
      </c>
      <c r="AA44" s="12">
        <f t="shared" si="9"/>
        <v>0.87624677328201128</v>
      </c>
      <c r="AB44" s="17">
        <v>393681</v>
      </c>
      <c r="AC44" s="10">
        <v>255724</v>
      </c>
      <c r="AD44" s="10">
        <f t="shared" si="10"/>
        <v>94088</v>
      </c>
      <c r="AE44" s="11">
        <v>349812</v>
      </c>
      <c r="AF44" s="12">
        <f t="shared" si="11"/>
        <v>0.88856713938442544</v>
      </c>
      <c r="AG44" s="16">
        <v>333199</v>
      </c>
      <c r="AH44" s="10">
        <v>216189</v>
      </c>
      <c r="AI44" s="10">
        <f t="shared" si="12"/>
        <v>74161</v>
      </c>
      <c r="AJ44" s="20">
        <v>290350</v>
      </c>
      <c r="AK44" s="12">
        <f t="shared" si="13"/>
        <v>0.8714011746733934</v>
      </c>
      <c r="AL44" s="18">
        <v>336893</v>
      </c>
      <c r="AM44" s="11">
        <v>216835</v>
      </c>
      <c r="AN44" s="10">
        <f t="shared" si="14"/>
        <v>77997</v>
      </c>
      <c r="AO44" s="11">
        <v>294832</v>
      </c>
      <c r="AP44" s="12">
        <f t="shared" si="15"/>
        <v>0.87515027026385228</v>
      </c>
      <c r="AQ44" s="11">
        <v>406157</v>
      </c>
      <c r="AR44" s="11">
        <v>269419</v>
      </c>
      <c r="AS44" s="10">
        <f t="shared" si="16"/>
        <v>90448</v>
      </c>
      <c r="AT44" s="13">
        <v>359867</v>
      </c>
      <c r="AU44" s="12">
        <f t="shared" si="17"/>
        <v>0.88602929409070874</v>
      </c>
      <c r="AV44" s="18">
        <v>341214</v>
      </c>
      <c r="AW44" s="11">
        <v>218445</v>
      </c>
      <c r="AX44" s="10">
        <f t="shared" si="18"/>
        <v>79997</v>
      </c>
      <c r="AY44" s="20">
        <v>298442</v>
      </c>
      <c r="AZ44" s="12">
        <f t="shared" si="19"/>
        <v>0.87464758186944269</v>
      </c>
      <c r="BA44" s="18">
        <v>343859</v>
      </c>
      <c r="BB44" s="11">
        <v>222878</v>
      </c>
      <c r="BC44" s="10">
        <f t="shared" si="20"/>
        <v>79459</v>
      </c>
      <c r="BD44" s="20">
        <v>302337</v>
      </c>
      <c r="BE44" s="12">
        <f t="shared" si="21"/>
        <v>0.87924701694589935</v>
      </c>
      <c r="BF44" s="18">
        <v>410714</v>
      </c>
      <c r="BG44" s="11">
        <v>264278</v>
      </c>
      <c r="BH44" s="10">
        <f t="shared" si="24"/>
        <v>103159</v>
      </c>
      <c r="BI44" s="11">
        <v>367437</v>
      </c>
      <c r="BJ44" s="12">
        <f t="shared" si="25"/>
        <v>0.89462983974249721</v>
      </c>
      <c r="BK44" s="24"/>
      <c r="BL44" s="24"/>
    </row>
    <row r="45" spans="1:64" x14ac:dyDescent="0.3">
      <c r="A45" s="22">
        <v>37</v>
      </c>
      <c r="B45" s="3" t="s">
        <v>42</v>
      </c>
      <c r="C45" s="15">
        <v>237775</v>
      </c>
      <c r="D45" s="10">
        <v>45740</v>
      </c>
      <c r="E45" s="10">
        <f t="shared" si="0"/>
        <v>173667</v>
      </c>
      <c r="F45" s="20">
        <v>219407</v>
      </c>
      <c r="G45" s="12">
        <f t="shared" si="1"/>
        <v>0.92275049942172227</v>
      </c>
      <c r="H45" s="15">
        <v>238690</v>
      </c>
      <c r="I45" s="10">
        <v>48794</v>
      </c>
      <c r="J45" s="10">
        <f t="shared" si="2"/>
        <v>171223</v>
      </c>
      <c r="K45" s="20">
        <v>220017</v>
      </c>
      <c r="L45" s="12">
        <f t="shared" si="3"/>
        <v>0.92176882148393313</v>
      </c>
      <c r="M45" s="16">
        <v>292586</v>
      </c>
      <c r="N45" s="10">
        <v>172338</v>
      </c>
      <c r="O45" s="10">
        <f t="shared" si="4"/>
        <v>100448</v>
      </c>
      <c r="P45" s="13">
        <v>272786</v>
      </c>
      <c r="Q45" s="12">
        <f t="shared" si="5"/>
        <v>0.93232758915327463</v>
      </c>
      <c r="R45" s="16">
        <v>242899</v>
      </c>
      <c r="S45" s="10">
        <v>164575</v>
      </c>
      <c r="T45" s="10">
        <f t="shared" si="6"/>
        <v>58712</v>
      </c>
      <c r="U45" s="20">
        <v>223287</v>
      </c>
      <c r="V45" s="12">
        <f t="shared" si="7"/>
        <v>0.91925862189634377</v>
      </c>
      <c r="W45" s="16">
        <v>244806</v>
      </c>
      <c r="X45" s="10">
        <v>167109</v>
      </c>
      <c r="Y45" s="10">
        <f t="shared" si="8"/>
        <v>58461</v>
      </c>
      <c r="Z45" s="20">
        <v>225570</v>
      </c>
      <c r="AA45" s="12">
        <f t="shared" si="9"/>
        <v>0.92142349452219308</v>
      </c>
      <c r="AB45" s="17">
        <v>299772</v>
      </c>
      <c r="AC45" s="10">
        <v>213755</v>
      </c>
      <c r="AD45" s="10">
        <f t="shared" si="10"/>
        <v>63877</v>
      </c>
      <c r="AE45" s="11">
        <v>277632</v>
      </c>
      <c r="AF45" s="12">
        <f t="shared" si="11"/>
        <v>0.92614386934069892</v>
      </c>
      <c r="AG45" s="16">
        <v>246243</v>
      </c>
      <c r="AH45" s="10">
        <v>179194</v>
      </c>
      <c r="AI45" s="10">
        <f t="shared" si="12"/>
        <v>48118</v>
      </c>
      <c r="AJ45" s="20">
        <v>227312</v>
      </c>
      <c r="AK45" s="12">
        <f t="shared" si="13"/>
        <v>0.92312065723695702</v>
      </c>
      <c r="AL45" s="18">
        <v>247584</v>
      </c>
      <c r="AM45" s="11">
        <v>178038</v>
      </c>
      <c r="AN45" s="10">
        <f t="shared" si="14"/>
        <v>51424</v>
      </c>
      <c r="AO45" s="11">
        <v>229462</v>
      </c>
      <c r="AP45" s="12">
        <f t="shared" si="15"/>
        <v>0.92680464004135965</v>
      </c>
      <c r="AQ45" s="11">
        <v>303759</v>
      </c>
      <c r="AR45" s="11">
        <v>214751</v>
      </c>
      <c r="AS45" s="10">
        <f t="shared" si="16"/>
        <v>67572</v>
      </c>
      <c r="AT45" s="13">
        <v>282323</v>
      </c>
      <c r="AU45" s="12">
        <f t="shared" si="17"/>
        <v>0.92943089752073194</v>
      </c>
      <c r="AV45" s="18">
        <v>248547</v>
      </c>
      <c r="AW45" s="11">
        <v>175653</v>
      </c>
      <c r="AX45" s="10">
        <f t="shared" si="18"/>
        <v>55336</v>
      </c>
      <c r="AY45" s="20">
        <v>230989</v>
      </c>
      <c r="AZ45" s="12">
        <f t="shared" si="19"/>
        <v>0.92935742535617005</v>
      </c>
      <c r="BA45" s="18">
        <v>248925</v>
      </c>
      <c r="BB45" s="11">
        <v>181226</v>
      </c>
      <c r="BC45" s="10">
        <f t="shared" si="20"/>
        <v>51927</v>
      </c>
      <c r="BD45" s="20">
        <v>233153</v>
      </c>
      <c r="BE45" s="12">
        <f t="shared" si="21"/>
        <v>0.93663955006528066</v>
      </c>
      <c r="BF45" s="18">
        <v>305535</v>
      </c>
      <c r="BG45" s="11">
        <v>207501</v>
      </c>
      <c r="BH45" s="10">
        <f t="shared" si="24"/>
        <v>79707</v>
      </c>
      <c r="BI45" s="11">
        <v>287208</v>
      </c>
      <c r="BJ45" s="12">
        <f t="shared" si="25"/>
        <v>0.94001669203200944</v>
      </c>
      <c r="BK45" s="24"/>
      <c r="BL45" s="24"/>
    </row>
    <row r="46" spans="1:64" x14ac:dyDescent="0.3">
      <c r="A46" s="22">
        <v>38</v>
      </c>
      <c r="B46" s="3" t="s">
        <v>43</v>
      </c>
      <c r="C46" s="15">
        <v>2070</v>
      </c>
      <c r="D46" s="10">
        <v>396</v>
      </c>
      <c r="E46" s="10">
        <f t="shared" si="0"/>
        <v>1657</v>
      </c>
      <c r="F46" s="20">
        <v>2053</v>
      </c>
      <c r="G46" s="12">
        <f t="shared" si="1"/>
        <v>0.99178743961352656</v>
      </c>
      <c r="H46" s="15">
        <v>2134</v>
      </c>
      <c r="I46" s="10">
        <v>530</v>
      </c>
      <c r="J46" s="10">
        <f t="shared" si="2"/>
        <v>1586</v>
      </c>
      <c r="K46" s="20">
        <v>2116</v>
      </c>
      <c r="L46" s="12">
        <f t="shared" si="3"/>
        <v>0.99156513589503281</v>
      </c>
      <c r="M46" s="16">
        <v>4565</v>
      </c>
      <c r="N46" s="10">
        <v>2966</v>
      </c>
      <c r="O46" s="10">
        <f t="shared" si="4"/>
        <v>1559</v>
      </c>
      <c r="P46" s="13">
        <v>4525</v>
      </c>
      <c r="Q46" s="12">
        <f t="shared" si="5"/>
        <v>0.99123767798466589</v>
      </c>
      <c r="R46" s="16">
        <v>2092</v>
      </c>
      <c r="S46" s="10">
        <v>1143</v>
      </c>
      <c r="T46" s="10">
        <f t="shared" si="6"/>
        <v>870</v>
      </c>
      <c r="U46" s="20">
        <v>2013</v>
      </c>
      <c r="V46" s="12">
        <f t="shared" si="7"/>
        <v>0.96223709369024857</v>
      </c>
      <c r="W46" s="16">
        <v>2205</v>
      </c>
      <c r="X46" s="10">
        <v>1269</v>
      </c>
      <c r="Y46" s="10">
        <f t="shared" si="8"/>
        <v>870</v>
      </c>
      <c r="Z46" s="20">
        <v>2139</v>
      </c>
      <c r="AA46" s="12">
        <f t="shared" si="9"/>
        <v>0.97006802721088436</v>
      </c>
      <c r="AB46" s="17">
        <v>4967</v>
      </c>
      <c r="AC46" s="10">
        <v>3433</v>
      </c>
      <c r="AD46" s="10">
        <f t="shared" si="10"/>
        <v>1453</v>
      </c>
      <c r="AE46" s="11">
        <v>4886</v>
      </c>
      <c r="AF46" s="12">
        <f t="shared" si="11"/>
        <v>0.98369236963962148</v>
      </c>
      <c r="AG46" s="16">
        <v>2151</v>
      </c>
      <c r="AH46" s="10">
        <v>1290</v>
      </c>
      <c r="AI46" s="10">
        <f t="shared" si="12"/>
        <v>742</v>
      </c>
      <c r="AJ46" s="20">
        <v>2032</v>
      </c>
      <c r="AK46" s="12">
        <f t="shared" si="13"/>
        <v>0.94467689446768943</v>
      </c>
      <c r="AL46" s="18">
        <v>2221</v>
      </c>
      <c r="AM46" s="11">
        <v>1388</v>
      </c>
      <c r="AN46" s="10">
        <f t="shared" si="14"/>
        <v>748</v>
      </c>
      <c r="AO46" s="11">
        <v>2136</v>
      </c>
      <c r="AP46" s="12">
        <f t="shared" si="15"/>
        <v>0.9617289509230077</v>
      </c>
      <c r="AQ46" s="11">
        <v>5242</v>
      </c>
      <c r="AR46" s="11">
        <v>3673</v>
      </c>
      <c r="AS46" s="10">
        <f t="shared" si="16"/>
        <v>1468</v>
      </c>
      <c r="AT46" s="13">
        <v>5141</v>
      </c>
      <c r="AU46" s="12">
        <f t="shared" si="17"/>
        <v>0.98073254483021743</v>
      </c>
      <c r="AV46" s="18">
        <v>2226</v>
      </c>
      <c r="AW46" s="11">
        <v>1453</v>
      </c>
      <c r="AX46" s="10">
        <f t="shared" si="18"/>
        <v>688</v>
      </c>
      <c r="AY46" s="20">
        <v>2141</v>
      </c>
      <c r="AZ46" s="12">
        <f t="shared" si="19"/>
        <v>0.96181491464510327</v>
      </c>
      <c r="BA46" s="18">
        <v>2322</v>
      </c>
      <c r="BB46" s="11">
        <v>1525</v>
      </c>
      <c r="BC46" s="10">
        <f t="shared" si="20"/>
        <v>735</v>
      </c>
      <c r="BD46" s="20">
        <v>2260</v>
      </c>
      <c r="BE46" s="12">
        <f t="shared" si="21"/>
        <v>0.9732988802756245</v>
      </c>
      <c r="BF46" s="18">
        <v>5417</v>
      </c>
      <c r="BG46" s="11">
        <v>3823</v>
      </c>
      <c r="BH46" s="10">
        <f t="shared" si="24"/>
        <v>1668</v>
      </c>
      <c r="BI46" s="11">
        <v>5491</v>
      </c>
      <c r="BJ46" s="12">
        <f t="shared" si="25"/>
        <v>1.0136606978032121</v>
      </c>
      <c r="BK46" s="24"/>
      <c r="BL46" s="24"/>
    </row>
    <row r="47" spans="1:64" x14ac:dyDescent="0.3">
      <c r="A47" s="22">
        <v>97</v>
      </c>
      <c r="B47" s="3" t="s">
        <v>44</v>
      </c>
      <c r="C47" s="15">
        <v>76</v>
      </c>
      <c r="D47" s="10">
        <v>52</v>
      </c>
      <c r="E47" s="10">
        <f t="shared" si="0"/>
        <v>12</v>
      </c>
      <c r="F47" s="20">
        <v>64</v>
      </c>
      <c r="G47" s="12">
        <f t="shared" si="1"/>
        <v>0.84210526315789469</v>
      </c>
      <c r="H47" s="15">
        <v>77</v>
      </c>
      <c r="I47" s="10">
        <v>43</v>
      </c>
      <c r="J47" s="10">
        <f t="shared" si="2"/>
        <v>22</v>
      </c>
      <c r="K47" s="20">
        <v>65</v>
      </c>
      <c r="L47" s="12">
        <f t="shared" si="3"/>
        <v>0.8441558441558441</v>
      </c>
      <c r="M47" s="16">
        <v>82</v>
      </c>
      <c r="N47" s="10">
        <v>55</v>
      </c>
      <c r="O47" s="10">
        <f t="shared" si="4"/>
        <v>16</v>
      </c>
      <c r="P47" s="13">
        <v>71</v>
      </c>
      <c r="Q47" s="12">
        <f t="shared" si="5"/>
        <v>0.86585365853658536</v>
      </c>
      <c r="R47" s="16">
        <v>77</v>
      </c>
      <c r="S47" s="10">
        <v>60</v>
      </c>
      <c r="T47" s="10">
        <f t="shared" si="6"/>
        <v>5</v>
      </c>
      <c r="U47" s="20">
        <v>65</v>
      </c>
      <c r="V47" s="12">
        <f t="shared" si="7"/>
        <v>0.8441558441558441</v>
      </c>
      <c r="W47" s="16">
        <v>77</v>
      </c>
      <c r="X47" s="10">
        <v>56</v>
      </c>
      <c r="Y47" s="10">
        <f t="shared" si="8"/>
        <v>9</v>
      </c>
      <c r="Z47" s="20">
        <v>65</v>
      </c>
      <c r="AA47" s="12">
        <f t="shared" si="9"/>
        <v>0.8441558441558441</v>
      </c>
      <c r="AB47" s="17">
        <v>86</v>
      </c>
      <c r="AC47" s="10">
        <v>63</v>
      </c>
      <c r="AD47" s="10">
        <f t="shared" si="10"/>
        <v>8</v>
      </c>
      <c r="AE47" s="11">
        <v>71</v>
      </c>
      <c r="AF47" s="12">
        <f t="shared" si="11"/>
        <v>0.82558139534883723</v>
      </c>
      <c r="AG47" s="16">
        <v>80</v>
      </c>
      <c r="AH47" s="10">
        <v>58</v>
      </c>
      <c r="AI47" s="10">
        <f t="shared" si="12"/>
        <v>7</v>
      </c>
      <c r="AJ47" s="20">
        <v>65</v>
      </c>
      <c r="AK47" s="12">
        <f t="shared" si="13"/>
        <v>0.8125</v>
      </c>
      <c r="AL47" s="18">
        <v>81</v>
      </c>
      <c r="AM47" s="11">
        <v>61</v>
      </c>
      <c r="AN47" s="10">
        <f t="shared" si="14"/>
        <v>5</v>
      </c>
      <c r="AO47" s="11">
        <v>66</v>
      </c>
      <c r="AP47" s="12">
        <f t="shared" si="15"/>
        <v>0.81481481481481477</v>
      </c>
      <c r="AQ47" s="11">
        <v>86</v>
      </c>
      <c r="AR47" s="11">
        <v>61</v>
      </c>
      <c r="AS47" s="10">
        <f t="shared" si="16"/>
        <v>11</v>
      </c>
      <c r="AT47" s="13">
        <v>72</v>
      </c>
      <c r="AU47" s="12">
        <f t="shared" si="17"/>
        <v>0.83720930232558144</v>
      </c>
      <c r="AV47" s="18">
        <v>81</v>
      </c>
      <c r="AW47" s="11">
        <v>59</v>
      </c>
      <c r="AX47" s="10">
        <f t="shared" si="18"/>
        <v>7</v>
      </c>
      <c r="AY47" s="20">
        <v>66</v>
      </c>
      <c r="AZ47" s="12">
        <f t="shared" si="19"/>
        <v>0.81481481481481477</v>
      </c>
      <c r="BA47" s="18">
        <v>81</v>
      </c>
      <c r="BB47" s="11">
        <v>59</v>
      </c>
      <c r="BC47" s="10">
        <f t="shared" si="20"/>
        <v>7</v>
      </c>
      <c r="BD47" s="20">
        <v>66</v>
      </c>
      <c r="BE47" s="12">
        <f t="shared" si="21"/>
        <v>0.81481481481481477</v>
      </c>
      <c r="BF47" s="18">
        <v>89</v>
      </c>
      <c r="BG47" s="11">
        <v>62</v>
      </c>
      <c r="BH47" s="10">
        <f t="shared" si="24"/>
        <v>10</v>
      </c>
      <c r="BI47" s="11">
        <v>72</v>
      </c>
      <c r="BJ47" s="12">
        <f t="shared" si="25"/>
        <v>0.8089887640449438</v>
      </c>
      <c r="BK47" s="24"/>
      <c r="BL47" s="24"/>
    </row>
    <row r="48" spans="1:64" x14ac:dyDescent="0.3">
      <c r="A48" s="36" t="s">
        <v>45</v>
      </c>
      <c r="B48" s="36"/>
      <c r="C48" s="6">
        <f>SUM(C10:C47)</f>
        <v>6932700</v>
      </c>
      <c r="D48" s="6">
        <f>SUM(D10:D47)</f>
        <v>1217800</v>
      </c>
      <c r="E48" s="8">
        <f t="shared" si="0"/>
        <v>5340469</v>
      </c>
      <c r="F48" s="7">
        <f>SUM(F10:F47)</f>
        <v>6558269</v>
      </c>
      <c r="G48" s="9">
        <f t="shared" si="1"/>
        <v>0.94599059529476248</v>
      </c>
      <c r="H48" s="6">
        <f>SUM(H10:H47)</f>
        <v>6950738</v>
      </c>
      <c r="I48" s="6">
        <f>SUM(I10:I47)</f>
        <v>1446441</v>
      </c>
      <c r="J48" s="8">
        <f t="shared" si="2"/>
        <v>5126294</v>
      </c>
      <c r="K48" s="7">
        <f>SUM(K10:K47)</f>
        <v>6572735</v>
      </c>
      <c r="L48" s="9">
        <f t="shared" si="3"/>
        <v>0.9456168539225619</v>
      </c>
      <c r="M48" s="6">
        <f>SUM(M10:M47)</f>
        <v>10856253</v>
      </c>
      <c r="N48" s="6">
        <f>SUM(N10:N47)</f>
        <v>6843455</v>
      </c>
      <c r="O48" s="8">
        <f t="shared" si="4"/>
        <v>3595467</v>
      </c>
      <c r="P48" s="7">
        <f>SUM(P10:P47)</f>
        <v>10438922</v>
      </c>
      <c r="Q48" s="9">
        <f t="shared" si="5"/>
        <v>0.9615584677328356</v>
      </c>
      <c r="R48" s="6">
        <f>SUM(R10:R47)</f>
        <v>7018290</v>
      </c>
      <c r="S48" s="6">
        <f>SUM(S10:S47)</f>
        <v>4909070</v>
      </c>
      <c r="T48" s="8">
        <f t="shared" si="6"/>
        <v>1738564</v>
      </c>
      <c r="U48" s="7">
        <f>SUM(U10:U47)</f>
        <v>6647634</v>
      </c>
      <c r="V48" s="9">
        <f t="shared" si="7"/>
        <v>0.94718713532783627</v>
      </c>
      <c r="W48" s="6">
        <f>SUM(W10:W47)</f>
        <v>7125860</v>
      </c>
      <c r="X48" s="6">
        <f>SUM(X10:X47)</f>
        <v>5026590</v>
      </c>
      <c r="Y48" s="8">
        <f t="shared" si="8"/>
        <v>1753935</v>
      </c>
      <c r="Z48" s="7">
        <f>SUM(Z10:Z47)</f>
        <v>6780525</v>
      </c>
      <c r="AA48" s="9">
        <f t="shared" si="9"/>
        <v>0.95153777929962136</v>
      </c>
      <c r="AB48" s="6">
        <f>SUM(AB10:AB47)</f>
        <v>11181178</v>
      </c>
      <c r="AC48" s="6">
        <f>SUM(AC10:AC47)</f>
        <v>8442268</v>
      </c>
      <c r="AD48" s="8">
        <f t="shared" si="10"/>
        <v>2305255</v>
      </c>
      <c r="AE48" s="7">
        <f>SUM(AE10:AE47)</f>
        <v>10747523</v>
      </c>
      <c r="AF48" s="9">
        <f t="shared" si="11"/>
        <v>0.96121562504415903</v>
      </c>
      <c r="AG48" s="6">
        <f>SUM(AG10:AG47)</f>
        <v>7127280</v>
      </c>
      <c r="AH48" s="6">
        <f>SUM(AH10:AH47)</f>
        <v>5281079</v>
      </c>
      <c r="AI48" s="8">
        <f t="shared" si="12"/>
        <v>1483571</v>
      </c>
      <c r="AJ48" s="7">
        <f>SUM(AJ10:AJ47)</f>
        <v>6764650</v>
      </c>
      <c r="AK48" s="9">
        <f t="shared" si="13"/>
        <v>0.9491208427338339</v>
      </c>
      <c r="AL48" s="6">
        <f>SUM(AL10:AL47)</f>
        <v>7209029</v>
      </c>
      <c r="AM48" s="6">
        <f>SUM(AM10:AM47)</f>
        <v>5357364</v>
      </c>
      <c r="AN48" s="8">
        <f t="shared" si="14"/>
        <v>1501432</v>
      </c>
      <c r="AO48" s="7">
        <f>SUM(AO10:AO47)</f>
        <v>6858796</v>
      </c>
      <c r="AP48" s="9">
        <f t="shared" si="15"/>
        <v>0.95141745164293279</v>
      </c>
      <c r="AQ48" s="6">
        <f>SUM(AQ10:AQ47)</f>
        <v>11429107</v>
      </c>
      <c r="AR48" s="6">
        <f>SUM(AR10:AR47)</f>
        <v>8776486</v>
      </c>
      <c r="AS48" s="8">
        <f t="shared" si="16"/>
        <v>2190616</v>
      </c>
      <c r="AT48" s="7">
        <f>SUM(AT10:AT47)</f>
        <v>10967102</v>
      </c>
      <c r="AU48" s="9">
        <f t="shared" si="17"/>
        <v>0.95957645684829096</v>
      </c>
      <c r="AV48" s="6">
        <f>SUM(AV10:AV47)</f>
        <v>7242766</v>
      </c>
      <c r="AW48" s="6">
        <f>SUM(AW10:AW47)</f>
        <v>5366336</v>
      </c>
      <c r="AX48" s="8">
        <f t="shared" si="18"/>
        <v>1537282</v>
      </c>
      <c r="AY48" s="7">
        <f>SUM(AY10:AY47)</f>
        <v>6903618</v>
      </c>
      <c r="AZ48" s="9">
        <f t="shared" si="19"/>
        <v>0.95317424309994281</v>
      </c>
      <c r="BA48" s="6">
        <f>SUM(BA10:BA47)</f>
        <v>7311740</v>
      </c>
      <c r="BB48" s="6">
        <f>SUM(BB10:BB47)</f>
        <v>5403224</v>
      </c>
      <c r="BC48" s="8">
        <f t="shared" si="20"/>
        <v>1610408</v>
      </c>
      <c r="BD48" s="7">
        <f>SUM(BD10:BD47)</f>
        <v>7013632</v>
      </c>
      <c r="BE48" s="9">
        <f t="shared" si="21"/>
        <v>0.95922885660595147</v>
      </c>
      <c r="BF48" s="6">
        <f>SUM(BF10:BF47)</f>
        <v>11631207</v>
      </c>
      <c r="BG48" s="6">
        <f>SUM(BG10:BG47)</f>
        <v>8499869</v>
      </c>
      <c r="BH48" s="8">
        <f t="shared" si="24"/>
        <v>2688047</v>
      </c>
      <c r="BI48" s="7">
        <f>SUM(BI10:BI47)</f>
        <v>11187916</v>
      </c>
      <c r="BJ48" s="9">
        <f t="shared" si="25"/>
        <v>0.9618877903213312</v>
      </c>
      <c r="BK48" s="24"/>
      <c r="BL48" s="24"/>
    </row>
    <row r="49" spans="1:37" x14ac:dyDescent="0.3">
      <c r="A49" s="1"/>
    </row>
    <row r="50" spans="1:37" x14ac:dyDescent="0.3">
      <c r="A50" s="1"/>
    </row>
    <row r="51" spans="1:37" x14ac:dyDescent="0.3">
      <c r="A51" s="1"/>
    </row>
    <row r="52" spans="1:37" x14ac:dyDescent="0.3">
      <c r="A52" s="1"/>
    </row>
    <row r="53" spans="1:37" x14ac:dyDescent="0.3">
      <c r="A53" s="1"/>
    </row>
    <row r="54" spans="1:37" x14ac:dyDescent="0.3">
      <c r="A54" s="1"/>
      <c r="B54" s="1"/>
      <c r="C54" s="1"/>
      <c r="D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3">
      <c r="A55" s="25" t="s">
        <v>46</v>
      </c>
      <c r="B55" s="25"/>
      <c r="C55" s="25"/>
      <c r="D55" s="2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</sheetData>
  <mergeCells count="18">
    <mergeCell ref="A48:B48"/>
    <mergeCell ref="BA8:BE8"/>
    <mergeCell ref="AL8:AP8"/>
    <mergeCell ref="AQ8:AU8"/>
    <mergeCell ref="AV8:AZ8"/>
    <mergeCell ref="AG8:AK8"/>
    <mergeCell ref="H8:L8"/>
    <mergeCell ref="A1:E1"/>
    <mergeCell ref="BF8:BJ8"/>
    <mergeCell ref="M8:Q8"/>
    <mergeCell ref="R8:V8"/>
    <mergeCell ref="W8:AA8"/>
    <mergeCell ref="AB8:AF8"/>
    <mergeCell ref="A3:B3"/>
    <mergeCell ref="A5:C5"/>
    <mergeCell ref="A8:A9"/>
    <mergeCell ref="B8:B9"/>
    <mergeCell ref="C8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Mandal</dc:creator>
  <cp:lastModifiedBy>Krishan Pal Singh</cp:lastModifiedBy>
  <dcterms:created xsi:type="dcterms:W3CDTF">2021-12-17T09:07:06Z</dcterms:created>
  <dcterms:modified xsi:type="dcterms:W3CDTF">2026-09-09T11:44:18Z</dcterms:modified>
</cp:coreProperties>
</file>