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ul 24\GST Statistics Downloads 31ts Jul 24\Downloads\New Settlement\"/>
    </mc:Choice>
  </mc:AlternateContent>
  <xr:revisionPtr revIDLastSave="0" documentId="13_ncr:1_{BDE120DF-CC4E-4F7E-9928-61F7C564DF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lement_2023-24" sheetId="7" r:id="rId1"/>
  </sheets>
  <definedNames>
    <definedName name="_xlnm._FilterDatabase" localSheetId="0" hidden="1">'settlement_2023-24'!$A$5:$AA$45</definedName>
    <definedName name="_xlnm.Print_Titles" localSheetId="0">'settlement_2023-24'!$1:$5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7" l="1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34" i="7"/>
  <c r="D34" i="7"/>
  <c r="C35" i="7"/>
  <c r="D35" i="7"/>
  <c r="C36" i="7"/>
  <c r="D36" i="7"/>
  <c r="C37" i="7"/>
  <c r="D37" i="7"/>
  <c r="C38" i="7"/>
  <c r="D38" i="7"/>
  <c r="C39" i="7"/>
  <c r="D39" i="7"/>
  <c r="C40" i="7"/>
  <c r="D40" i="7"/>
  <c r="C41" i="7"/>
  <c r="D41" i="7"/>
  <c r="C42" i="7"/>
  <c r="D42" i="7"/>
  <c r="C43" i="7"/>
  <c r="D43" i="7"/>
  <c r="C44" i="7"/>
  <c r="D44" i="7"/>
  <c r="D7" i="7"/>
  <c r="AN45" i="7"/>
  <c r="AO44" i="7"/>
  <c r="AO43" i="7"/>
  <c r="AO42" i="7"/>
  <c r="AO41" i="7"/>
  <c r="AO40" i="7"/>
  <c r="AO39" i="7"/>
  <c r="AO38" i="7"/>
  <c r="AO37" i="7"/>
  <c r="AO36" i="7"/>
  <c r="AO35" i="7"/>
  <c r="AO34" i="7"/>
  <c r="AO33" i="7"/>
  <c r="AO32" i="7"/>
  <c r="AO31" i="7"/>
  <c r="AO30" i="7"/>
  <c r="AO29" i="7"/>
  <c r="AO28" i="7"/>
  <c r="AO27" i="7"/>
  <c r="AO26" i="7"/>
  <c r="AO25" i="7"/>
  <c r="AO24" i="7"/>
  <c r="AO23" i="7"/>
  <c r="AO22" i="7"/>
  <c r="AO21" i="7"/>
  <c r="AO20" i="7"/>
  <c r="AO19" i="7"/>
  <c r="AO18" i="7"/>
  <c r="AO17" i="7"/>
  <c r="AO16" i="7"/>
  <c r="AO15" i="7"/>
  <c r="AO14" i="7"/>
  <c r="AO13" i="7"/>
  <c r="AO12" i="7"/>
  <c r="AO11" i="7"/>
  <c r="AO10" i="7"/>
  <c r="AO9" i="7"/>
  <c r="AO8" i="7"/>
  <c r="AO7" i="7"/>
  <c r="AK45" i="7"/>
  <c r="AL44" i="7"/>
  <c r="AL43" i="7"/>
  <c r="AL42" i="7"/>
  <c r="AL41" i="7"/>
  <c r="AL40" i="7"/>
  <c r="AL39" i="7"/>
  <c r="AL38" i="7"/>
  <c r="AL37" i="7"/>
  <c r="AL36" i="7"/>
  <c r="AL35" i="7"/>
  <c r="AL34" i="7"/>
  <c r="AL33" i="7"/>
  <c r="AL32" i="7"/>
  <c r="AL31" i="7"/>
  <c r="AL30" i="7"/>
  <c r="AL29" i="7"/>
  <c r="AL28" i="7"/>
  <c r="AL27" i="7"/>
  <c r="AL26" i="7"/>
  <c r="AL25" i="7"/>
  <c r="AL24" i="7"/>
  <c r="AL23" i="7"/>
  <c r="AL22" i="7"/>
  <c r="AL21" i="7"/>
  <c r="AL20" i="7"/>
  <c r="AL19" i="7"/>
  <c r="AL18" i="7"/>
  <c r="AL17" i="7"/>
  <c r="AL16" i="7"/>
  <c r="AL15" i="7"/>
  <c r="AL14" i="7"/>
  <c r="AL13" i="7"/>
  <c r="AL12" i="7"/>
  <c r="AL11" i="7"/>
  <c r="AL10" i="7"/>
  <c r="AL9" i="7"/>
  <c r="AL8" i="7"/>
  <c r="AL7" i="7"/>
  <c r="AH45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AI11" i="7"/>
  <c r="AI10" i="7"/>
  <c r="AI9" i="7"/>
  <c r="AI8" i="7"/>
  <c r="AI7" i="7"/>
  <c r="AE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Y45" i="7"/>
  <c r="Z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V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S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P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M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J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G45" i="7"/>
  <c r="H8" i="7"/>
  <c r="H9" i="7"/>
  <c r="H10" i="7"/>
  <c r="H11" i="7"/>
  <c r="H12" i="7"/>
  <c r="E12" i="7" s="1"/>
  <c r="H13" i="7"/>
  <c r="H14" i="7"/>
  <c r="H15" i="7"/>
  <c r="H16" i="7"/>
  <c r="H17" i="7"/>
  <c r="H18" i="7"/>
  <c r="H19" i="7"/>
  <c r="H20" i="7"/>
  <c r="E20" i="7" s="1"/>
  <c r="H21" i="7"/>
  <c r="H22" i="7"/>
  <c r="H23" i="7"/>
  <c r="H24" i="7"/>
  <c r="H25" i="7"/>
  <c r="H26" i="7"/>
  <c r="H27" i="7"/>
  <c r="H28" i="7"/>
  <c r="E28" i="7" s="1"/>
  <c r="H29" i="7"/>
  <c r="H30" i="7"/>
  <c r="H31" i="7"/>
  <c r="H32" i="7"/>
  <c r="H33" i="7"/>
  <c r="H34" i="7"/>
  <c r="H35" i="7"/>
  <c r="H36" i="7"/>
  <c r="E36" i="7" s="1"/>
  <c r="H37" i="7"/>
  <c r="H38" i="7"/>
  <c r="H39" i="7"/>
  <c r="H40" i="7"/>
  <c r="H41" i="7"/>
  <c r="H42" i="7"/>
  <c r="H43" i="7"/>
  <c r="H44" i="7"/>
  <c r="E44" i="7" s="1"/>
  <c r="H7" i="7"/>
  <c r="AB45" i="7"/>
  <c r="O45" i="7"/>
  <c r="R45" i="7"/>
  <c r="E34" i="7" l="1"/>
  <c r="E10" i="7"/>
  <c r="E25" i="7"/>
  <c r="E15" i="7"/>
  <c r="E39" i="7"/>
  <c r="C45" i="7"/>
  <c r="E42" i="7"/>
  <c r="E18" i="7"/>
  <c r="E33" i="7"/>
  <c r="E9" i="7"/>
  <c r="E23" i="7"/>
  <c r="E38" i="7"/>
  <c r="E30" i="7"/>
  <c r="E22" i="7"/>
  <c r="E14" i="7"/>
  <c r="E26" i="7"/>
  <c r="D45" i="7"/>
  <c r="E41" i="7"/>
  <c r="E17" i="7"/>
  <c r="E31" i="7"/>
  <c r="E7" i="7"/>
  <c r="E45" i="7" s="1"/>
  <c r="E37" i="7"/>
  <c r="E29" i="7"/>
  <c r="E21" i="7"/>
  <c r="E13" i="7"/>
  <c r="E8" i="7"/>
  <c r="E16" i="7"/>
  <c r="E24" i="7"/>
  <c r="E32" i="7"/>
  <c r="E40" i="7"/>
  <c r="E11" i="7"/>
  <c r="E19" i="7"/>
  <c r="E27" i="7"/>
  <c r="E35" i="7"/>
  <c r="E43" i="7"/>
  <c r="W45" i="7"/>
  <c r="AO45" i="7"/>
  <c r="N45" i="7"/>
  <c r="Q45" i="7"/>
  <c r="AF45" i="7"/>
  <c r="T45" i="7"/>
  <c r="AL45" i="7"/>
  <c r="AI45" i="7"/>
  <c r="K45" i="7"/>
  <c r="Z45" i="7"/>
  <c r="AC45" i="7"/>
  <c r="H45" i="7"/>
  <c r="AM45" i="7" l="1"/>
  <c r="AJ45" i="7"/>
  <c r="AG45" i="7"/>
  <c r="AD45" i="7" l="1"/>
  <c r="AA45" i="7"/>
  <c r="X45" i="7" l="1"/>
  <c r="U45" i="7" l="1"/>
  <c r="L45" i="7" l="1"/>
  <c r="I45" i="7" l="1"/>
  <c r="F45" i="7"/>
</calcChain>
</file>

<file path=xl/sharedStrings.xml><?xml version="1.0" encoding="utf-8"?>
<sst xmlns="http://schemas.openxmlformats.org/spreadsheetml/2006/main" count="84" uniqueCount="48">
  <si>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</si>
  <si>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</si>
  <si>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</si>
  <si>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</si>
  <si>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</si>
  <si>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</si>
  <si>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</si>
  <si>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</si>
  <si>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</si>
  <si>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</si>
  <si>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</si>
  <si>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</si>
  <si>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</si>
  <si>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</si>
  <si>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</si>
  <si>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</si>
  <si>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</si>
  <si>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</si>
  <si>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</si>
  <si>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</si>
  <si>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</si>
  <si>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</si>
  <si>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</si>
  <si>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</si>
  <si>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</si>
  <si>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</si>
  <si>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</si>
  <si>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</si>
  <si>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</si>
  <si>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</si>
  <si>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</si>
  <si>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</si>
  <si>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</si>
  <si>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Chhattisgarh</t>
  </si>
  <si>
    <t>Gujarat</t>
  </si>
  <si>
    <t>Maharashtra</t>
  </si>
  <si>
    <t>Andaman and Nicobar Islands</t>
  </si>
  <si>
    <t>State</t>
  </si>
  <si>
    <t>(Rs. In Crore)</t>
  </si>
  <si>
    <t>SETTLEMENT OF IGST WITH STATES/UTs</t>
  </si>
  <si>
    <t>Ladakh</t>
  </si>
  <si>
    <t>Grand Total</t>
  </si>
  <si>
    <t>FINANCIAL YEAR 2023-2024</t>
  </si>
  <si>
    <t>State CD</t>
  </si>
  <si>
    <t>Regular Settlement</t>
  </si>
  <si>
    <t>Adhoc Settlement</t>
  </si>
  <si>
    <t>Total</t>
  </si>
  <si>
    <t>Financial Year (2023-24)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</si>
</sst>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3" fontId="5" fillId="0" borderId="1" xfId="0" applyNumberFormat="1" applyFont="1" applyBorder="1"/>
    <xf numFmtId="0" fontId="7" fillId="0" borderId="1" xfId="0" applyFont="1" applyBorder="1"/>
    <xf numFmtId="43" fontId="8" fillId="0" borderId="1" xfId="1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7" fontId="6" fillId="0" borderId="0" xfId="0" applyNumberFormat="1" applyFont="1" applyAlignment="1">
      <alignment horizontal="center" vertical="center" wrapText="1"/>
    </xf>
    <xf numFmtId="43" fontId="5" fillId="0" borderId="0" xfId="0" applyNumberFormat="1" applyFont="1"/>
    <xf numFmtId="43" fontId="8" fillId="0" borderId="0" xfId="1" applyFont="1" applyBorder="1"/>
    <xf numFmtId="164" fontId="5" fillId="0" borderId="1" xfId="3" applyFont="1" applyBorder="1"/>
    <xf numFmtId="164" fontId="8" fillId="0" borderId="1" xfId="3" applyFont="1" applyBorder="1"/>
    <xf numFmtId="43" fontId="8" fillId="0" borderId="1" xfId="0" applyNumberFormat="1" applyFont="1" applyBorder="1"/>
    <xf numFmtId="17" fontId="9" fillId="0" borderId="0" xfId="0" applyNumberFormat="1" applyFont="1"/>
    <xf numFmtId="0" fontId="9" fillId="0" borderId="0" xfId="0" applyFont="1"/>
    <xf numFmtId="164" fontId="2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17" fontId="11" fillId="2" borderId="1" xfId="0" applyNumberFormat="1" applyFont="1" applyFill="1" applyBorder="1" applyAlignment="1">
      <alignment horizontal="center" vertical="center" wrapText="1"/>
    </xf>
    <xf numFmtId="17" fontId="11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7" fontId="10" fillId="3" borderId="1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7" fontId="10" fillId="3" borderId="2" xfId="0" applyNumberFormat="1" applyFont="1" applyFill="1" applyBorder="1" applyAlignment="1">
      <alignment horizontal="center" vertical="center" wrapText="1"/>
    </xf>
    <xf numFmtId="17" fontId="10" fillId="3" borderId="3" xfId="0" applyNumberFormat="1" applyFont="1" applyFill="1" applyBorder="1" applyAlignment="1">
      <alignment horizontal="center" vertical="center" wrapText="1"/>
    </xf>
    <xf numFmtId="17" fontId="10" fillId="3" borderId="4" xfId="0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Comma 2" xfId="1" xr:uid="{00000000-0005-0000-0000-000000000000}"/>
    <cellStyle name="Comma 3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5"/>
  <sheetViews>
    <sheetView tabSelected="1" zoomScale="68" zoomScaleNormal="85" workbookViewId="0">
      <pane ySplit="5" topLeftCell="A6" activePane="bottomLeft" state="frozen"/>
      <selection pane="bottomLeft" activeCell="I17" sqref="I17"/>
    </sheetView>
  </sheetViews>
  <sheetFormatPr defaultColWidth="8.77734375" defaultRowHeight="14.4" x14ac:dyDescent="0.3"/>
  <cols>
    <col min="1" max="1" width="6.77734375" bestFit="1" customWidth="1"/>
    <col min="2" max="2" width="26.44140625" bestFit="1" customWidth="1"/>
    <col min="3" max="41" width="12.77734375" customWidth="1"/>
    <col min="42" max="43" width="11.109375" customWidth="1"/>
  </cols>
  <sheetData>
    <row r="1" spans="1:43" ht="22.95" customHeight="1" x14ac:dyDescent="0.3">
      <c r="A1" s="23" t="s">
        <v>39</v>
      </c>
      <c r="B1" s="23"/>
      <c r="C1" s="23"/>
      <c r="D1" s="23"/>
      <c r="E1" s="23"/>
      <c r="F1" s="23"/>
      <c r="G1" s="23"/>
      <c r="H1" s="23"/>
      <c r="I1" s="23"/>
      <c r="J1" s="9"/>
      <c r="K1" s="9"/>
      <c r="M1" s="9"/>
      <c r="N1" s="9"/>
    </row>
    <row r="2" spans="1:43" ht="22.95" customHeight="1" x14ac:dyDescent="0.35">
      <c r="A2" s="1"/>
      <c r="B2" s="1"/>
      <c r="C2" s="1"/>
      <c r="D2" s="1"/>
      <c r="E2" s="1"/>
      <c r="F2" s="1" t="s">
        <v>38</v>
      </c>
      <c r="G2" s="1"/>
      <c r="H2" s="1"/>
      <c r="I2" s="1"/>
      <c r="J2" s="1"/>
      <c r="K2" s="17"/>
      <c r="L2" s="18"/>
      <c r="M2" s="18"/>
      <c r="N2" s="17"/>
      <c r="O2" s="18"/>
      <c r="P2" s="18"/>
      <c r="Q2" s="17"/>
      <c r="R2" s="18"/>
      <c r="S2" s="18"/>
    </row>
    <row r="3" spans="1:43" ht="22.95" customHeight="1" x14ac:dyDescent="0.35">
      <c r="A3" s="24" t="s">
        <v>42</v>
      </c>
      <c r="B3" s="24"/>
      <c r="C3" s="10"/>
      <c r="D3" s="10"/>
      <c r="E3" s="10"/>
      <c r="F3" s="1"/>
      <c r="G3" s="1"/>
      <c r="H3" s="1"/>
      <c r="K3" s="11"/>
      <c r="L3" s="11"/>
      <c r="M3" s="11"/>
      <c r="N3" s="11"/>
      <c r="O3" s="11"/>
      <c r="P3" s="11"/>
      <c r="Q3" s="11"/>
      <c r="R3" s="11"/>
      <c r="S3" s="11"/>
    </row>
    <row r="5" spans="1:43" ht="37.799999999999997" customHeight="1" x14ac:dyDescent="0.3">
      <c r="C5" s="26" t="s">
        <v>47</v>
      </c>
      <c r="D5" s="27"/>
      <c r="E5" s="28"/>
      <c r="F5" s="29">
        <v>45017</v>
      </c>
      <c r="G5" s="30"/>
      <c r="H5" s="31"/>
      <c r="I5" s="29">
        <v>45047</v>
      </c>
      <c r="J5" s="30"/>
      <c r="K5" s="31"/>
      <c r="L5" s="29">
        <v>45078</v>
      </c>
      <c r="M5" s="30"/>
      <c r="N5" s="31"/>
      <c r="O5" s="25">
        <v>45108</v>
      </c>
      <c r="P5" s="25"/>
      <c r="Q5" s="25"/>
      <c r="R5" s="25">
        <v>45139</v>
      </c>
      <c r="S5" s="25"/>
      <c r="T5" s="25"/>
      <c r="U5" s="25">
        <v>45170</v>
      </c>
      <c r="V5" s="25"/>
      <c r="W5" s="25"/>
      <c r="X5" s="25">
        <v>45200</v>
      </c>
      <c r="Y5" s="25"/>
      <c r="Z5" s="25"/>
      <c r="AA5" s="25">
        <v>45231</v>
      </c>
      <c r="AB5" s="25"/>
      <c r="AC5" s="25"/>
      <c r="AD5" s="25">
        <v>45261</v>
      </c>
      <c r="AE5" s="25"/>
      <c r="AF5" s="25"/>
      <c r="AG5" s="25">
        <v>45292</v>
      </c>
      <c r="AH5" s="25"/>
      <c r="AI5" s="25"/>
      <c r="AJ5" s="25">
        <v>45323</v>
      </c>
      <c r="AK5" s="25"/>
      <c r="AL5" s="25"/>
      <c r="AM5" s="25">
        <v>45352</v>
      </c>
      <c r="AN5" s="25"/>
      <c r="AO5" s="25"/>
      <c r="AP5" s="11"/>
      <c r="AQ5" s="11"/>
    </row>
    <row r="6" spans="1:43" ht="37.799999999999997" customHeight="1" x14ac:dyDescent="0.3">
      <c r="A6" s="21" t="s">
        <v>43</v>
      </c>
      <c r="B6" s="21" t="s">
        <v>37</v>
      </c>
      <c r="C6" s="21" t="s">
        <v>44</v>
      </c>
      <c r="D6" s="21" t="s">
        <v>45</v>
      </c>
      <c r="E6" s="21" t="s">
        <v>46</v>
      </c>
      <c r="F6" s="22" t="s">
        <v>44</v>
      </c>
      <c r="G6" s="22" t="s">
        <v>45</v>
      </c>
      <c r="H6" s="22" t="s">
        <v>46</v>
      </c>
      <c r="I6" s="22" t="s">
        <v>44</v>
      </c>
      <c r="J6" s="22" t="s">
        <v>45</v>
      </c>
      <c r="K6" s="22" t="s">
        <v>46</v>
      </c>
      <c r="L6" s="22" t="s">
        <v>44</v>
      </c>
      <c r="M6" s="22" t="s">
        <v>45</v>
      </c>
      <c r="N6" s="22" t="s">
        <v>46</v>
      </c>
      <c r="O6" s="22" t="s">
        <v>44</v>
      </c>
      <c r="P6" s="22" t="s">
        <v>45</v>
      </c>
      <c r="Q6" s="22" t="s">
        <v>46</v>
      </c>
      <c r="R6" s="22" t="s">
        <v>44</v>
      </c>
      <c r="S6" s="22" t="s">
        <v>45</v>
      </c>
      <c r="T6" s="22" t="s">
        <v>46</v>
      </c>
      <c r="U6" s="22" t="s">
        <v>44</v>
      </c>
      <c r="V6" s="22" t="s">
        <v>45</v>
      </c>
      <c r="W6" s="22" t="s">
        <v>46</v>
      </c>
      <c r="X6" s="22" t="s">
        <v>44</v>
      </c>
      <c r="Y6" s="22" t="s">
        <v>45</v>
      </c>
      <c r="Z6" s="22" t="s">
        <v>46</v>
      </c>
      <c r="AA6" s="22" t="s">
        <v>44</v>
      </c>
      <c r="AB6" s="22" t="s">
        <v>45</v>
      </c>
      <c r="AC6" s="22" t="s">
        <v>46</v>
      </c>
      <c r="AD6" s="22" t="s">
        <v>44</v>
      </c>
      <c r="AE6" s="22" t="s">
        <v>45</v>
      </c>
      <c r="AF6" s="22" t="s">
        <v>46</v>
      </c>
      <c r="AG6" s="22" t="s">
        <v>44</v>
      </c>
      <c r="AH6" s="22" t="s">
        <v>45</v>
      </c>
      <c r="AI6" s="22" t="s">
        <v>46</v>
      </c>
      <c r="AJ6" s="22" t="s">
        <v>44</v>
      </c>
      <c r="AK6" s="22" t="s">
        <v>45</v>
      </c>
      <c r="AL6" s="22" t="s">
        <v>46</v>
      </c>
      <c r="AM6" s="22" t="s">
        <v>44</v>
      </c>
      <c r="AN6" s="22" t="s">
        <v>45</v>
      </c>
      <c r="AO6" s="22" t="s">
        <v>46</v>
      </c>
      <c r="AP6" s="11"/>
      <c r="AQ6" s="11"/>
    </row>
    <row r="7" spans="1:43" x14ac:dyDescent="0.3">
      <c r="A7" s="4">
        <v>1</v>
      </c>
      <c r="B7" s="2" t="s">
        <v>0</v>
      </c>
      <c r="C7" s="19">
        <f>F7+I7+L7+O7+R7+U7+X7+AA7+AD7+AG7+AJ7+AM7</f>
        <v>5247.94678922</v>
      </c>
      <c r="D7" s="19">
        <f t="shared" ref="D7:E7" si="0">G7+J7+M7+P7+S7+V7+Y7+AB7+AE7+AH7+AK7+AN7</f>
        <v>-99.9</v>
      </c>
      <c r="E7" s="19">
        <f t="shared" si="0"/>
        <v>5148.0467892200004</v>
      </c>
      <c r="F7" s="14">
        <v>523.80074163899997</v>
      </c>
      <c r="G7" s="14">
        <v>0</v>
      </c>
      <c r="H7" s="14">
        <f>F7+G7</f>
        <v>523.80074163899997</v>
      </c>
      <c r="I7" s="6">
        <v>383.05</v>
      </c>
      <c r="J7" s="14">
        <v>0</v>
      </c>
      <c r="K7" s="14">
        <f>I7+J7</f>
        <v>383.05</v>
      </c>
      <c r="L7" s="6">
        <v>417.84878911099997</v>
      </c>
      <c r="M7" s="14">
        <v>0</v>
      </c>
      <c r="N7" s="14">
        <f>L7+M7</f>
        <v>417.84878911099997</v>
      </c>
      <c r="O7" s="6">
        <v>428.51877390699997</v>
      </c>
      <c r="P7" s="14">
        <v>0</v>
      </c>
      <c r="Q7" s="14">
        <f>O7+P7</f>
        <v>428.51877390699997</v>
      </c>
      <c r="R7" s="6">
        <v>419.99705906200006</v>
      </c>
      <c r="S7" s="14">
        <v>0</v>
      </c>
      <c r="T7" s="14">
        <f>R7+S7</f>
        <v>419.99705906200006</v>
      </c>
      <c r="U7" s="6">
        <v>413.82336317699998</v>
      </c>
      <c r="V7" s="14">
        <v>0</v>
      </c>
      <c r="W7" s="14">
        <f>U7+V7</f>
        <v>413.82336317699998</v>
      </c>
      <c r="X7" s="6">
        <v>467.99056474400004</v>
      </c>
      <c r="Y7" s="14">
        <v>0</v>
      </c>
      <c r="Z7" s="14">
        <f>X7+Y7</f>
        <v>467.99056474400004</v>
      </c>
      <c r="AA7" s="6">
        <v>451.39531954300003</v>
      </c>
      <c r="AB7" s="6">
        <v>-99.9</v>
      </c>
      <c r="AC7" s="6">
        <f>AA7+AB7</f>
        <v>351.49531954300005</v>
      </c>
      <c r="AD7" s="6">
        <v>426.08520649000002</v>
      </c>
      <c r="AE7" s="14">
        <v>0</v>
      </c>
      <c r="AF7" s="14">
        <f>AD7+AE7</f>
        <v>426.08520649000002</v>
      </c>
      <c r="AG7" s="6">
        <v>473.74983704100009</v>
      </c>
      <c r="AH7" s="14">
        <v>0</v>
      </c>
      <c r="AI7" s="14">
        <f>AG7+AH7</f>
        <v>473.74983704100009</v>
      </c>
      <c r="AJ7" s="6">
        <v>428.44635214699997</v>
      </c>
      <c r="AK7" s="14">
        <v>0</v>
      </c>
      <c r="AL7" s="14">
        <f>AJ7+AK7</f>
        <v>428.44635214699997</v>
      </c>
      <c r="AM7" s="6">
        <v>413.24078235900004</v>
      </c>
      <c r="AN7" s="14">
        <v>0</v>
      </c>
      <c r="AO7" s="14">
        <f>AM7+AN7</f>
        <v>413.24078235900004</v>
      </c>
      <c r="AP7" s="12"/>
      <c r="AQ7" s="12"/>
    </row>
    <row r="8" spans="1:43" x14ac:dyDescent="0.3">
      <c r="A8" s="4">
        <v>2</v>
      </c>
      <c r="B8" s="2" t="s">
        <v>1</v>
      </c>
      <c r="C8" s="19">
        <f t="shared" ref="C8:C44" si="1">F8+I8+L8+O8+R8+U8+X8+AA8+AD8+AG8+AJ8+AM8</f>
        <v>3047.9993973080004</v>
      </c>
      <c r="D8" s="19">
        <f t="shared" ref="D8:D44" si="2">G8+J8+M8+P8+S8+V8+Y8+AB8+AE8+AH8+AK8+AN8</f>
        <v>-61.2</v>
      </c>
      <c r="E8" s="19">
        <f t="shared" ref="E8:E44" si="3">H8+K8+N8+Q8+T8+W8+Z8+AC8+AF8+AI8+AL8+AO8</f>
        <v>2986.7993973080006</v>
      </c>
      <c r="F8" s="14">
        <v>320.52384222100005</v>
      </c>
      <c r="G8" s="14">
        <v>0</v>
      </c>
      <c r="H8" s="14">
        <f t="shared" ref="H8:H44" si="4">F8+G8</f>
        <v>320.52384222100005</v>
      </c>
      <c r="I8" s="6">
        <v>245.88</v>
      </c>
      <c r="J8" s="14">
        <v>0</v>
      </c>
      <c r="K8" s="14">
        <f t="shared" ref="K8:K44" si="5">I8+J8</f>
        <v>245.88</v>
      </c>
      <c r="L8" s="6">
        <v>222.34629376800004</v>
      </c>
      <c r="M8" s="14">
        <v>0</v>
      </c>
      <c r="N8" s="14">
        <f t="shared" ref="N8:N44" si="6">L8+M8</f>
        <v>222.34629376800004</v>
      </c>
      <c r="O8" s="6">
        <v>285.30752208299998</v>
      </c>
      <c r="P8" s="14">
        <v>0</v>
      </c>
      <c r="Q8" s="14">
        <f t="shared" ref="Q8:Q44" si="7">O8+P8</f>
        <v>285.30752208299998</v>
      </c>
      <c r="R8" s="6">
        <v>210.31263750599999</v>
      </c>
      <c r="S8" s="14">
        <v>0</v>
      </c>
      <c r="T8" s="14">
        <f t="shared" ref="T8:T44" si="8">R8+S8</f>
        <v>210.31263750599999</v>
      </c>
      <c r="U8" s="6">
        <v>179.32303272799999</v>
      </c>
      <c r="V8" s="14">
        <v>0</v>
      </c>
      <c r="W8" s="14">
        <f t="shared" ref="W8:W44" si="9">U8+V8</f>
        <v>179.32303272799999</v>
      </c>
      <c r="X8" s="6">
        <v>292.76062655300001</v>
      </c>
      <c r="Y8" s="14">
        <v>0</v>
      </c>
      <c r="Z8" s="14">
        <f t="shared" ref="Z8:Z44" si="10">X8+Y8</f>
        <v>292.76062655300001</v>
      </c>
      <c r="AA8" s="6">
        <v>274.65244019099998</v>
      </c>
      <c r="AB8" s="6">
        <v>-61.2</v>
      </c>
      <c r="AC8" s="6">
        <f t="shared" ref="AC8:AC44" si="11">AA8+AB8</f>
        <v>213.45244019099999</v>
      </c>
      <c r="AD8" s="6">
        <v>260.977311106</v>
      </c>
      <c r="AE8" s="14">
        <v>0</v>
      </c>
      <c r="AF8" s="14">
        <f t="shared" ref="AF8:AF44" si="12">AD8+AE8</f>
        <v>260.977311106</v>
      </c>
      <c r="AG8" s="6">
        <v>313.39764734200003</v>
      </c>
      <c r="AH8" s="14">
        <v>0</v>
      </c>
      <c r="AI8" s="14">
        <f t="shared" ref="AI8:AI44" si="13">AG8+AH8</f>
        <v>313.39764734200003</v>
      </c>
      <c r="AJ8" s="6">
        <v>222.58372876999999</v>
      </c>
      <c r="AK8" s="14">
        <v>0</v>
      </c>
      <c r="AL8" s="14">
        <f t="shared" ref="AL8:AL44" si="14">AJ8+AK8</f>
        <v>222.58372876999999</v>
      </c>
      <c r="AM8" s="6">
        <v>219.93431504</v>
      </c>
      <c r="AN8" s="14">
        <v>0</v>
      </c>
      <c r="AO8" s="14">
        <f t="shared" ref="AO8:AO44" si="15">AM8+AN8</f>
        <v>219.93431504</v>
      </c>
      <c r="AP8" s="12"/>
      <c r="AQ8" s="12"/>
    </row>
    <row r="9" spans="1:43" x14ac:dyDescent="0.3">
      <c r="A9" s="4">
        <v>3</v>
      </c>
      <c r="B9" s="2" t="s">
        <v>2</v>
      </c>
      <c r="C9" s="19">
        <f t="shared" si="1"/>
        <v>13960.650216313001</v>
      </c>
      <c r="D9" s="19">
        <f t="shared" si="2"/>
        <v>-260.10000000000002</v>
      </c>
      <c r="E9" s="19">
        <f t="shared" si="3"/>
        <v>13700.550216313</v>
      </c>
      <c r="F9" s="14">
        <v>1230.0012358560002</v>
      </c>
      <c r="G9" s="14">
        <v>0</v>
      </c>
      <c r="H9" s="14">
        <f t="shared" si="4"/>
        <v>1230.0012358560002</v>
      </c>
      <c r="I9" s="6">
        <v>966.17</v>
      </c>
      <c r="J9" s="14">
        <v>0</v>
      </c>
      <c r="K9" s="14">
        <f t="shared" si="5"/>
        <v>966.17</v>
      </c>
      <c r="L9" s="6">
        <v>961.45072144799997</v>
      </c>
      <c r="M9" s="14">
        <v>0</v>
      </c>
      <c r="N9" s="14">
        <f t="shared" si="6"/>
        <v>961.45072144799997</v>
      </c>
      <c r="O9" s="6">
        <v>1137.8809511510001</v>
      </c>
      <c r="P9" s="14">
        <v>0</v>
      </c>
      <c r="Q9" s="14">
        <f t="shared" si="7"/>
        <v>1137.8809511510001</v>
      </c>
      <c r="R9" s="6">
        <v>1201.2932535770001</v>
      </c>
      <c r="S9" s="14">
        <v>0</v>
      </c>
      <c r="T9" s="14">
        <f t="shared" si="8"/>
        <v>1201.2932535770001</v>
      </c>
      <c r="U9" s="6">
        <v>1156.2576871399999</v>
      </c>
      <c r="V9" s="14">
        <v>0</v>
      </c>
      <c r="W9" s="14">
        <f t="shared" si="9"/>
        <v>1156.2576871399999</v>
      </c>
      <c r="X9" s="6">
        <v>1559.1680878310001</v>
      </c>
      <c r="Y9" s="14">
        <v>0</v>
      </c>
      <c r="Z9" s="14">
        <f t="shared" si="10"/>
        <v>1559.1680878310001</v>
      </c>
      <c r="AA9" s="6">
        <v>1170.5034104399999</v>
      </c>
      <c r="AB9" s="6">
        <v>-260.10000000000002</v>
      </c>
      <c r="AC9" s="6">
        <f t="shared" si="11"/>
        <v>910.4034104399999</v>
      </c>
      <c r="AD9" s="6">
        <v>979.45443248800029</v>
      </c>
      <c r="AE9" s="14">
        <v>0</v>
      </c>
      <c r="AF9" s="14">
        <f t="shared" si="12"/>
        <v>979.45443248800029</v>
      </c>
      <c r="AG9" s="6">
        <v>1183.1252796630001</v>
      </c>
      <c r="AH9" s="14">
        <v>0</v>
      </c>
      <c r="AI9" s="14">
        <f t="shared" si="13"/>
        <v>1183.1252796630001</v>
      </c>
      <c r="AJ9" s="6">
        <v>1265.347085157</v>
      </c>
      <c r="AK9" s="14">
        <v>0</v>
      </c>
      <c r="AL9" s="14">
        <f t="shared" si="14"/>
        <v>1265.347085157</v>
      </c>
      <c r="AM9" s="6">
        <v>1149.998071562</v>
      </c>
      <c r="AN9" s="14">
        <v>0</v>
      </c>
      <c r="AO9" s="14">
        <f t="shared" si="15"/>
        <v>1149.998071562</v>
      </c>
      <c r="AP9" s="12"/>
      <c r="AQ9" s="12"/>
    </row>
    <row r="10" spans="1:43" x14ac:dyDescent="0.3">
      <c r="A10" s="4">
        <v>4</v>
      </c>
      <c r="B10" s="2" t="s">
        <v>3</v>
      </c>
      <c r="C10" s="19">
        <f t="shared" si="1"/>
        <v>1657.8055001130001</v>
      </c>
      <c r="D10" s="19">
        <f t="shared" si="2"/>
        <v>-32.4</v>
      </c>
      <c r="E10" s="19">
        <f t="shared" si="3"/>
        <v>1625.405500113</v>
      </c>
      <c r="F10" s="14">
        <v>151.26207112099999</v>
      </c>
      <c r="G10" s="14">
        <v>0</v>
      </c>
      <c r="H10" s="14">
        <f t="shared" si="4"/>
        <v>151.26207112099999</v>
      </c>
      <c r="I10" s="6">
        <v>119.44</v>
      </c>
      <c r="J10" s="14">
        <v>0</v>
      </c>
      <c r="K10" s="14">
        <f t="shared" si="5"/>
        <v>119.44</v>
      </c>
      <c r="L10" s="6">
        <v>122.213080077</v>
      </c>
      <c r="M10" s="14">
        <v>0</v>
      </c>
      <c r="N10" s="14">
        <f t="shared" si="6"/>
        <v>122.213080077</v>
      </c>
      <c r="O10" s="6">
        <v>133.34892931500002</v>
      </c>
      <c r="P10" s="14">
        <v>0</v>
      </c>
      <c r="Q10" s="14">
        <f t="shared" si="7"/>
        <v>133.34892931500002</v>
      </c>
      <c r="R10" s="6">
        <v>119.13818712500003</v>
      </c>
      <c r="S10" s="14">
        <v>0</v>
      </c>
      <c r="T10" s="14">
        <f t="shared" si="8"/>
        <v>119.13818712500003</v>
      </c>
      <c r="U10" s="6">
        <v>166.50008790700002</v>
      </c>
      <c r="V10" s="14">
        <v>0</v>
      </c>
      <c r="W10" s="14">
        <f t="shared" si="9"/>
        <v>166.50008790700002</v>
      </c>
      <c r="X10" s="6">
        <v>141.35017822499998</v>
      </c>
      <c r="Y10" s="14">
        <v>0</v>
      </c>
      <c r="Z10" s="14">
        <f t="shared" si="10"/>
        <v>141.35017822499998</v>
      </c>
      <c r="AA10" s="6">
        <v>145.83785540700001</v>
      </c>
      <c r="AB10" s="6">
        <v>-32.4</v>
      </c>
      <c r="AC10" s="6">
        <f t="shared" si="11"/>
        <v>113.437855407</v>
      </c>
      <c r="AD10" s="6">
        <v>145.59447522600001</v>
      </c>
      <c r="AE10" s="14">
        <v>0</v>
      </c>
      <c r="AF10" s="14">
        <f t="shared" si="12"/>
        <v>145.59447522600001</v>
      </c>
      <c r="AG10" s="6">
        <v>143.808805439</v>
      </c>
      <c r="AH10" s="14">
        <v>0</v>
      </c>
      <c r="AI10" s="14">
        <f t="shared" si="13"/>
        <v>143.808805439</v>
      </c>
      <c r="AJ10" s="6">
        <v>134.61927264000002</v>
      </c>
      <c r="AK10" s="14">
        <v>0</v>
      </c>
      <c r="AL10" s="14">
        <f t="shared" si="14"/>
        <v>134.61927264000002</v>
      </c>
      <c r="AM10" s="6">
        <v>134.69255763100003</v>
      </c>
      <c r="AN10" s="14">
        <v>0</v>
      </c>
      <c r="AO10" s="14">
        <f t="shared" si="15"/>
        <v>134.69255763100003</v>
      </c>
      <c r="AP10" s="12"/>
      <c r="AQ10" s="12"/>
    </row>
    <row r="11" spans="1:43" x14ac:dyDescent="0.3">
      <c r="A11" s="4">
        <v>5</v>
      </c>
      <c r="B11" s="2" t="s">
        <v>4</v>
      </c>
      <c r="C11" s="19">
        <f t="shared" si="1"/>
        <v>3047.0762122679998</v>
      </c>
      <c r="D11" s="19">
        <f t="shared" si="2"/>
        <v>-59.4</v>
      </c>
      <c r="E11" s="19">
        <f t="shared" si="3"/>
        <v>2987.6762122679997</v>
      </c>
      <c r="F11" s="14">
        <v>301.173919985</v>
      </c>
      <c r="G11" s="14">
        <v>0</v>
      </c>
      <c r="H11" s="14">
        <f t="shared" si="4"/>
        <v>301.173919985</v>
      </c>
      <c r="I11" s="6">
        <v>254.15</v>
      </c>
      <c r="J11" s="14">
        <v>0</v>
      </c>
      <c r="K11" s="14">
        <f t="shared" si="5"/>
        <v>254.15</v>
      </c>
      <c r="L11" s="6">
        <v>221.64085106800007</v>
      </c>
      <c r="M11" s="14">
        <v>0</v>
      </c>
      <c r="N11" s="14">
        <f t="shared" si="6"/>
        <v>221.64085106800007</v>
      </c>
      <c r="O11" s="6">
        <v>210.15043277900006</v>
      </c>
      <c r="P11" s="14">
        <v>0</v>
      </c>
      <c r="Q11" s="14">
        <f t="shared" si="7"/>
        <v>210.15043277900006</v>
      </c>
      <c r="R11" s="6">
        <v>254.87099707500005</v>
      </c>
      <c r="S11" s="14">
        <v>0</v>
      </c>
      <c r="T11" s="14">
        <f t="shared" si="8"/>
        <v>254.87099707500005</v>
      </c>
      <c r="U11" s="6">
        <v>223.65766796499997</v>
      </c>
      <c r="V11" s="14">
        <v>0</v>
      </c>
      <c r="W11" s="14">
        <f t="shared" si="9"/>
        <v>223.65766796499997</v>
      </c>
      <c r="X11" s="6">
        <v>285.53679543000004</v>
      </c>
      <c r="Y11" s="14">
        <v>0</v>
      </c>
      <c r="Z11" s="14">
        <f t="shared" si="10"/>
        <v>285.53679543000004</v>
      </c>
      <c r="AA11" s="6">
        <v>268.98182839200007</v>
      </c>
      <c r="AB11" s="6">
        <v>-59.4</v>
      </c>
      <c r="AC11" s="6">
        <f t="shared" si="11"/>
        <v>209.58182839200006</v>
      </c>
      <c r="AD11" s="6">
        <v>280.71294924099993</v>
      </c>
      <c r="AE11" s="14">
        <v>0</v>
      </c>
      <c r="AF11" s="14">
        <f t="shared" si="12"/>
        <v>280.71294924099993</v>
      </c>
      <c r="AG11" s="6">
        <v>301.78984628400002</v>
      </c>
      <c r="AH11" s="14">
        <v>0</v>
      </c>
      <c r="AI11" s="14">
        <f t="shared" si="13"/>
        <v>301.78984628400002</v>
      </c>
      <c r="AJ11" s="6">
        <v>230.76202234699997</v>
      </c>
      <c r="AK11" s="14">
        <v>0</v>
      </c>
      <c r="AL11" s="14">
        <f t="shared" si="14"/>
        <v>230.76202234699997</v>
      </c>
      <c r="AM11" s="6">
        <v>213.64890170200002</v>
      </c>
      <c r="AN11" s="14">
        <v>0</v>
      </c>
      <c r="AO11" s="14">
        <f t="shared" si="15"/>
        <v>213.64890170200002</v>
      </c>
      <c r="AP11" s="12"/>
      <c r="AQ11" s="12"/>
    </row>
    <row r="12" spans="1:43" x14ac:dyDescent="0.3">
      <c r="A12" s="4">
        <v>6</v>
      </c>
      <c r="B12" s="2" t="s">
        <v>5</v>
      </c>
      <c r="C12" s="19">
        <f t="shared" si="1"/>
        <v>14852.153044184997</v>
      </c>
      <c r="D12" s="19">
        <f t="shared" si="2"/>
        <v>-285.3</v>
      </c>
      <c r="E12" s="19">
        <f t="shared" si="3"/>
        <v>14566.853044184998</v>
      </c>
      <c r="F12" s="14">
        <v>1570.2414541539997</v>
      </c>
      <c r="G12" s="14">
        <v>0</v>
      </c>
      <c r="H12" s="14">
        <f t="shared" si="4"/>
        <v>1570.2414541539997</v>
      </c>
      <c r="I12" s="6">
        <v>1024.1099999999999</v>
      </c>
      <c r="J12" s="14">
        <v>0</v>
      </c>
      <c r="K12" s="14">
        <f t="shared" si="5"/>
        <v>1024.1099999999999</v>
      </c>
      <c r="L12" s="6">
        <v>1153.7980179090002</v>
      </c>
      <c r="M12" s="14">
        <v>0</v>
      </c>
      <c r="N12" s="14">
        <f t="shared" si="6"/>
        <v>1153.7980179090002</v>
      </c>
      <c r="O12" s="6">
        <v>1256.306135022</v>
      </c>
      <c r="P12" s="14">
        <v>0</v>
      </c>
      <c r="Q12" s="14">
        <f t="shared" si="7"/>
        <v>1256.306135022</v>
      </c>
      <c r="R12" s="6">
        <v>1094.2242110679999</v>
      </c>
      <c r="S12" s="14">
        <v>0</v>
      </c>
      <c r="T12" s="14">
        <f t="shared" si="8"/>
        <v>1094.2242110679999</v>
      </c>
      <c r="U12" s="6">
        <v>1198.8984508859999</v>
      </c>
      <c r="V12" s="14">
        <v>0</v>
      </c>
      <c r="W12" s="14">
        <f t="shared" si="9"/>
        <v>1198.8984508859999</v>
      </c>
      <c r="X12" s="6">
        <v>1423.542718789</v>
      </c>
      <c r="Y12" s="14">
        <v>0</v>
      </c>
      <c r="Z12" s="14">
        <f t="shared" si="10"/>
        <v>1423.542718789</v>
      </c>
      <c r="AA12" s="6">
        <v>1283.130725841</v>
      </c>
      <c r="AB12" s="6">
        <v>-285.3</v>
      </c>
      <c r="AC12" s="6">
        <f t="shared" si="11"/>
        <v>997.830725841</v>
      </c>
      <c r="AD12" s="6">
        <v>1021.4371305980002</v>
      </c>
      <c r="AE12" s="14">
        <v>0</v>
      </c>
      <c r="AF12" s="14">
        <f t="shared" si="12"/>
        <v>1021.4371305980002</v>
      </c>
      <c r="AG12" s="6">
        <v>1365.0377735219997</v>
      </c>
      <c r="AH12" s="14">
        <v>0</v>
      </c>
      <c r="AI12" s="14">
        <f t="shared" si="13"/>
        <v>1365.0377735219997</v>
      </c>
      <c r="AJ12" s="6">
        <v>1301.8010552510002</v>
      </c>
      <c r="AK12" s="14">
        <v>0</v>
      </c>
      <c r="AL12" s="14">
        <f t="shared" si="14"/>
        <v>1301.8010552510002</v>
      </c>
      <c r="AM12" s="6">
        <v>1159.6253711449999</v>
      </c>
      <c r="AN12" s="14">
        <v>0</v>
      </c>
      <c r="AO12" s="14">
        <f t="shared" si="15"/>
        <v>1159.6253711449999</v>
      </c>
      <c r="AP12" s="12"/>
      <c r="AQ12" s="12"/>
    </row>
    <row r="13" spans="1:43" x14ac:dyDescent="0.3">
      <c r="A13" s="4">
        <v>7</v>
      </c>
      <c r="B13" s="2" t="s">
        <v>6</v>
      </c>
      <c r="C13" s="19">
        <f t="shared" si="1"/>
        <v>16850.290848922999</v>
      </c>
      <c r="D13" s="19">
        <f t="shared" si="2"/>
        <v>-332.1</v>
      </c>
      <c r="E13" s="19">
        <f t="shared" si="3"/>
        <v>16518.190848922997</v>
      </c>
      <c r="F13" s="14">
        <v>1675.1969829270001</v>
      </c>
      <c r="G13" s="14">
        <v>0</v>
      </c>
      <c r="H13" s="14">
        <f t="shared" si="4"/>
        <v>1675.1969829270001</v>
      </c>
      <c r="I13" s="6">
        <v>1243.93</v>
      </c>
      <c r="J13" s="14">
        <v>0</v>
      </c>
      <c r="K13" s="14">
        <f t="shared" si="5"/>
        <v>1243.93</v>
      </c>
      <c r="L13" s="6">
        <v>1136.9549985579999</v>
      </c>
      <c r="M13" s="14">
        <v>0</v>
      </c>
      <c r="N13" s="14">
        <f t="shared" si="6"/>
        <v>1136.9549985579999</v>
      </c>
      <c r="O13" s="6">
        <v>1605.6041903</v>
      </c>
      <c r="P13" s="14">
        <v>0</v>
      </c>
      <c r="Q13" s="14">
        <f t="shared" si="7"/>
        <v>1605.6041903</v>
      </c>
      <c r="R13" s="6">
        <v>1208.6240044569997</v>
      </c>
      <c r="S13" s="14">
        <v>0</v>
      </c>
      <c r="T13" s="14">
        <f t="shared" si="8"/>
        <v>1208.6240044569997</v>
      </c>
      <c r="U13" s="6">
        <v>1151.3207658859999</v>
      </c>
      <c r="V13" s="14">
        <v>0</v>
      </c>
      <c r="W13" s="14">
        <f t="shared" si="9"/>
        <v>1151.3207658859999</v>
      </c>
      <c r="X13" s="6">
        <v>1512.1961524769999</v>
      </c>
      <c r="Y13" s="14">
        <v>0</v>
      </c>
      <c r="Z13" s="14">
        <f t="shared" si="10"/>
        <v>1512.1961524769999</v>
      </c>
      <c r="AA13" s="6">
        <v>1495.8909503429998</v>
      </c>
      <c r="AB13" s="6">
        <v>-332.1</v>
      </c>
      <c r="AC13" s="6">
        <f t="shared" si="11"/>
        <v>1163.7909503429996</v>
      </c>
      <c r="AD13" s="6">
        <v>1368.5355669959997</v>
      </c>
      <c r="AE13" s="14">
        <v>0</v>
      </c>
      <c r="AF13" s="14">
        <f t="shared" si="12"/>
        <v>1368.5355669959997</v>
      </c>
      <c r="AG13" s="6">
        <v>1539.0895607170003</v>
      </c>
      <c r="AH13" s="14">
        <v>0</v>
      </c>
      <c r="AI13" s="14">
        <f t="shared" si="13"/>
        <v>1539.0895607170003</v>
      </c>
      <c r="AJ13" s="6">
        <v>1346.9621073849999</v>
      </c>
      <c r="AK13" s="14">
        <v>0</v>
      </c>
      <c r="AL13" s="14">
        <f t="shared" si="14"/>
        <v>1346.9621073849999</v>
      </c>
      <c r="AM13" s="6">
        <v>1565.9855688769999</v>
      </c>
      <c r="AN13" s="14">
        <v>0</v>
      </c>
      <c r="AO13" s="14">
        <f t="shared" si="15"/>
        <v>1565.9855688769999</v>
      </c>
      <c r="AP13" s="12"/>
      <c r="AQ13" s="12"/>
    </row>
    <row r="14" spans="1:43" x14ac:dyDescent="0.3">
      <c r="A14" s="4">
        <v>8</v>
      </c>
      <c r="B14" s="2" t="s">
        <v>7</v>
      </c>
      <c r="C14" s="19">
        <f t="shared" si="1"/>
        <v>22076.653193870003</v>
      </c>
      <c r="D14" s="19">
        <f t="shared" si="2"/>
        <v>-468</v>
      </c>
      <c r="E14" s="19">
        <f t="shared" si="3"/>
        <v>21608.653193869999</v>
      </c>
      <c r="F14" s="14">
        <v>2155.4015935980005</v>
      </c>
      <c r="G14" s="14">
        <v>0</v>
      </c>
      <c r="H14" s="14">
        <f t="shared" si="4"/>
        <v>2155.4015935980005</v>
      </c>
      <c r="I14" s="6">
        <v>1634.49</v>
      </c>
      <c r="J14" s="14">
        <v>0</v>
      </c>
      <c r="K14" s="14">
        <f t="shared" si="5"/>
        <v>1634.49</v>
      </c>
      <c r="L14" s="6">
        <v>1554.7601849159998</v>
      </c>
      <c r="M14" s="14">
        <v>0</v>
      </c>
      <c r="N14" s="14">
        <f t="shared" si="6"/>
        <v>1554.7601849159998</v>
      </c>
      <c r="O14" s="6">
        <v>1819.2122663260002</v>
      </c>
      <c r="P14" s="14">
        <v>0</v>
      </c>
      <c r="Q14" s="14">
        <f t="shared" si="7"/>
        <v>1819.2122663260002</v>
      </c>
      <c r="R14" s="6">
        <v>1729.6389510810002</v>
      </c>
      <c r="S14" s="14">
        <v>0</v>
      </c>
      <c r="T14" s="14">
        <f t="shared" si="8"/>
        <v>1729.6389510810002</v>
      </c>
      <c r="U14" s="6">
        <v>1747.4841032199997</v>
      </c>
      <c r="V14" s="14">
        <v>0</v>
      </c>
      <c r="W14" s="14">
        <f t="shared" si="9"/>
        <v>1747.4841032199997</v>
      </c>
      <c r="X14" s="6">
        <v>2071.791090013</v>
      </c>
      <c r="Y14" s="14">
        <v>0</v>
      </c>
      <c r="Z14" s="14">
        <f t="shared" si="10"/>
        <v>2071.791090013</v>
      </c>
      <c r="AA14" s="6">
        <v>2106.5645864369999</v>
      </c>
      <c r="AB14" s="6">
        <v>-468</v>
      </c>
      <c r="AC14" s="6">
        <f t="shared" si="11"/>
        <v>1638.5645864369999</v>
      </c>
      <c r="AD14" s="6">
        <v>1710.0657152850001</v>
      </c>
      <c r="AE14" s="14">
        <v>0</v>
      </c>
      <c r="AF14" s="14">
        <f t="shared" si="12"/>
        <v>1710.0657152850001</v>
      </c>
      <c r="AG14" s="6">
        <v>1952.6345046040001</v>
      </c>
      <c r="AH14" s="14">
        <v>0</v>
      </c>
      <c r="AI14" s="14">
        <f t="shared" si="13"/>
        <v>1952.6345046040001</v>
      </c>
      <c r="AJ14" s="6">
        <v>1728.6213118569999</v>
      </c>
      <c r="AK14" s="14">
        <v>0</v>
      </c>
      <c r="AL14" s="14">
        <f t="shared" si="14"/>
        <v>1728.6213118569999</v>
      </c>
      <c r="AM14" s="6">
        <v>1865.9888865330001</v>
      </c>
      <c r="AN14" s="14">
        <v>0</v>
      </c>
      <c r="AO14" s="14">
        <f t="shared" si="15"/>
        <v>1865.9888865330001</v>
      </c>
      <c r="AP14" s="12"/>
      <c r="AQ14" s="12"/>
    </row>
    <row r="15" spans="1:43" x14ac:dyDescent="0.3">
      <c r="A15" s="4">
        <v>9</v>
      </c>
      <c r="B15" s="2" t="s">
        <v>8</v>
      </c>
      <c r="C15" s="19">
        <f t="shared" si="1"/>
        <v>45273.082749920999</v>
      </c>
      <c r="D15" s="19">
        <f t="shared" si="2"/>
        <v>-1158.3</v>
      </c>
      <c r="E15" s="19">
        <f t="shared" si="3"/>
        <v>44114.782749920996</v>
      </c>
      <c r="F15" s="14">
        <v>4139.7955294530002</v>
      </c>
      <c r="G15" s="14">
        <v>0</v>
      </c>
      <c r="H15" s="14">
        <f t="shared" si="4"/>
        <v>4139.7955294530002</v>
      </c>
      <c r="I15" s="6">
        <v>3303.35</v>
      </c>
      <c r="J15" s="14">
        <v>0</v>
      </c>
      <c r="K15" s="14">
        <f t="shared" si="5"/>
        <v>3303.35</v>
      </c>
      <c r="L15" s="6">
        <v>3236.1083425060006</v>
      </c>
      <c r="M15" s="14">
        <v>0</v>
      </c>
      <c r="N15" s="14">
        <f t="shared" si="6"/>
        <v>3236.1083425060006</v>
      </c>
      <c r="O15" s="6">
        <v>3425.8174900479994</v>
      </c>
      <c r="P15" s="14">
        <v>0</v>
      </c>
      <c r="Q15" s="14">
        <f t="shared" si="7"/>
        <v>3425.8174900479994</v>
      </c>
      <c r="R15" s="6">
        <v>3165.4290521689995</v>
      </c>
      <c r="S15" s="14">
        <v>0</v>
      </c>
      <c r="T15" s="14">
        <f t="shared" si="8"/>
        <v>3165.4290521689995</v>
      </c>
      <c r="U15" s="6">
        <v>2769.6086525480005</v>
      </c>
      <c r="V15" s="14">
        <v>0</v>
      </c>
      <c r="W15" s="14">
        <f t="shared" si="9"/>
        <v>2769.6086525480005</v>
      </c>
      <c r="X15" s="6">
        <v>3561.6018631080001</v>
      </c>
      <c r="Y15" s="14">
        <v>0</v>
      </c>
      <c r="Z15" s="14">
        <f t="shared" si="10"/>
        <v>3561.6018631080001</v>
      </c>
      <c r="AA15" s="6">
        <v>5213.6864168399998</v>
      </c>
      <c r="AB15" s="6">
        <v>-1158.3</v>
      </c>
      <c r="AC15" s="6">
        <f t="shared" si="11"/>
        <v>4055.3864168399996</v>
      </c>
      <c r="AD15" s="6">
        <v>3835.5221281119993</v>
      </c>
      <c r="AE15" s="14">
        <v>0</v>
      </c>
      <c r="AF15" s="14">
        <f t="shared" si="12"/>
        <v>3835.5221281119993</v>
      </c>
      <c r="AG15" s="6">
        <v>4785.3877328190001</v>
      </c>
      <c r="AH15" s="14">
        <v>0</v>
      </c>
      <c r="AI15" s="14">
        <f t="shared" si="13"/>
        <v>4785.3877328190001</v>
      </c>
      <c r="AJ15" s="6">
        <v>3944.4789676160003</v>
      </c>
      <c r="AK15" s="14">
        <v>0</v>
      </c>
      <c r="AL15" s="14">
        <f t="shared" si="14"/>
        <v>3944.4789676160003</v>
      </c>
      <c r="AM15" s="6">
        <v>3892.2965747020003</v>
      </c>
      <c r="AN15" s="14">
        <v>0</v>
      </c>
      <c r="AO15" s="14">
        <f t="shared" si="15"/>
        <v>3892.2965747020003</v>
      </c>
      <c r="AP15" s="12"/>
      <c r="AQ15" s="12"/>
    </row>
    <row r="16" spans="1:43" x14ac:dyDescent="0.3">
      <c r="A16" s="5">
        <v>10</v>
      </c>
      <c r="B16" s="2" t="s">
        <v>9</v>
      </c>
      <c r="C16" s="19">
        <f t="shared" si="1"/>
        <v>19421.520436712002</v>
      </c>
      <c r="D16" s="19">
        <f t="shared" si="2"/>
        <v>-334.8</v>
      </c>
      <c r="E16" s="19">
        <f t="shared" si="3"/>
        <v>19086.720436711999</v>
      </c>
      <c r="F16" s="14">
        <v>1548.5028821819999</v>
      </c>
      <c r="G16" s="14">
        <v>0</v>
      </c>
      <c r="H16" s="14">
        <f t="shared" si="4"/>
        <v>1548.5028821819999</v>
      </c>
      <c r="I16" s="6">
        <v>1434.55</v>
      </c>
      <c r="J16" s="14">
        <v>0</v>
      </c>
      <c r="K16" s="14">
        <f t="shared" si="5"/>
        <v>1434.55</v>
      </c>
      <c r="L16" s="6">
        <v>1491.3250116649999</v>
      </c>
      <c r="M16" s="14">
        <v>0</v>
      </c>
      <c r="N16" s="14">
        <f t="shared" si="6"/>
        <v>1491.3250116649999</v>
      </c>
      <c r="O16" s="6">
        <v>1468.8260587309999</v>
      </c>
      <c r="P16" s="14">
        <v>0</v>
      </c>
      <c r="Q16" s="14">
        <f t="shared" si="7"/>
        <v>1468.8260587309999</v>
      </c>
      <c r="R16" s="6">
        <v>1335.9608335480002</v>
      </c>
      <c r="S16" s="14">
        <v>0</v>
      </c>
      <c r="T16" s="14">
        <f t="shared" si="8"/>
        <v>1335.9608335480002</v>
      </c>
      <c r="U16" s="6">
        <v>1308.210937374</v>
      </c>
      <c r="V16" s="14">
        <v>0</v>
      </c>
      <c r="W16" s="14">
        <f t="shared" si="9"/>
        <v>1308.210937374</v>
      </c>
      <c r="X16" s="6">
        <v>1855.0159025160001</v>
      </c>
      <c r="Y16" s="14">
        <v>0</v>
      </c>
      <c r="Z16" s="14">
        <f t="shared" si="10"/>
        <v>1855.0159025160001</v>
      </c>
      <c r="AA16" s="6">
        <v>1506.8143455400002</v>
      </c>
      <c r="AB16" s="6">
        <v>-334.8</v>
      </c>
      <c r="AC16" s="6">
        <f t="shared" si="11"/>
        <v>1172.0143455400002</v>
      </c>
      <c r="AD16" s="6">
        <v>1475.3578281130001</v>
      </c>
      <c r="AE16" s="14">
        <v>0</v>
      </c>
      <c r="AF16" s="14">
        <f t="shared" si="12"/>
        <v>1475.3578281130001</v>
      </c>
      <c r="AG16" s="6">
        <v>1563.647565253</v>
      </c>
      <c r="AH16" s="14">
        <v>0</v>
      </c>
      <c r="AI16" s="14">
        <f t="shared" si="13"/>
        <v>1563.647565253</v>
      </c>
      <c r="AJ16" s="6">
        <v>2099.4320726559999</v>
      </c>
      <c r="AK16" s="14">
        <v>0</v>
      </c>
      <c r="AL16" s="14">
        <f t="shared" si="14"/>
        <v>2099.4320726559999</v>
      </c>
      <c r="AM16" s="6">
        <v>2333.876999134</v>
      </c>
      <c r="AN16" s="14">
        <v>0</v>
      </c>
      <c r="AO16" s="14">
        <f t="shared" si="15"/>
        <v>2333.876999134</v>
      </c>
      <c r="AP16" s="12"/>
      <c r="AQ16" s="12"/>
    </row>
    <row r="17" spans="1:43" x14ac:dyDescent="0.3">
      <c r="A17" s="5">
        <v>11</v>
      </c>
      <c r="B17" s="2" t="s">
        <v>10</v>
      </c>
      <c r="C17" s="19">
        <f t="shared" si="1"/>
        <v>538.35931610700004</v>
      </c>
      <c r="D17" s="19">
        <f t="shared" si="2"/>
        <v>-7.2</v>
      </c>
      <c r="E17" s="19">
        <f t="shared" si="3"/>
        <v>531.159316107</v>
      </c>
      <c r="F17" s="14">
        <v>59.406381943000007</v>
      </c>
      <c r="G17" s="14">
        <v>0</v>
      </c>
      <c r="H17" s="14">
        <f t="shared" si="4"/>
        <v>59.406381943000007</v>
      </c>
      <c r="I17" s="6">
        <v>53.59</v>
      </c>
      <c r="J17" s="14">
        <v>0</v>
      </c>
      <c r="K17" s="14">
        <f t="shared" si="5"/>
        <v>53.59</v>
      </c>
      <c r="L17" s="6">
        <v>39.299357179000005</v>
      </c>
      <c r="M17" s="14">
        <v>0</v>
      </c>
      <c r="N17" s="14">
        <f t="shared" si="6"/>
        <v>39.299357179000005</v>
      </c>
      <c r="O17" s="6">
        <v>53.280924238000004</v>
      </c>
      <c r="P17" s="14">
        <v>0</v>
      </c>
      <c r="Q17" s="14">
        <f t="shared" si="7"/>
        <v>53.280924238000004</v>
      </c>
      <c r="R17" s="6">
        <v>42.890424112000005</v>
      </c>
      <c r="S17" s="14">
        <v>0</v>
      </c>
      <c r="T17" s="14">
        <f t="shared" si="8"/>
        <v>42.890424112000005</v>
      </c>
      <c r="U17" s="6">
        <v>30.049369926000004</v>
      </c>
      <c r="V17" s="14">
        <v>0</v>
      </c>
      <c r="W17" s="14">
        <f t="shared" si="9"/>
        <v>30.049369926000004</v>
      </c>
      <c r="X17" s="6">
        <v>52.863135340999996</v>
      </c>
      <c r="Y17" s="14">
        <v>0</v>
      </c>
      <c r="Z17" s="14">
        <f t="shared" si="10"/>
        <v>52.863135340999996</v>
      </c>
      <c r="AA17" s="6">
        <v>31.56659952</v>
      </c>
      <c r="AB17" s="6">
        <v>-7.2</v>
      </c>
      <c r="AC17" s="6">
        <f t="shared" si="11"/>
        <v>24.366599520000001</v>
      </c>
      <c r="AD17" s="6">
        <v>41.34950835099999</v>
      </c>
      <c r="AE17" s="14">
        <v>0</v>
      </c>
      <c r="AF17" s="14">
        <f t="shared" si="12"/>
        <v>41.34950835099999</v>
      </c>
      <c r="AG17" s="6">
        <v>42.636456513999995</v>
      </c>
      <c r="AH17" s="14">
        <v>0</v>
      </c>
      <c r="AI17" s="14">
        <f t="shared" si="13"/>
        <v>42.636456513999995</v>
      </c>
      <c r="AJ17" s="6">
        <v>49.369825814999999</v>
      </c>
      <c r="AK17" s="14">
        <v>0</v>
      </c>
      <c r="AL17" s="14">
        <f t="shared" si="14"/>
        <v>49.369825814999999</v>
      </c>
      <c r="AM17" s="6">
        <v>42.057333168</v>
      </c>
      <c r="AN17" s="14">
        <v>0</v>
      </c>
      <c r="AO17" s="14">
        <f t="shared" si="15"/>
        <v>42.057333168</v>
      </c>
      <c r="AP17" s="12"/>
      <c r="AQ17" s="12"/>
    </row>
    <row r="18" spans="1:43" x14ac:dyDescent="0.3">
      <c r="A18" s="5">
        <v>12</v>
      </c>
      <c r="B18" s="2" t="s">
        <v>11</v>
      </c>
      <c r="C18" s="19">
        <f t="shared" si="1"/>
        <v>1297.9682858880001</v>
      </c>
      <c r="D18" s="19">
        <f t="shared" si="2"/>
        <v>-23.4</v>
      </c>
      <c r="E18" s="19">
        <f t="shared" si="3"/>
        <v>1274.568285888</v>
      </c>
      <c r="F18" s="14">
        <v>130.30580326</v>
      </c>
      <c r="G18" s="14">
        <v>0</v>
      </c>
      <c r="H18" s="14">
        <f t="shared" si="4"/>
        <v>130.30580326</v>
      </c>
      <c r="I18" s="6">
        <v>127.33</v>
      </c>
      <c r="J18" s="14">
        <v>0</v>
      </c>
      <c r="K18" s="14">
        <f t="shared" si="5"/>
        <v>127.33</v>
      </c>
      <c r="L18" s="6">
        <v>105.43177749900001</v>
      </c>
      <c r="M18" s="14">
        <v>0</v>
      </c>
      <c r="N18" s="14">
        <f t="shared" si="6"/>
        <v>105.43177749900001</v>
      </c>
      <c r="O18" s="6">
        <v>113.35836851900001</v>
      </c>
      <c r="P18" s="14">
        <v>0</v>
      </c>
      <c r="Q18" s="14">
        <f t="shared" si="7"/>
        <v>113.35836851900001</v>
      </c>
      <c r="R18" s="6">
        <v>100.19384810700002</v>
      </c>
      <c r="S18" s="14">
        <v>0</v>
      </c>
      <c r="T18" s="14">
        <f t="shared" si="8"/>
        <v>100.19384810700002</v>
      </c>
      <c r="U18" s="6">
        <v>93.515720944999998</v>
      </c>
      <c r="V18" s="14">
        <v>0</v>
      </c>
      <c r="W18" s="14">
        <f t="shared" si="9"/>
        <v>93.515720944999998</v>
      </c>
      <c r="X18" s="6">
        <v>106.105304651</v>
      </c>
      <c r="Y18" s="14">
        <v>0</v>
      </c>
      <c r="Z18" s="14">
        <f t="shared" si="10"/>
        <v>106.105304651</v>
      </c>
      <c r="AA18" s="6">
        <v>105.560512277</v>
      </c>
      <c r="AB18" s="6">
        <v>-23.4</v>
      </c>
      <c r="AC18" s="6">
        <f t="shared" si="11"/>
        <v>82.160512277000009</v>
      </c>
      <c r="AD18" s="6">
        <v>95.300301707999992</v>
      </c>
      <c r="AE18" s="14">
        <v>0</v>
      </c>
      <c r="AF18" s="14">
        <f t="shared" si="12"/>
        <v>95.300301707999992</v>
      </c>
      <c r="AG18" s="6">
        <v>105.28635848700002</v>
      </c>
      <c r="AH18" s="14">
        <v>0</v>
      </c>
      <c r="AI18" s="14">
        <f t="shared" si="13"/>
        <v>105.28635848700002</v>
      </c>
      <c r="AJ18" s="6">
        <v>114.37834609800001</v>
      </c>
      <c r="AK18" s="14">
        <v>0</v>
      </c>
      <c r="AL18" s="14">
        <f t="shared" si="14"/>
        <v>114.37834609800001</v>
      </c>
      <c r="AM18" s="6">
        <v>101.20194433700001</v>
      </c>
      <c r="AN18" s="14">
        <v>0</v>
      </c>
      <c r="AO18" s="14">
        <f t="shared" si="15"/>
        <v>101.20194433700001</v>
      </c>
      <c r="AP18" s="12"/>
      <c r="AQ18" s="12"/>
    </row>
    <row r="19" spans="1:43" x14ac:dyDescent="0.3">
      <c r="A19" s="5">
        <v>13</v>
      </c>
      <c r="B19" s="2" t="s">
        <v>12</v>
      </c>
      <c r="C19" s="19">
        <f t="shared" si="1"/>
        <v>764.34961816800012</v>
      </c>
      <c r="D19" s="19">
        <f t="shared" si="2"/>
        <v>-14.4</v>
      </c>
      <c r="E19" s="19">
        <f t="shared" si="3"/>
        <v>749.94961816800003</v>
      </c>
      <c r="F19" s="14">
        <v>71.397209512999993</v>
      </c>
      <c r="G19" s="14">
        <v>0</v>
      </c>
      <c r="H19" s="14">
        <f t="shared" si="4"/>
        <v>71.397209512999993</v>
      </c>
      <c r="I19" s="6">
        <v>61.54</v>
      </c>
      <c r="J19" s="14">
        <v>0</v>
      </c>
      <c r="K19" s="14">
        <f t="shared" si="5"/>
        <v>61.54</v>
      </c>
      <c r="L19" s="6">
        <v>61.381742935000005</v>
      </c>
      <c r="M19" s="14">
        <v>0</v>
      </c>
      <c r="N19" s="14">
        <f t="shared" si="6"/>
        <v>61.381742935000005</v>
      </c>
      <c r="O19" s="6">
        <v>70.102133576000014</v>
      </c>
      <c r="P19" s="14">
        <v>0</v>
      </c>
      <c r="Q19" s="14">
        <f t="shared" si="7"/>
        <v>70.102133576000014</v>
      </c>
      <c r="R19" s="6">
        <v>58.990231159000004</v>
      </c>
      <c r="S19" s="14">
        <v>0</v>
      </c>
      <c r="T19" s="14">
        <f t="shared" si="8"/>
        <v>58.990231159000004</v>
      </c>
      <c r="U19" s="6">
        <v>61.269936674000014</v>
      </c>
      <c r="V19" s="14">
        <v>0</v>
      </c>
      <c r="W19" s="14">
        <f t="shared" si="9"/>
        <v>61.269936674000014</v>
      </c>
      <c r="X19" s="6">
        <v>57.891476439000002</v>
      </c>
      <c r="Y19" s="14">
        <v>0</v>
      </c>
      <c r="Z19" s="14">
        <f t="shared" si="10"/>
        <v>57.891476439000002</v>
      </c>
      <c r="AA19" s="6">
        <v>66.504052008000002</v>
      </c>
      <c r="AB19" s="6">
        <v>-14.4</v>
      </c>
      <c r="AC19" s="6">
        <f t="shared" si="11"/>
        <v>52.104052008000004</v>
      </c>
      <c r="AD19" s="6">
        <v>60.527418555999994</v>
      </c>
      <c r="AE19" s="14">
        <v>0</v>
      </c>
      <c r="AF19" s="14">
        <f t="shared" si="12"/>
        <v>60.527418555999994</v>
      </c>
      <c r="AG19" s="6">
        <v>62.498829399000002</v>
      </c>
      <c r="AH19" s="14">
        <v>0</v>
      </c>
      <c r="AI19" s="14">
        <f t="shared" si="13"/>
        <v>62.498829399000002</v>
      </c>
      <c r="AJ19" s="6">
        <v>68.141920932999994</v>
      </c>
      <c r="AK19" s="14">
        <v>0</v>
      </c>
      <c r="AL19" s="14">
        <f t="shared" si="14"/>
        <v>68.141920932999994</v>
      </c>
      <c r="AM19" s="6">
        <v>64.104666976000004</v>
      </c>
      <c r="AN19" s="14">
        <v>0</v>
      </c>
      <c r="AO19" s="14">
        <f t="shared" si="15"/>
        <v>64.104666976000004</v>
      </c>
      <c r="AP19" s="12"/>
      <c r="AQ19" s="12"/>
    </row>
    <row r="20" spans="1:43" x14ac:dyDescent="0.3">
      <c r="A20" s="5">
        <v>14</v>
      </c>
      <c r="B20" s="2" t="s">
        <v>13</v>
      </c>
      <c r="C20" s="19">
        <f t="shared" si="1"/>
        <v>765.18156400500015</v>
      </c>
      <c r="D20" s="19">
        <f t="shared" si="2"/>
        <v>-15.3</v>
      </c>
      <c r="E20" s="19">
        <f t="shared" si="3"/>
        <v>749.8815640050002</v>
      </c>
      <c r="F20" s="14">
        <v>114.578529932</v>
      </c>
      <c r="G20" s="14">
        <v>0</v>
      </c>
      <c r="H20" s="14">
        <f t="shared" si="4"/>
        <v>114.578529932</v>
      </c>
      <c r="I20" s="6">
        <v>53.1</v>
      </c>
      <c r="J20" s="14">
        <v>0</v>
      </c>
      <c r="K20" s="14">
        <f t="shared" si="5"/>
        <v>53.1</v>
      </c>
      <c r="L20" s="6">
        <v>49.882001963</v>
      </c>
      <c r="M20" s="14">
        <v>0</v>
      </c>
      <c r="N20" s="14">
        <f t="shared" si="6"/>
        <v>49.882001963</v>
      </c>
      <c r="O20" s="6">
        <v>57.961848052000001</v>
      </c>
      <c r="P20" s="14">
        <v>0</v>
      </c>
      <c r="Q20" s="14">
        <f t="shared" si="7"/>
        <v>57.961848052000001</v>
      </c>
      <c r="R20" s="6">
        <v>62.007095303999996</v>
      </c>
      <c r="S20" s="14">
        <v>0</v>
      </c>
      <c r="T20" s="14">
        <f t="shared" si="8"/>
        <v>62.007095303999996</v>
      </c>
      <c r="U20" s="6">
        <v>51.212633077</v>
      </c>
      <c r="V20" s="14">
        <v>0</v>
      </c>
      <c r="W20" s="14">
        <f t="shared" si="9"/>
        <v>51.212633077</v>
      </c>
      <c r="X20" s="6">
        <v>60.26012036800001</v>
      </c>
      <c r="Y20" s="14">
        <v>0</v>
      </c>
      <c r="Z20" s="14">
        <f t="shared" si="10"/>
        <v>60.26012036800001</v>
      </c>
      <c r="AA20" s="6">
        <v>67.260016926999995</v>
      </c>
      <c r="AB20" s="6">
        <v>-15.3</v>
      </c>
      <c r="AC20" s="6">
        <f t="shared" si="11"/>
        <v>51.960016926999998</v>
      </c>
      <c r="AD20" s="6">
        <v>58.592996122999999</v>
      </c>
      <c r="AE20" s="14">
        <v>0</v>
      </c>
      <c r="AF20" s="14">
        <f t="shared" si="12"/>
        <v>58.592996122999999</v>
      </c>
      <c r="AG20" s="6">
        <v>72.204039722000005</v>
      </c>
      <c r="AH20" s="14">
        <v>0</v>
      </c>
      <c r="AI20" s="14">
        <f t="shared" si="13"/>
        <v>72.204039722000005</v>
      </c>
      <c r="AJ20" s="6">
        <v>69.046645892000001</v>
      </c>
      <c r="AK20" s="14">
        <v>0</v>
      </c>
      <c r="AL20" s="14">
        <f t="shared" si="14"/>
        <v>69.046645892000001</v>
      </c>
      <c r="AM20" s="6">
        <v>49.075636645000003</v>
      </c>
      <c r="AN20" s="14">
        <v>0</v>
      </c>
      <c r="AO20" s="14">
        <f t="shared" si="15"/>
        <v>49.075636645000003</v>
      </c>
      <c r="AP20" s="12"/>
      <c r="AQ20" s="12"/>
    </row>
    <row r="21" spans="1:43" x14ac:dyDescent="0.3">
      <c r="A21" s="5">
        <v>15</v>
      </c>
      <c r="B21" s="2" t="s">
        <v>14</v>
      </c>
      <c r="C21" s="19">
        <f t="shared" si="1"/>
        <v>703.22117554700003</v>
      </c>
      <c r="D21" s="19">
        <f t="shared" si="2"/>
        <v>-13.5</v>
      </c>
      <c r="E21" s="19">
        <f t="shared" si="3"/>
        <v>689.72117554700014</v>
      </c>
      <c r="F21" s="14">
        <v>66.815432864000002</v>
      </c>
      <c r="G21" s="14">
        <v>0</v>
      </c>
      <c r="H21" s="14">
        <f t="shared" si="4"/>
        <v>66.815432864000002</v>
      </c>
      <c r="I21" s="6">
        <v>58.19</v>
      </c>
      <c r="J21" s="14">
        <v>0</v>
      </c>
      <c r="K21" s="14">
        <f t="shared" si="5"/>
        <v>58.19</v>
      </c>
      <c r="L21" s="6">
        <v>55.947130116000011</v>
      </c>
      <c r="M21" s="14">
        <v>0</v>
      </c>
      <c r="N21" s="14">
        <f t="shared" si="6"/>
        <v>55.947130116000011</v>
      </c>
      <c r="O21" s="6">
        <v>57.31169769200001</v>
      </c>
      <c r="P21" s="14">
        <v>0</v>
      </c>
      <c r="Q21" s="14">
        <f t="shared" si="7"/>
        <v>57.31169769200001</v>
      </c>
      <c r="R21" s="6">
        <v>54.471214802000013</v>
      </c>
      <c r="S21" s="14">
        <v>0</v>
      </c>
      <c r="T21" s="14">
        <f t="shared" si="8"/>
        <v>54.471214802000013</v>
      </c>
      <c r="U21" s="6">
        <v>51.355439441000001</v>
      </c>
      <c r="V21" s="14">
        <v>0</v>
      </c>
      <c r="W21" s="14">
        <f t="shared" si="9"/>
        <v>51.355439441000001</v>
      </c>
      <c r="X21" s="6">
        <v>61.064893470000001</v>
      </c>
      <c r="Y21" s="14">
        <v>0</v>
      </c>
      <c r="Z21" s="14">
        <f t="shared" si="10"/>
        <v>61.064893470000001</v>
      </c>
      <c r="AA21" s="6">
        <v>60.063799486000001</v>
      </c>
      <c r="AB21" s="6">
        <v>-13.5</v>
      </c>
      <c r="AC21" s="6">
        <f t="shared" si="11"/>
        <v>46.563799486000001</v>
      </c>
      <c r="AD21" s="6">
        <v>58.153138020000007</v>
      </c>
      <c r="AE21" s="14">
        <v>0</v>
      </c>
      <c r="AF21" s="14">
        <f t="shared" si="12"/>
        <v>58.153138020000007</v>
      </c>
      <c r="AG21" s="6">
        <v>60.429099177000012</v>
      </c>
      <c r="AH21" s="14">
        <v>0</v>
      </c>
      <c r="AI21" s="14">
        <f t="shared" si="13"/>
        <v>60.429099177000012</v>
      </c>
      <c r="AJ21" s="6">
        <v>63.889458330999993</v>
      </c>
      <c r="AK21" s="14">
        <v>0</v>
      </c>
      <c r="AL21" s="14">
        <f t="shared" si="14"/>
        <v>63.889458330999993</v>
      </c>
      <c r="AM21" s="6">
        <v>55.529872148000003</v>
      </c>
      <c r="AN21" s="14">
        <v>0</v>
      </c>
      <c r="AO21" s="14">
        <f t="shared" si="15"/>
        <v>55.529872148000003</v>
      </c>
      <c r="AP21" s="12"/>
      <c r="AQ21" s="12"/>
    </row>
    <row r="22" spans="1:43" x14ac:dyDescent="0.3">
      <c r="A22" s="5">
        <v>16</v>
      </c>
      <c r="B22" s="2" t="s">
        <v>15</v>
      </c>
      <c r="C22" s="19">
        <f t="shared" si="1"/>
        <v>1092.422985961</v>
      </c>
      <c r="D22" s="19">
        <f t="shared" si="2"/>
        <v>-21.6</v>
      </c>
      <c r="E22" s="19">
        <f t="shared" si="3"/>
        <v>1070.8229859610001</v>
      </c>
      <c r="F22" s="14">
        <v>93.685446613999986</v>
      </c>
      <c r="G22" s="14">
        <v>0</v>
      </c>
      <c r="H22" s="14">
        <f t="shared" si="4"/>
        <v>93.685446613999986</v>
      </c>
      <c r="I22" s="6">
        <v>95.76</v>
      </c>
      <c r="J22" s="14">
        <v>0</v>
      </c>
      <c r="K22" s="14">
        <f t="shared" si="5"/>
        <v>95.76</v>
      </c>
      <c r="L22" s="6">
        <v>84.455459169999997</v>
      </c>
      <c r="M22" s="14">
        <v>0</v>
      </c>
      <c r="N22" s="14">
        <f t="shared" si="6"/>
        <v>84.455459169999997</v>
      </c>
      <c r="O22" s="6">
        <v>85.533637469000013</v>
      </c>
      <c r="P22" s="14">
        <v>0</v>
      </c>
      <c r="Q22" s="14">
        <f t="shared" si="7"/>
        <v>85.533637469000013</v>
      </c>
      <c r="R22" s="6">
        <v>83.964851999999993</v>
      </c>
      <c r="S22" s="14">
        <v>0</v>
      </c>
      <c r="T22" s="14">
        <f t="shared" si="8"/>
        <v>83.964851999999993</v>
      </c>
      <c r="U22" s="6">
        <v>88.158638648999997</v>
      </c>
      <c r="V22" s="14">
        <v>0</v>
      </c>
      <c r="W22" s="14">
        <f t="shared" si="9"/>
        <v>88.158638648999997</v>
      </c>
      <c r="X22" s="6">
        <v>96.98930721699999</v>
      </c>
      <c r="Y22" s="14">
        <v>0</v>
      </c>
      <c r="Z22" s="14">
        <f t="shared" si="10"/>
        <v>96.98930721699999</v>
      </c>
      <c r="AA22" s="6">
        <v>95.591012226999993</v>
      </c>
      <c r="AB22" s="6">
        <v>-21.6</v>
      </c>
      <c r="AC22" s="6">
        <f t="shared" si="11"/>
        <v>73.991012226999999</v>
      </c>
      <c r="AD22" s="6">
        <v>87.783123619999998</v>
      </c>
      <c r="AE22" s="14">
        <v>0</v>
      </c>
      <c r="AF22" s="14">
        <f t="shared" si="12"/>
        <v>87.783123619999998</v>
      </c>
      <c r="AG22" s="6">
        <v>96.443087669000008</v>
      </c>
      <c r="AH22" s="14">
        <v>0</v>
      </c>
      <c r="AI22" s="14">
        <f t="shared" si="13"/>
        <v>96.443087669000008</v>
      </c>
      <c r="AJ22" s="6">
        <v>92.635554040000002</v>
      </c>
      <c r="AK22" s="14">
        <v>0</v>
      </c>
      <c r="AL22" s="14">
        <f t="shared" si="14"/>
        <v>92.635554040000002</v>
      </c>
      <c r="AM22" s="6">
        <v>91.422867285999999</v>
      </c>
      <c r="AN22" s="14">
        <v>0</v>
      </c>
      <c r="AO22" s="14">
        <f t="shared" si="15"/>
        <v>91.422867285999999</v>
      </c>
      <c r="AP22" s="12"/>
      <c r="AQ22" s="12"/>
    </row>
    <row r="23" spans="1:43" x14ac:dyDescent="0.3">
      <c r="A23" s="5">
        <v>17</v>
      </c>
      <c r="B23" s="2" t="s">
        <v>16</v>
      </c>
      <c r="C23" s="19">
        <f t="shared" si="1"/>
        <v>1126.7180908580001</v>
      </c>
      <c r="D23" s="19">
        <f t="shared" si="2"/>
        <v>-21.6</v>
      </c>
      <c r="E23" s="19">
        <f t="shared" si="3"/>
        <v>1105.118090858</v>
      </c>
      <c r="F23" s="14">
        <v>92.814127605999985</v>
      </c>
      <c r="G23" s="14">
        <v>0</v>
      </c>
      <c r="H23" s="14">
        <f t="shared" si="4"/>
        <v>92.814127605999985</v>
      </c>
      <c r="I23" s="6">
        <v>102.85</v>
      </c>
      <c r="J23" s="14">
        <v>0</v>
      </c>
      <c r="K23" s="14">
        <f t="shared" si="5"/>
        <v>102.85</v>
      </c>
      <c r="L23" s="6">
        <v>86.747059437000019</v>
      </c>
      <c r="M23" s="14">
        <v>0</v>
      </c>
      <c r="N23" s="14">
        <f t="shared" si="6"/>
        <v>86.747059437000019</v>
      </c>
      <c r="O23" s="6">
        <v>98.905882833000007</v>
      </c>
      <c r="P23" s="14">
        <v>0</v>
      </c>
      <c r="Q23" s="14">
        <f t="shared" si="7"/>
        <v>98.905882833000007</v>
      </c>
      <c r="R23" s="6">
        <v>86.06687531099999</v>
      </c>
      <c r="S23" s="14">
        <v>0</v>
      </c>
      <c r="T23" s="14">
        <f t="shared" si="8"/>
        <v>86.06687531099999</v>
      </c>
      <c r="U23" s="6">
        <v>81.202328416</v>
      </c>
      <c r="V23" s="14">
        <v>0</v>
      </c>
      <c r="W23" s="14">
        <f t="shared" si="9"/>
        <v>81.202328416</v>
      </c>
      <c r="X23" s="6">
        <v>86.099535392999996</v>
      </c>
      <c r="Y23" s="14">
        <v>0</v>
      </c>
      <c r="Z23" s="14">
        <f t="shared" si="10"/>
        <v>86.099535392999996</v>
      </c>
      <c r="AA23" s="6">
        <v>95.633718161000004</v>
      </c>
      <c r="AB23" s="6">
        <v>-21.6</v>
      </c>
      <c r="AC23" s="6">
        <f t="shared" si="11"/>
        <v>74.033718160999996</v>
      </c>
      <c r="AD23" s="6">
        <v>96.644295141000001</v>
      </c>
      <c r="AE23" s="14">
        <v>0</v>
      </c>
      <c r="AF23" s="14">
        <f t="shared" si="12"/>
        <v>96.644295141000001</v>
      </c>
      <c r="AG23" s="6">
        <v>106.94300769300001</v>
      </c>
      <c r="AH23" s="14">
        <v>0</v>
      </c>
      <c r="AI23" s="14">
        <f t="shared" si="13"/>
        <v>106.94300769300001</v>
      </c>
      <c r="AJ23" s="6">
        <v>94.526305277000006</v>
      </c>
      <c r="AK23" s="14">
        <v>0</v>
      </c>
      <c r="AL23" s="14">
        <f t="shared" si="14"/>
        <v>94.526305277000006</v>
      </c>
      <c r="AM23" s="6">
        <v>98.284955589999981</v>
      </c>
      <c r="AN23" s="14">
        <v>0</v>
      </c>
      <c r="AO23" s="14">
        <f t="shared" si="15"/>
        <v>98.284955589999981</v>
      </c>
      <c r="AP23" s="12"/>
      <c r="AQ23" s="12"/>
    </row>
    <row r="24" spans="1:43" x14ac:dyDescent="0.3">
      <c r="A24" s="5">
        <v>18</v>
      </c>
      <c r="B24" s="2" t="s">
        <v>17</v>
      </c>
      <c r="C24" s="19">
        <f t="shared" si="1"/>
        <v>8858.8390253529997</v>
      </c>
      <c r="D24" s="19">
        <f t="shared" si="2"/>
        <v>-178.2</v>
      </c>
      <c r="E24" s="19">
        <f t="shared" si="3"/>
        <v>8680.6390253529989</v>
      </c>
      <c r="F24" s="14">
        <v>813.65681673999995</v>
      </c>
      <c r="G24" s="14">
        <v>0</v>
      </c>
      <c r="H24" s="14">
        <f t="shared" si="4"/>
        <v>813.65681673999995</v>
      </c>
      <c r="I24" s="6">
        <v>682.87</v>
      </c>
      <c r="J24" s="14">
        <v>0</v>
      </c>
      <c r="K24" s="14">
        <f t="shared" si="5"/>
        <v>682.87</v>
      </c>
      <c r="L24" s="6">
        <v>743.95005135100007</v>
      </c>
      <c r="M24" s="14">
        <v>0</v>
      </c>
      <c r="N24" s="14">
        <f t="shared" si="6"/>
        <v>743.95005135100007</v>
      </c>
      <c r="O24" s="6">
        <v>695.76933723899992</v>
      </c>
      <c r="P24" s="14">
        <v>0</v>
      </c>
      <c r="Q24" s="14">
        <f t="shared" si="7"/>
        <v>695.76933723899992</v>
      </c>
      <c r="R24" s="6">
        <v>691.23766322400002</v>
      </c>
      <c r="S24" s="14">
        <v>0</v>
      </c>
      <c r="T24" s="14">
        <f t="shared" si="8"/>
        <v>691.23766322400002</v>
      </c>
      <c r="U24" s="6">
        <v>646.96154631200011</v>
      </c>
      <c r="V24" s="14">
        <v>0</v>
      </c>
      <c r="W24" s="14">
        <f t="shared" si="9"/>
        <v>646.96154631200011</v>
      </c>
      <c r="X24" s="6">
        <v>767.66768664200004</v>
      </c>
      <c r="Y24" s="14">
        <v>0</v>
      </c>
      <c r="Z24" s="14">
        <f t="shared" si="10"/>
        <v>767.66768664200004</v>
      </c>
      <c r="AA24" s="6">
        <v>803.72019109099983</v>
      </c>
      <c r="AB24" s="6">
        <v>-178.2</v>
      </c>
      <c r="AC24" s="6">
        <f t="shared" si="11"/>
        <v>625.52019109099979</v>
      </c>
      <c r="AD24" s="6">
        <v>712.62766172099998</v>
      </c>
      <c r="AE24" s="14">
        <v>0</v>
      </c>
      <c r="AF24" s="14">
        <f t="shared" si="12"/>
        <v>712.62766172099998</v>
      </c>
      <c r="AG24" s="6">
        <v>749.79246859799991</v>
      </c>
      <c r="AH24" s="14">
        <v>0</v>
      </c>
      <c r="AI24" s="14">
        <f t="shared" si="13"/>
        <v>749.79246859799991</v>
      </c>
      <c r="AJ24" s="6">
        <v>803.68461005200004</v>
      </c>
      <c r="AK24" s="14">
        <v>0</v>
      </c>
      <c r="AL24" s="14">
        <f t="shared" si="14"/>
        <v>803.68461005200004</v>
      </c>
      <c r="AM24" s="6">
        <v>746.90099238300002</v>
      </c>
      <c r="AN24" s="14">
        <v>0</v>
      </c>
      <c r="AO24" s="14">
        <f t="shared" si="15"/>
        <v>746.90099238300002</v>
      </c>
      <c r="AP24" s="12"/>
      <c r="AQ24" s="12"/>
    </row>
    <row r="25" spans="1:43" x14ac:dyDescent="0.3">
      <c r="A25" s="5">
        <v>19</v>
      </c>
      <c r="B25" s="2" t="s">
        <v>18</v>
      </c>
      <c r="C25" s="19">
        <f t="shared" si="1"/>
        <v>19007.426521745998</v>
      </c>
      <c r="D25" s="19">
        <f t="shared" si="2"/>
        <v>-467.1</v>
      </c>
      <c r="E25" s="19">
        <f t="shared" si="3"/>
        <v>18540.326521745999</v>
      </c>
      <c r="F25" s="14">
        <v>1570.3025308279996</v>
      </c>
      <c r="G25" s="14">
        <v>0</v>
      </c>
      <c r="H25" s="14">
        <f t="shared" si="4"/>
        <v>1570.3025308279996</v>
      </c>
      <c r="I25" s="6">
        <v>1454.16</v>
      </c>
      <c r="J25" s="14">
        <v>0</v>
      </c>
      <c r="K25" s="14">
        <f t="shared" si="5"/>
        <v>1454.16</v>
      </c>
      <c r="L25" s="6">
        <v>1503.8145961780003</v>
      </c>
      <c r="M25" s="14">
        <v>0</v>
      </c>
      <c r="N25" s="14">
        <f t="shared" si="6"/>
        <v>1503.8145961780003</v>
      </c>
      <c r="O25" s="6">
        <v>1530.7899808289999</v>
      </c>
      <c r="P25" s="14">
        <v>0</v>
      </c>
      <c r="Q25" s="14">
        <f t="shared" si="7"/>
        <v>1530.7899808289999</v>
      </c>
      <c r="R25" s="6">
        <v>1515.6757609649999</v>
      </c>
      <c r="S25" s="14">
        <v>0</v>
      </c>
      <c r="T25" s="14">
        <f t="shared" si="8"/>
        <v>1515.6757609649999</v>
      </c>
      <c r="U25" s="6">
        <v>1414.1115309270001</v>
      </c>
      <c r="V25" s="14">
        <v>0</v>
      </c>
      <c r="W25" s="14">
        <f t="shared" si="9"/>
        <v>1414.1115309270001</v>
      </c>
      <c r="X25" s="6">
        <v>1818.7826773880001</v>
      </c>
      <c r="Y25" s="14">
        <v>0</v>
      </c>
      <c r="Z25" s="14">
        <f t="shared" si="10"/>
        <v>1818.7826773880001</v>
      </c>
      <c r="AA25" s="6">
        <v>2102.1169643359999</v>
      </c>
      <c r="AB25" s="6">
        <v>-467.1</v>
      </c>
      <c r="AC25" s="6">
        <f t="shared" si="11"/>
        <v>1635.016964336</v>
      </c>
      <c r="AD25" s="6">
        <v>1429.6968514349999</v>
      </c>
      <c r="AE25" s="14">
        <v>0</v>
      </c>
      <c r="AF25" s="14">
        <f t="shared" si="12"/>
        <v>1429.6968514349999</v>
      </c>
      <c r="AG25" s="6">
        <v>1509.5188348220001</v>
      </c>
      <c r="AH25" s="14">
        <v>0</v>
      </c>
      <c r="AI25" s="14">
        <f t="shared" si="13"/>
        <v>1509.5188348220001</v>
      </c>
      <c r="AJ25" s="6">
        <v>1546.9956711720004</v>
      </c>
      <c r="AK25" s="14">
        <v>0</v>
      </c>
      <c r="AL25" s="14">
        <f t="shared" si="14"/>
        <v>1546.9956711720004</v>
      </c>
      <c r="AM25" s="6">
        <v>1611.4611228659999</v>
      </c>
      <c r="AN25" s="14">
        <v>0</v>
      </c>
      <c r="AO25" s="14">
        <f t="shared" si="15"/>
        <v>1611.4611228659999</v>
      </c>
      <c r="AP25" s="12"/>
      <c r="AQ25" s="12"/>
    </row>
    <row r="26" spans="1:43" x14ac:dyDescent="0.3">
      <c r="A26" s="5">
        <v>20</v>
      </c>
      <c r="B26" s="2" t="s">
        <v>19</v>
      </c>
      <c r="C26" s="19">
        <f t="shared" si="1"/>
        <v>3694.2894843250006</v>
      </c>
      <c r="D26" s="19">
        <f t="shared" si="2"/>
        <v>-78.3</v>
      </c>
      <c r="E26" s="19">
        <f t="shared" si="3"/>
        <v>3615.9894843250004</v>
      </c>
      <c r="F26" s="14">
        <v>250.92725756200002</v>
      </c>
      <c r="G26" s="14">
        <v>0</v>
      </c>
      <c r="H26" s="14">
        <f t="shared" si="4"/>
        <v>250.92725756200002</v>
      </c>
      <c r="I26" s="6">
        <v>322.13</v>
      </c>
      <c r="J26" s="14">
        <v>0</v>
      </c>
      <c r="K26" s="14">
        <f t="shared" si="5"/>
        <v>322.13</v>
      </c>
      <c r="L26" s="6">
        <v>304.91900069900004</v>
      </c>
      <c r="M26" s="14">
        <v>0</v>
      </c>
      <c r="N26" s="14">
        <f t="shared" si="6"/>
        <v>304.91900069900004</v>
      </c>
      <c r="O26" s="6">
        <v>329.55368811099999</v>
      </c>
      <c r="P26" s="14">
        <v>0</v>
      </c>
      <c r="Q26" s="14">
        <f t="shared" si="7"/>
        <v>329.55368811099999</v>
      </c>
      <c r="R26" s="6">
        <v>119.98261194100009</v>
      </c>
      <c r="S26" s="14">
        <v>0</v>
      </c>
      <c r="T26" s="14">
        <f t="shared" si="8"/>
        <v>119.98261194100009</v>
      </c>
      <c r="U26" s="6">
        <v>253.7513067669999</v>
      </c>
      <c r="V26" s="14">
        <v>0</v>
      </c>
      <c r="W26" s="14">
        <f t="shared" si="9"/>
        <v>253.7513067669999</v>
      </c>
      <c r="X26" s="6">
        <v>395.09547556200005</v>
      </c>
      <c r="Y26" s="14">
        <v>0</v>
      </c>
      <c r="Z26" s="14">
        <f t="shared" si="10"/>
        <v>395.09547556200005</v>
      </c>
      <c r="AA26" s="6">
        <v>352.50768639700004</v>
      </c>
      <c r="AB26" s="6">
        <v>-78.3</v>
      </c>
      <c r="AC26" s="6">
        <f t="shared" si="11"/>
        <v>274.20768639700003</v>
      </c>
      <c r="AD26" s="6">
        <v>352.80036801800009</v>
      </c>
      <c r="AE26" s="14">
        <v>0</v>
      </c>
      <c r="AF26" s="14">
        <f t="shared" si="12"/>
        <v>352.80036801800009</v>
      </c>
      <c r="AG26" s="6">
        <v>386.53106384000006</v>
      </c>
      <c r="AH26" s="14">
        <v>0</v>
      </c>
      <c r="AI26" s="14">
        <f t="shared" si="13"/>
        <v>386.53106384000006</v>
      </c>
      <c r="AJ26" s="6">
        <v>262.84757779100011</v>
      </c>
      <c r="AK26" s="14">
        <v>0</v>
      </c>
      <c r="AL26" s="14">
        <f t="shared" si="14"/>
        <v>262.84757779100011</v>
      </c>
      <c r="AM26" s="6">
        <v>363.24344763700003</v>
      </c>
      <c r="AN26" s="14">
        <v>0</v>
      </c>
      <c r="AO26" s="14">
        <f t="shared" si="15"/>
        <v>363.24344763700003</v>
      </c>
      <c r="AP26" s="12"/>
      <c r="AQ26" s="12"/>
    </row>
    <row r="27" spans="1:43" x14ac:dyDescent="0.3">
      <c r="A27" s="5">
        <v>21</v>
      </c>
      <c r="B27" s="2" t="s">
        <v>20</v>
      </c>
      <c r="C27" s="19">
        <f t="shared" si="1"/>
        <v>8926.7397105150012</v>
      </c>
      <c r="D27" s="19">
        <f t="shared" si="2"/>
        <v>-440.1</v>
      </c>
      <c r="E27" s="19">
        <f t="shared" si="3"/>
        <v>8486.6397105150008</v>
      </c>
      <c r="F27" s="14">
        <v>699.59629469100003</v>
      </c>
      <c r="G27" s="14">
        <v>0</v>
      </c>
      <c r="H27" s="14">
        <f t="shared" si="4"/>
        <v>699.59629469100003</v>
      </c>
      <c r="I27" s="6">
        <v>420.86</v>
      </c>
      <c r="J27" s="14">
        <v>0</v>
      </c>
      <c r="K27" s="14">
        <f t="shared" si="5"/>
        <v>420.86</v>
      </c>
      <c r="L27" s="6">
        <v>409.8385890240001</v>
      </c>
      <c r="M27" s="14">
        <v>0</v>
      </c>
      <c r="N27" s="14">
        <f t="shared" si="6"/>
        <v>409.8385890240001</v>
      </c>
      <c r="O27" s="6">
        <v>416.15599286200001</v>
      </c>
      <c r="P27" s="14">
        <v>0</v>
      </c>
      <c r="Q27" s="14">
        <f t="shared" si="7"/>
        <v>416.15599286200001</v>
      </c>
      <c r="R27" s="6">
        <v>400.63533627100003</v>
      </c>
      <c r="S27" s="14">
        <v>0</v>
      </c>
      <c r="T27" s="14">
        <f t="shared" si="8"/>
        <v>400.63533627100003</v>
      </c>
      <c r="U27" s="6">
        <v>454.21370122700006</v>
      </c>
      <c r="V27" s="14">
        <v>0</v>
      </c>
      <c r="W27" s="14">
        <f t="shared" si="9"/>
        <v>454.21370122700006</v>
      </c>
      <c r="X27" s="6">
        <v>547.51071904900004</v>
      </c>
      <c r="Y27" s="14">
        <v>0</v>
      </c>
      <c r="Z27" s="14">
        <f t="shared" si="10"/>
        <v>547.51071904900004</v>
      </c>
      <c r="AA27" s="6">
        <v>1979.9592350799999</v>
      </c>
      <c r="AB27" s="6">
        <v>-440.1</v>
      </c>
      <c r="AC27" s="6">
        <f t="shared" si="11"/>
        <v>1539.85923508</v>
      </c>
      <c r="AD27" s="6">
        <v>1301.224197474</v>
      </c>
      <c r="AE27" s="14">
        <v>0</v>
      </c>
      <c r="AF27" s="14">
        <f t="shared" si="12"/>
        <v>1301.224197474</v>
      </c>
      <c r="AG27" s="6">
        <v>819.47917270799996</v>
      </c>
      <c r="AH27" s="14">
        <v>0</v>
      </c>
      <c r="AI27" s="14">
        <f t="shared" si="13"/>
        <v>819.47917270799996</v>
      </c>
      <c r="AJ27" s="6">
        <v>830.6794588849998</v>
      </c>
      <c r="AK27" s="14">
        <v>0</v>
      </c>
      <c r="AL27" s="14">
        <f t="shared" si="14"/>
        <v>830.6794588849998</v>
      </c>
      <c r="AM27" s="6">
        <v>646.5870132440001</v>
      </c>
      <c r="AN27" s="14">
        <v>0</v>
      </c>
      <c r="AO27" s="14">
        <f t="shared" si="15"/>
        <v>646.5870132440001</v>
      </c>
      <c r="AP27" s="12"/>
      <c r="AQ27" s="12"/>
    </row>
    <row r="28" spans="1:43" x14ac:dyDescent="0.3">
      <c r="A28" s="5">
        <v>22</v>
      </c>
      <c r="B28" s="2" t="s">
        <v>33</v>
      </c>
      <c r="C28" s="19">
        <f t="shared" si="1"/>
        <v>5878.3141660439996</v>
      </c>
      <c r="D28" s="19">
        <f t="shared" si="2"/>
        <v>-157.5</v>
      </c>
      <c r="E28" s="19">
        <f t="shared" si="3"/>
        <v>5720.8141660439996</v>
      </c>
      <c r="F28" s="14">
        <v>492.04350295099994</v>
      </c>
      <c r="G28" s="14">
        <v>0</v>
      </c>
      <c r="H28" s="14">
        <f t="shared" si="4"/>
        <v>492.04350295099994</v>
      </c>
      <c r="I28" s="6">
        <v>250.07</v>
      </c>
      <c r="J28" s="14">
        <v>0</v>
      </c>
      <c r="K28" s="14">
        <f t="shared" si="5"/>
        <v>250.07</v>
      </c>
      <c r="L28" s="6">
        <v>366.81030680699996</v>
      </c>
      <c r="M28" s="14">
        <v>0</v>
      </c>
      <c r="N28" s="14">
        <f t="shared" si="6"/>
        <v>366.81030680699996</v>
      </c>
      <c r="O28" s="6">
        <v>381.90730898900006</v>
      </c>
      <c r="P28" s="14">
        <v>0</v>
      </c>
      <c r="Q28" s="14">
        <f t="shared" si="7"/>
        <v>381.90730898900006</v>
      </c>
      <c r="R28" s="6">
        <v>487.99840286400001</v>
      </c>
      <c r="S28" s="14">
        <v>0</v>
      </c>
      <c r="T28" s="14">
        <f t="shared" si="8"/>
        <v>487.99840286400001</v>
      </c>
      <c r="U28" s="6">
        <v>339.1873944269999</v>
      </c>
      <c r="V28" s="14">
        <v>0</v>
      </c>
      <c r="W28" s="14">
        <f t="shared" si="9"/>
        <v>339.1873944269999</v>
      </c>
      <c r="X28" s="6">
        <v>565.40987359700011</v>
      </c>
      <c r="Y28" s="14">
        <v>0</v>
      </c>
      <c r="Z28" s="14">
        <f t="shared" si="10"/>
        <v>565.40987359700011</v>
      </c>
      <c r="AA28" s="6">
        <v>706.98837248000007</v>
      </c>
      <c r="AB28" s="6">
        <v>-157.5</v>
      </c>
      <c r="AC28" s="6">
        <f t="shared" si="11"/>
        <v>549.48837248000007</v>
      </c>
      <c r="AD28" s="6">
        <v>500.37493548200007</v>
      </c>
      <c r="AE28" s="14">
        <v>0</v>
      </c>
      <c r="AF28" s="14">
        <f t="shared" si="12"/>
        <v>500.37493548200007</v>
      </c>
      <c r="AG28" s="6">
        <v>483.41235216699999</v>
      </c>
      <c r="AH28" s="14">
        <v>0</v>
      </c>
      <c r="AI28" s="14">
        <f t="shared" si="13"/>
        <v>483.41235216699999</v>
      </c>
      <c r="AJ28" s="6">
        <v>616.88687951399993</v>
      </c>
      <c r="AK28" s="14">
        <v>0</v>
      </c>
      <c r="AL28" s="14">
        <f t="shared" si="14"/>
        <v>616.88687951399993</v>
      </c>
      <c r="AM28" s="6">
        <v>687.22483676599995</v>
      </c>
      <c r="AN28" s="14">
        <v>0</v>
      </c>
      <c r="AO28" s="14">
        <f t="shared" si="15"/>
        <v>687.22483676599995</v>
      </c>
      <c r="AP28" s="12"/>
      <c r="AQ28" s="12"/>
    </row>
    <row r="29" spans="1:43" x14ac:dyDescent="0.3">
      <c r="A29" s="5">
        <v>23</v>
      </c>
      <c r="B29" s="2" t="s">
        <v>21</v>
      </c>
      <c r="C29" s="19">
        <f t="shared" si="1"/>
        <v>21145.197609284998</v>
      </c>
      <c r="D29" s="19">
        <f t="shared" si="2"/>
        <v>-417.6</v>
      </c>
      <c r="E29" s="19">
        <f t="shared" si="3"/>
        <v>20727.597609285</v>
      </c>
      <c r="F29" s="14">
        <v>1577.888018075</v>
      </c>
      <c r="G29" s="14">
        <v>0</v>
      </c>
      <c r="H29" s="14">
        <f t="shared" si="4"/>
        <v>1577.888018075</v>
      </c>
      <c r="I29" s="6">
        <v>1592.13</v>
      </c>
      <c r="J29" s="14">
        <v>0</v>
      </c>
      <c r="K29" s="14">
        <f t="shared" si="5"/>
        <v>1592.13</v>
      </c>
      <c r="L29" s="6">
        <v>1606.9533722579997</v>
      </c>
      <c r="M29" s="14">
        <v>0</v>
      </c>
      <c r="N29" s="14">
        <f t="shared" si="6"/>
        <v>1606.9533722579997</v>
      </c>
      <c r="O29" s="6">
        <v>1580.7497227429997</v>
      </c>
      <c r="P29" s="14">
        <v>0</v>
      </c>
      <c r="Q29" s="14">
        <f t="shared" si="7"/>
        <v>1580.7497227429997</v>
      </c>
      <c r="R29" s="6">
        <v>1447.40397291</v>
      </c>
      <c r="S29" s="14">
        <v>0</v>
      </c>
      <c r="T29" s="14">
        <f t="shared" si="8"/>
        <v>1447.40397291</v>
      </c>
      <c r="U29" s="6">
        <v>1221.1345058599998</v>
      </c>
      <c r="V29" s="14">
        <v>0</v>
      </c>
      <c r="W29" s="14">
        <f t="shared" si="9"/>
        <v>1221.1345058599998</v>
      </c>
      <c r="X29" s="6">
        <v>1690.0379605999999</v>
      </c>
      <c r="Y29" s="14">
        <v>0</v>
      </c>
      <c r="Z29" s="14">
        <f t="shared" si="10"/>
        <v>1690.0379605999999</v>
      </c>
      <c r="AA29" s="6">
        <v>1878.9479920369999</v>
      </c>
      <c r="AB29" s="6">
        <v>-417.6</v>
      </c>
      <c r="AC29" s="6">
        <f t="shared" si="11"/>
        <v>1461.347992037</v>
      </c>
      <c r="AD29" s="6">
        <v>2242.2846001749999</v>
      </c>
      <c r="AE29" s="14">
        <v>0</v>
      </c>
      <c r="AF29" s="14">
        <f t="shared" si="12"/>
        <v>2242.2846001749999</v>
      </c>
      <c r="AG29" s="6">
        <v>2074.7716964379997</v>
      </c>
      <c r="AH29" s="14">
        <v>0</v>
      </c>
      <c r="AI29" s="14">
        <f t="shared" si="13"/>
        <v>2074.7716964379997</v>
      </c>
      <c r="AJ29" s="6">
        <v>2026.6476079689999</v>
      </c>
      <c r="AK29" s="14">
        <v>0</v>
      </c>
      <c r="AL29" s="14">
        <f t="shared" si="14"/>
        <v>2026.6476079689999</v>
      </c>
      <c r="AM29" s="6">
        <v>2206.2481602199996</v>
      </c>
      <c r="AN29" s="14">
        <v>0</v>
      </c>
      <c r="AO29" s="14">
        <f t="shared" si="15"/>
        <v>2206.2481602199996</v>
      </c>
      <c r="AP29" s="12"/>
      <c r="AQ29" s="12"/>
    </row>
    <row r="30" spans="1:43" x14ac:dyDescent="0.3">
      <c r="A30" s="5">
        <v>24</v>
      </c>
      <c r="B30" s="2" t="s">
        <v>34</v>
      </c>
      <c r="C30" s="19">
        <f t="shared" si="1"/>
        <v>22077.208120787</v>
      </c>
      <c r="D30" s="19">
        <f t="shared" si="2"/>
        <v>-445.5</v>
      </c>
      <c r="E30" s="19">
        <f t="shared" si="3"/>
        <v>21631.708120787</v>
      </c>
      <c r="F30" s="14">
        <v>2434.4676400979997</v>
      </c>
      <c r="G30" s="14">
        <v>0</v>
      </c>
      <c r="H30" s="14">
        <f t="shared" si="4"/>
        <v>2434.4676400979997</v>
      </c>
      <c r="I30" s="6">
        <v>1784.82</v>
      </c>
      <c r="J30" s="14">
        <v>0</v>
      </c>
      <c r="K30" s="14">
        <f t="shared" si="5"/>
        <v>1784.82</v>
      </c>
      <c r="L30" s="6">
        <v>1571.5638166619997</v>
      </c>
      <c r="M30" s="14">
        <v>0</v>
      </c>
      <c r="N30" s="14">
        <f t="shared" si="6"/>
        <v>1571.5638166619997</v>
      </c>
      <c r="O30" s="6">
        <v>1916.9482295399998</v>
      </c>
      <c r="P30" s="14">
        <v>0</v>
      </c>
      <c r="Q30" s="14">
        <f t="shared" si="7"/>
        <v>1916.9482295399998</v>
      </c>
      <c r="R30" s="6">
        <v>1722.5004284709996</v>
      </c>
      <c r="S30" s="14">
        <v>0</v>
      </c>
      <c r="T30" s="14">
        <f t="shared" si="8"/>
        <v>1722.5004284709996</v>
      </c>
      <c r="U30" s="6">
        <v>836.28417097599993</v>
      </c>
      <c r="V30" s="14">
        <v>0</v>
      </c>
      <c r="W30" s="14">
        <f t="shared" si="9"/>
        <v>836.28417097599993</v>
      </c>
      <c r="X30" s="6">
        <v>2050.256666537</v>
      </c>
      <c r="Y30" s="14">
        <v>0</v>
      </c>
      <c r="Z30" s="14">
        <f t="shared" si="10"/>
        <v>2050.256666537</v>
      </c>
      <c r="AA30" s="6">
        <v>2003.0767864060006</v>
      </c>
      <c r="AB30" s="6">
        <v>-445.5</v>
      </c>
      <c r="AC30" s="6">
        <f t="shared" si="11"/>
        <v>1557.5767864060006</v>
      </c>
      <c r="AD30" s="6">
        <v>1721.5933526290005</v>
      </c>
      <c r="AE30" s="14">
        <v>0</v>
      </c>
      <c r="AF30" s="14">
        <f t="shared" si="12"/>
        <v>1721.5933526290005</v>
      </c>
      <c r="AG30" s="6">
        <v>2208.6790266420003</v>
      </c>
      <c r="AH30" s="14">
        <v>0</v>
      </c>
      <c r="AI30" s="14">
        <f t="shared" si="13"/>
        <v>2208.6790266420003</v>
      </c>
      <c r="AJ30" s="6">
        <v>2048.1082095669999</v>
      </c>
      <c r="AK30" s="14">
        <v>0</v>
      </c>
      <c r="AL30" s="14">
        <f t="shared" si="14"/>
        <v>2048.1082095669999</v>
      </c>
      <c r="AM30" s="6">
        <v>1778.9097932589996</v>
      </c>
      <c r="AN30" s="14">
        <v>0</v>
      </c>
      <c r="AO30" s="14">
        <f t="shared" si="15"/>
        <v>1778.9097932589996</v>
      </c>
      <c r="AP30" s="12"/>
      <c r="AQ30" s="12"/>
    </row>
    <row r="31" spans="1:43" x14ac:dyDescent="0.3">
      <c r="A31" s="5">
        <v>25</v>
      </c>
      <c r="B31" s="2" t="s">
        <v>22</v>
      </c>
      <c r="C31" s="19">
        <f t="shared" si="1"/>
        <v>0.97349161000000017</v>
      </c>
      <c r="D31" s="19">
        <f t="shared" si="2"/>
        <v>0</v>
      </c>
      <c r="E31" s="19">
        <f t="shared" si="3"/>
        <v>0.97349161000000017</v>
      </c>
      <c r="F31" s="14">
        <v>3.1700716999999996E-2</v>
      </c>
      <c r="G31" s="14">
        <v>0</v>
      </c>
      <c r="H31" s="14">
        <f t="shared" si="4"/>
        <v>3.1700716999999996E-2</v>
      </c>
      <c r="I31" s="6">
        <v>0.03</v>
      </c>
      <c r="J31" s="14">
        <v>0</v>
      </c>
      <c r="K31" s="14">
        <f t="shared" si="5"/>
        <v>0.03</v>
      </c>
      <c r="L31" s="6">
        <v>2.7987373999999999E-2</v>
      </c>
      <c r="M31" s="14">
        <v>0</v>
      </c>
      <c r="N31" s="14">
        <f t="shared" si="6"/>
        <v>2.7987373999999999E-2</v>
      </c>
      <c r="O31" s="6">
        <v>5.6977586999999996E-2</v>
      </c>
      <c r="P31" s="14">
        <v>0</v>
      </c>
      <c r="Q31" s="14">
        <f t="shared" si="7"/>
        <v>5.6977586999999996E-2</v>
      </c>
      <c r="R31" s="6">
        <v>3.3866582999999999E-2</v>
      </c>
      <c r="S31" s="14">
        <v>0</v>
      </c>
      <c r="T31" s="14">
        <f t="shared" si="8"/>
        <v>3.3866582999999999E-2</v>
      </c>
      <c r="U31" s="6">
        <v>7.3217827999999999E-2</v>
      </c>
      <c r="V31" s="14">
        <v>0</v>
      </c>
      <c r="W31" s="14">
        <f t="shared" si="9"/>
        <v>7.3217827999999999E-2</v>
      </c>
      <c r="X31" s="6">
        <v>0.38688702899999999</v>
      </c>
      <c r="Y31" s="14">
        <v>0</v>
      </c>
      <c r="Z31" s="14">
        <f t="shared" si="10"/>
        <v>0.38688702899999999</v>
      </c>
      <c r="AA31" s="6">
        <v>0.14686501900000001</v>
      </c>
      <c r="AB31" s="6">
        <v>0</v>
      </c>
      <c r="AC31" s="6">
        <f t="shared" si="11"/>
        <v>0.14686501900000001</v>
      </c>
      <c r="AD31" s="6">
        <v>6.0490659999999995E-2</v>
      </c>
      <c r="AE31" s="14">
        <v>0</v>
      </c>
      <c r="AF31" s="14">
        <f t="shared" si="12"/>
        <v>6.0490659999999995E-2</v>
      </c>
      <c r="AG31" s="6">
        <v>2.6124121999999996E-2</v>
      </c>
      <c r="AH31" s="14">
        <v>0</v>
      </c>
      <c r="AI31" s="14">
        <f t="shared" si="13"/>
        <v>2.6124121999999996E-2</v>
      </c>
      <c r="AJ31" s="6">
        <v>6.4367456999999989E-2</v>
      </c>
      <c r="AK31" s="14">
        <v>0</v>
      </c>
      <c r="AL31" s="14">
        <f t="shared" si="14"/>
        <v>6.4367456999999989E-2</v>
      </c>
      <c r="AM31" s="6">
        <v>3.5007233999999998E-2</v>
      </c>
      <c r="AN31" s="14">
        <v>0</v>
      </c>
      <c r="AO31" s="14">
        <f t="shared" si="15"/>
        <v>3.5007233999999998E-2</v>
      </c>
      <c r="AP31" s="12"/>
      <c r="AQ31" s="12"/>
    </row>
    <row r="32" spans="1:43" x14ac:dyDescent="0.3">
      <c r="A32" s="5">
        <v>26</v>
      </c>
      <c r="B32" s="2" t="s">
        <v>23</v>
      </c>
      <c r="C32" s="19">
        <f t="shared" si="1"/>
        <v>431.30205117300011</v>
      </c>
      <c r="D32" s="19">
        <f t="shared" si="2"/>
        <v>-10.8</v>
      </c>
      <c r="E32" s="19">
        <f t="shared" si="3"/>
        <v>420.5020511730001</v>
      </c>
      <c r="F32" s="14">
        <v>60.694765017000009</v>
      </c>
      <c r="G32" s="14">
        <v>0</v>
      </c>
      <c r="H32" s="14">
        <f t="shared" si="4"/>
        <v>60.694765017000009</v>
      </c>
      <c r="I32" s="6">
        <v>45.02</v>
      </c>
      <c r="J32" s="14">
        <v>0</v>
      </c>
      <c r="K32" s="14">
        <f t="shared" si="5"/>
        <v>45.02</v>
      </c>
      <c r="L32" s="6">
        <v>27.966148110000002</v>
      </c>
      <c r="M32" s="14">
        <v>0</v>
      </c>
      <c r="N32" s="14">
        <f t="shared" si="6"/>
        <v>27.966148110000002</v>
      </c>
      <c r="O32" s="6">
        <v>29.019664471999995</v>
      </c>
      <c r="P32" s="14">
        <v>0</v>
      </c>
      <c r="Q32" s="14">
        <f t="shared" si="7"/>
        <v>29.019664471999995</v>
      </c>
      <c r="R32" s="6">
        <v>39.655569991999997</v>
      </c>
      <c r="S32" s="14">
        <v>0</v>
      </c>
      <c r="T32" s="14">
        <f t="shared" si="8"/>
        <v>39.655569991999997</v>
      </c>
      <c r="U32" s="6">
        <v>-10.024784525000001</v>
      </c>
      <c r="V32" s="14">
        <v>0</v>
      </c>
      <c r="W32" s="14">
        <f t="shared" si="9"/>
        <v>-10.024784525000001</v>
      </c>
      <c r="X32" s="6">
        <v>41.214883291</v>
      </c>
      <c r="Y32" s="14">
        <v>0</v>
      </c>
      <c r="Z32" s="14">
        <f t="shared" si="10"/>
        <v>41.214883291</v>
      </c>
      <c r="AA32" s="6">
        <v>48.994474919000005</v>
      </c>
      <c r="AB32" s="6">
        <v>-10.8</v>
      </c>
      <c r="AC32" s="6">
        <f t="shared" si="11"/>
        <v>38.194474919000001</v>
      </c>
      <c r="AD32" s="6">
        <v>50.698842810999999</v>
      </c>
      <c r="AE32" s="14">
        <v>0</v>
      </c>
      <c r="AF32" s="14">
        <f t="shared" si="12"/>
        <v>50.698842810999999</v>
      </c>
      <c r="AG32" s="6">
        <v>44.146850008000001</v>
      </c>
      <c r="AH32" s="14">
        <v>0</v>
      </c>
      <c r="AI32" s="14">
        <f t="shared" si="13"/>
        <v>44.146850008000001</v>
      </c>
      <c r="AJ32" s="6">
        <v>40.142567228000004</v>
      </c>
      <c r="AK32" s="14">
        <v>0</v>
      </c>
      <c r="AL32" s="14">
        <f t="shared" si="14"/>
        <v>40.142567228000004</v>
      </c>
      <c r="AM32" s="6">
        <v>13.773069850000001</v>
      </c>
      <c r="AN32" s="14">
        <v>0</v>
      </c>
      <c r="AO32" s="14">
        <f t="shared" si="15"/>
        <v>13.773069850000001</v>
      </c>
      <c r="AP32" s="12"/>
      <c r="AQ32" s="12"/>
    </row>
    <row r="33" spans="1:43" x14ac:dyDescent="0.3">
      <c r="A33" s="5">
        <v>27</v>
      </c>
      <c r="B33" s="2" t="s">
        <v>35</v>
      </c>
      <c r="C33" s="19">
        <f t="shared" si="1"/>
        <v>49389.446250237997</v>
      </c>
      <c r="D33" s="19">
        <f t="shared" si="2"/>
        <v>-1117.8</v>
      </c>
      <c r="E33" s="19">
        <f t="shared" si="3"/>
        <v>48271.646250238002</v>
      </c>
      <c r="F33" s="14">
        <v>4906.5158411880002</v>
      </c>
      <c r="G33" s="14">
        <v>0</v>
      </c>
      <c r="H33" s="14">
        <f t="shared" si="4"/>
        <v>4906.5158411880002</v>
      </c>
      <c r="I33" s="6">
        <v>3331.02</v>
      </c>
      <c r="J33" s="14">
        <v>0</v>
      </c>
      <c r="K33" s="14">
        <f t="shared" si="5"/>
        <v>3331.02</v>
      </c>
      <c r="L33" s="6">
        <v>3484.5521983680001</v>
      </c>
      <c r="M33" s="14">
        <v>0</v>
      </c>
      <c r="N33" s="14">
        <f t="shared" si="6"/>
        <v>3484.5521983680001</v>
      </c>
      <c r="O33" s="6">
        <v>4166.8323191480013</v>
      </c>
      <c r="P33" s="14">
        <v>0</v>
      </c>
      <c r="Q33" s="14">
        <f t="shared" si="7"/>
        <v>4166.8323191480013</v>
      </c>
      <c r="R33" s="6">
        <v>3840.9494392379997</v>
      </c>
      <c r="S33" s="14">
        <v>0</v>
      </c>
      <c r="T33" s="14">
        <f t="shared" si="8"/>
        <v>3840.9494392379997</v>
      </c>
      <c r="U33" s="6">
        <v>2948.9727584029997</v>
      </c>
      <c r="V33" s="14">
        <v>0</v>
      </c>
      <c r="W33" s="14">
        <f t="shared" si="9"/>
        <v>2948.9727584029997</v>
      </c>
      <c r="X33" s="6">
        <v>3975.9050389659997</v>
      </c>
      <c r="Y33" s="14">
        <v>0</v>
      </c>
      <c r="Z33" s="14">
        <f t="shared" si="10"/>
        <v>3975.9050389659997</v>
      </c>
      <c r="AA33" s="6">
        <v>5031.9164275099993</v>
      </c>
      <c r="AB33" s="6">
        <v>-1117.8</v>
      </c>
      <c r="AC33" s="6">
        <f t="shared" si="11"/>
        <v>3914.1164275099991</v>
      </c>
      <c r="AD33" s="6">
        <v>3729.2385104409996</v>
      </c>
      <c r="AE33" s="14">
        <v>0</v>
      </c>
      <c r="AF33" s="14">
        <f t="shared" si="12"/>
        <v>3729.2385104409996</v>
      </c>
      <c r="AG33" s="6">
        <v>4267.8190243369991</v>
      </c>
      <c r="AH33" s="14">
        <v>0</v>
      </c>
      <c r="AI33" s="14">
        <f t="shared" si="13"/>
        <v>4267.8190243369991</v>
      </c>
      <c r="AJ33" s="6">
        <v>4442.7489545129993</v>
      </c>
      <c r="AK33" s="14">
        <v>0</v>
      </c>
      <c r="AL33" s="14">
        <f t="shared" si="14"/>
        <v>4442.7489545129993</v>
      </c>
      <c r="AM33" s="6">
        <v>5262.9757381260006</v>
      </c>
      <c r="AN33" s="14">
        <v>0</v>
      </c>
      <c r="AO33" s="14">
        <f t="shared" si="15"/>
        <v>5262.9757381260006</v>
      </c>
      <c r="AP33" s="12"/>
      <c r="AQ33" s="12"/>
    </row>
    <row r="34" spans="1:43" x14ac:dyDescent="0.3">
      <c r="A34" s="5">
        <v>29</v>
      </c>
      <c r="B34" s="2" t="s">
        <v>24</v>
      </c>
      <c r="C34" s="19">
        <f t="shared" si="1"/>
        <v>35015.383482971003</v>
      </c>
      <c r="D34" s="19">
        <f t="shared" si="2"/>
        <v>-798.3</v>
      </c>
      <c r="E34" s="19">
        <f t="shared" si="3"/>
        <v>34217.083482971</v>
      </c>
      <c r="F34" s="14">
        <v>3092.3751459999999</v>
      </c>
      <c r="G34" s="14">
        <v>0</v>
      </c>
      <c r="H34" s="14">
        <f t="shared" si="4"/>
        <v>3092.3751459999999</v>
      </c>
      <c r="I34" s="6">
        <v>2681.87</v>
      </c>
      <c r="J34" s="14">
        <v>0</v>
      </c>
      <c r="K34" s="14">
        <f t="shared" si="5"/>
        <v>2681.87</v>
      </c>
      <c r="L34" s="6">
        <v>2688.904066821</v>
      </c>
      <c r="M34" s="14">
        <v>0</v>
      </c>
      <c r="N34" s="14">
        <f t="shared" si="6"/>
        <v>2688.904066821</v>
      </c>
      <c r="O34" s="6">
        <v>2650.1241443220001</v>
      </c>
      <c r="P34" s="14">
        <v>0</v>
      </c>
      <c r="Q34" s="14">
        <f t="shared" si="7"/>
        <v>2650.1241443220001</v>
      </c>
      <c r="R34" s="6">
        <v>2626.9912027379996</v>
      </c>
      <c r="S34" s="14">
        <v>0</v>
      </c>
      <c r="T34" s="14">
        <f t="shared" si="8"/>
        <v>2626.9912027379996</v>
      </c>
      <c r="U34" s="6">
        <v>2324.5422626019999</v>
      </c>
      <c r="V34" s="14">
        <v>0</v>
      </c>
      <c r="W34" s="14">
        <f t="shared" si="9"/>
        <v>2324.5422626019999</v>
      </c>
      <c r="X34" s="6">
        <v>3192.5088591959998</v>
      </c>
      <c r="Y34" s="14">
        <v>0</v>
      </c>
      <c r="Z34" s="14">
        <f t="shared" si="10"/>
        <v>3192.5088591959998</v>
      </c>
      <c r="AA34" s="6">
        <v>3594.4258163630006</v>
      </c>
      <c r="AB34" s="6">
        <v>-798.3</v>
      </c>
      <c r="AC34" s="6">
        <f t="shared" si="11"/>
        <v>2796.1258163630009</v>
      </c>
      <c r="AD34" s="6">
        <v>2757.1692140489999</v>
      </c>
      <c r="AE34" s="14">
        <v>0</v>
      </c>
      <c r="AF34" s="14">
        <f t="shared" si="12"/>
        <v>2757.1692140489999</v>
      </c>
      <c r="AG34" s="6">
        <v>3258.655045811</v>
      </c>
      <c r="AH34" s="14">
        <v>0</v>
      </c>
      <c r="AI34" s="14">
        <f t="shared" si="13"/>
        <v>3258.655045811</v>
      </c>
      <c r="AJ34" s="6">
        <v>3054.0354746809999</v>
      </c>
      <c r="AK34" s="14">
        <v>0</v>
      </c>
      <c r="AL34" s="14">
        <f t="shared" si="14"/>
        <v>3054.0354746809999</v>
      </c>
      <c r="AM34" s="6">
        <v>3093.7822503880006</v>
      </c>
      <c r="AN34" s="14">
        <v>0</v>
      </c>
      <c r="AO34" s="14">
        <f t="shared" si="15"/>
        <v>3093.7822503880006</v>
      </c>
      <c r="AP34" s="12"/>
      <c r="AQ34" s="12"/>
    </row>
    <row r="35" spans="1:43" x14ac:dyDescent="0.3">
      <c r="A35" s="5">
        <v>30</v>
      </c>
      <c r="B35" s="2" t="s">
        <v>25</v>
      </c>
      <c r="C35" s="19">
        <f t="shared" si="1"/>
        <v>1807.4288321730003</v>
      </c>
      <c r="D35" s="19">
        <f t="shared" si="2"/>
        <v>-38.700000000000003</v>
      </c>
      <c r="E35" s="19">
        <f t="shared" si="3"/>
        <v>1768.7288321730002</v>
      </c>
      <c r="F35" s="14">
        <v>164.04781987000004</v>
      </c>
      <c r="G35" s="14">
        <v>0</v>
      </c>
      <c r="H35" s="14">
        <f t="shared" si="4"/>
        <v>164.04781987000004</v>
      </c>
      <c r="I35" s="6">
        <v>141.19999999999999</v>
      </c>
      <c r="J35" s="14">
        <v>0</v>
      </c>
      <c r="K35" s="14">
        <f t="shared" si="5"/>
        <v>141.19999999999999</v>
      </c>
      <c r="L35" s="6">
        <v>162.97329685899999</v>
      </c>
      <c r="M35" s="14">
        <v>0</v>
      </c>
      <c r="N35" s="14">
        <f t="shared" si="6"/>
        <v>162.97329685899999</v>
      </c>
      <c r="O35" s="6">
        <v>146.33717856300001</v>
      </c>
      <c r="P35" s="14">
        <v>0</v>
      </c>
      <c r="Q35" s="14">
        <f t="shared" si="7"/>
        <v>146.33717856300001</v>
      </c>
      <c r="R35" s="6">
        <v>111.17193983999998</v>
      </c>
      <c r="S35" s="14">
        <v>0</v>
      </c>
      <c r="T35" s="14">
        <f t="shared" si="8"/>
        <v>111.17193983999998</v>
      </c>
      <c r="U35" s="6">
        <v>104.78884630900001</v>
      </c>
      <c r="V35" s="14">
        <v>0</v>
      </c>
      <c r="W35" s="14">
        <f t="shared" si="9"/>
        <v>104.78884630900001</v>
      </c>
      <c r="X35" s="6">
        <v>161.295394894</v>
      </c>
      <c r="Y35" s="14">
        <v>0</v>
      </c>
      <c r="Z35" s="14">
        <f t="shared" si="10"/>
        <v>161.295394894</v>
      </c>
      <c r="AA35" s="6">
        <v>175.84468848999998</v>
      </c>
      <c r="AB35" s="6">
        <v>-38.700000000000003</v>
      </c>
      <c r="AC35" s="6">
        <f t="shared" si="11"/>
        <v>137.14468848999996</v>
      </c>
      <c r="AD35" s="6">
        <v>137.59046990300001</v>
      </c>
      <c r="AE35" s="14">
        <v>0</v>
      </c>
      <c r="AF35" s="14">
        <f t="shared" si="12"/>
        <v>137.59046990300001</v>
      </c>
      <c r="AG35" s="6">
        <v>183.07602020600001</v>
      </c>
      <c r="AH35" s="14">
        <v>0</v>
      </c>
      <c r="AI35" s="14">
        <f t="shared" si="13"/>
        <v>183.07602020600001</v>
      </c>
      <c r="AJ35" s="6">
        <v>165.35508610300002</v>
      </c>
      <c r="AK35" s="14">
        <v>0</v>
      </c>
      <c r="AL35" s="14">
        <f t="shared" si="14"/>
        <v>165.35508610300002</v>
      </c>
      <c r="AM35" s="6">
        <v>153.748091136</v>
      </c>
      <c r="AN35" s="14">
        <v>0</v>
      </c>
      <c r="AO35" s="14">
        <f t="shared" si="15"/>
        <v>153.748091136</v>
      </c>
      <c r="AP35" s="12"/>
      <c r="AQ35" s="12"/>
    </row>
    <row r="36" spans="1:43" x14ac:dyDescent="0.3">
      <c r="A36" s="5">
        <v>31</v>
      </c>
      <c r="B36" s="2" t="s">
        <v>26</v>
      </c>
      <c r="C36" s="19">
        <f t="shared" si="1"/>
        <v>63.180668729000004</v>
      </c>
      <c r="D36" s="19">
        <f t="shared" si="2"/>
        <v>0</v>
      </c>
      <c r="E36" s="19">
        <f t="shared" si="3"/>
        <v>63.180668729000004</v>
      </c>
      <c r="F36" s="14">
        <v>16.569466791</v>
      </c>
      <c r="G36" s="14">
        <v>0</v>
      </c>
      <c r="H36" s="14">
        <f t="shared" si="4"/>
        <v>16.569466791</v>
      </c>
      <c r="I36" s="6">
        <v>6.94</v>
      </c>
      <c r="J36" s="14">
        <v>0</v>
      </c>
      <c r="K36" s="14">
        <f t="shared" si="5"/>
        <v>6.94</v>
      </c>
      <c r="L36" s="6">
        <v>4.8004767040000003</v>
      </c>
      <c r="M36" s="14">
        <v>0</v>
      </c>
      <c r="N36" s="14">
        <f t="shared" si="6"/>
        <v>4.8004767040000003</v>
      </c>
      <c r="O36" s="6">
        <v>12.531051496</v>
      </c>
      <c r="P36" s="14">
        <v>0</v>
      </c>
      <c r="Q36" s="14">
        <f t="shared" si="7"/>
        <v>12.531051496</v>
      </c>
      <c r="R36" s="6">
        <v>1.755414405</v>
      </c>
      <c r="S36" s="14">
        <v>0</v>
      </c>
      <c r="T36" s="14">
        <f t="shared" si="8"/>
        <v>1.755414405</v>
      </c>
      <c r="U36" s="6">
        <v>2.6115863289999997</v>
      </c>
      <c r="V36" s="14">
        <v>0</v>
      </c>
      <c r="W36" s="14">
        <f t="shared" si="9"/>
        <v>2.6115863289999997</v>
      </c>
      <c r="X36" s="6">
        <v>5.385410802</v>
      </c>
      <c r="Y36" s="14">
        <v>0</v>
      </c>
      <c r="Z36" s="14">
        <f t="shared" si="10"/>
        <v>5.385410802</v>
      </c>
      <c r="AA36" s="6">
        <v>2.1621414039999998</v>
      </c>
      <c r="AB36" s="6">
        <v>0</v>
      </c>
      <c r="AC36" s="6">
        <f t="shared" si="11"/>
        <v>2.1621414039999998</v>
      </c>
      <c r="AD36" s="6">
        <v>2.1429424949999998</v>
      </c>
      <c r="AE36" s="14">
        <v>0</v>
      </c>
      <c r="AF36" s="14">
        <f t="shared" si="12"/>
        <v>2.1429424949999998</v>
      </c>
      <c r="AG36" s="6">
        <v>4.171007436</v>
      </c>
      <c r="AH36" s="14">
        <v>0</v>
      </c>
      <c r="AI36" s="14">
        <f t="shared" si="13"/>
        <v>4.171007436</v>
      </c>
      <c r="AJ36" s="6">
        <v>2.1463289980000004</v>
      </c>
      <c r="AK36" s="14">
        <v>0</v>
      </c>
      <c r="AL36" s="14">
        <f t="shared" si="14"/>
        <v>2.1463289980000004</v>
      </c>
      <c r="AM36" s="6">
        <v>1.9648418689999998</v>
      </c>
      <c r="AN36" s="14">
        <v>0</v>
      </c>
      <c r="AO36" s="14">
        <f t="shared" si="15"/>
        <v>1.9648418689999998</v>
      </c>
      <c r="AP36" s="12"/>
      <c r="AQ36" s="12"/>
    </row>
    <row r="37" spans="1:43" x14ac:dyDescent="0.3">
      <c r="A37" s="5">
        <v>32</v>
      </c>
      <c r="B37" s="2" t="s">
        <v>27</v>
      </c>
      <c r="C37" s="19">
        <f t="shared" si="1"/>
        <v>17238.167219752999</v>
      </c>
      <c r="D37" s="19">
        <f t="shared" si="2"/>
        <v>-332.1</v>
      </c>
      <c r="E37" s="19">
        <f t="shared" si="3"/>
        <v>16906.067219753</v>
      </c>
      <c r="F37" s="14">
        <v>1620.605522971</v>
      </c>
      <c r="G37" s="14">
        <v>0</v>
      </c>
      <c r="H37" s="14">
        <f t="shared" si="4"/>
        <v>1620.605522971</v>
      </c>
      <c r="I37" s="6">
        <v>1347.31</v>
      </c>
      <c r="J37" s="14">
        <v>0</v>
      </c>
      <c r="K37" s="14">
        <f t="shared" si="5"/>
        <v>1347.31</v>
      </c>
      <c r="L37" s="6">
        <v>1415.1123308869999</v>
      </c>
      <c r="M37" s="14">
        <v>0</v>
      </c>
      <c r="N37" s="14">
        <f t="shared" si="6"/>
        <v>1415.1123308869999</v>
      </c>
      <c r="O37" s="6">
        <v>1441.0440465680001</v>
      </c>
      <c r="P37" s="14">
        <v>0</v>
      </c>
      <c r="Q37" s="14">
        <f t="shared" si="7"/>
        <v>1441.0440465680001</v>
      </c>
      <c r="R37" s="6">
        <v>1437.0269767820002</v>
      </c>
      <c r="S37" s="14">
        <v>0</v>
      </c>
      <c r="T37" s="14">
        <f t="shared" si="8"/>
        <v>1437.0269767820002</v>
      </c>
      <c r="U37" s="6">
        <v>1579.2378091749999</v>
      </c>
      <c r="V37" s="14">
        <v>0</v>
      </c>
      <c r="W37" s="14">
        <f t="shared" si="9"/>
        <v>1579.2378091749999</v>
      </c>
      <c r="X37" s="6">
        <v>1447.3088295990001</v>
      </c>
      <c r="Y37" s="14">
        <v>0</v>
      </c>
      <c r="Z37" s="14">
        <f t="shared" si="10"/>
        <v>1447.3088295990001</v>
      </c>
      <c r="AA37" s="6">
        <v>1495.8362480879998</v>
      </c>
      <c r="AB37" s="6">
        <v>-332.1</v>
      </c>
      <c r="AC37" s="6">
        <f t="shared" si="11"/>
        <v>1163.7362480879997</v>
      </c>
      <c r="AD37" s="6">
        <v>1300.8443675460001</v>
      </c>
      <c r="AE37" s="14">
        <v>0</v>
      </c>
      <c r="AF37" s="14">
        <f t="shared" si="12"/>
        <v>1300.8443675460001</v>
      </c>
      <c r="AG37" s="6">
        <v>1407.278207028</v>
      </c>
      <c r="AH37" s="14">
        <v>0</v>
      </c>
      <c r="AI37" s="14">
        <f t="shared" si="13"/>
        <v>1407.278207028</v>
      </c>
      <c r="AJ37" s="6">
        <v>1389.3899423309999</v>
      </c>
      <c r="AK37" s="14">
        <v>0</v>
      </c>
      <c r="AL37" s="14">
        <f t="shared" si="14"/>
        <v>1389.3899423309999</v>
      </c>
      <c r="AM37" s="6">
        <v>1357.1729387780001</v>
      </c>
      <c r="AN37" s="14">
        <v>0</v>
      </c>
      <c r="AO37" s="14">
        <f t="shared" si="15"/>
        <v>1357.1729387780001</v>
      </c>
      <c r="AP37" s="12"/>
      <c r="AQ37" s="12"/>
    </row>
    <row r="38" spans="1:43" x14ac:dyDescent="0.3">
      <c r="A38" s="5">
        <v>33</v>
      </c>
      <c r="B38" s="2" t="s">
        <v>28</v>
      </c>
      <c r="C38" s="19">
        <f t="shared" si="1"/>
        <v>25212.161278232998</v>
      </c>
      <c r="D38" s="19">
        <f t="shared" si="2"/>
        <v>-459.9</v>
      </c>
      <c r="E38" s="19">
        <f t="shared" si="3"/>
        <v>24752.261278232996</v>
      </c>
      <c r="F38" s="14">
        <v>2196.1694092920002</v>
      </c>
      <c r="G38" s="14">
        <v>0</v>
      </c>
      <c r="H38" s="14">
        <f t="shared" si="4"/>
        <v>2196.1694092920002</v>
      </c>
      <c r="I38" s="6">
        <v>1728.14</v>
      </c>
      <c r="J38" s="14">
        <v>0</v>
      </c>
      <c r="K38" s="14">
        <f t="shared" si="5"/>
        <v>1728.14</v>
      </c>
      <c r="L38" s="6">
        <v>1873.3065069909997</v>
      </c>
      <c r="M38" s="14">
        <v>0</v>
      </c>
      <c r="N38" s="14">
        <f t="shared" si="6"/>
        <v>1873.3065069909997</v>
      </c>
      <c r="O38" s="6">
        <v>2119.2253014570006</v>
      </c>
      <c r="P38" s="14">
        <v>0</v>
      </c>
      <c r="Q38" s="14">
        <f t="shared" si="7"/>
        <v>2119.2253014570006</v>
      </c>
      <c r="R38" s="6">
        <v>2211.9450404540003</v>
      </c>
      <c r="S38" s="14">
        <v>0</v>
      </c>
      <c r="T38" s="14">
        <f t="shared" si="8"/>
        <v>2211.9450404540003</v>
      </c>
      <c r="U38" s="6">
        <v>1491.1936859999998</v>
      </c>
      <c r="V38" s="14">
        <v>0</v>
      </c>
      <c r="W38" s="14">
        <f t="shared" si="9"/>
        <v>1491.1936859999998</v>
      </c>
      <c r="X38" s="6">
        <v>2194.9010903029998</v>
      </c>
      <c r="Y38" s="14">
        <v>0</v>
      </c>
      <c r="Z38" s="14">
        <f t="shared" si="10"/>
        <v>2194.9010903029998</v>
      </c>
      <c r="AA38" s="6">
        <v>2070.5168975399997</v>
      </c>
      <c r="AB38" s="6">
        <v>-459.9</v>
      </c>
      <c r="AC38" s="6">
        <f t="shared" si="11"/>
        <v>1610.6168975399996</v>
      </c>
      <c r="AD38" s="6">
        <v>2205.2715372840003</v>
      </c>
      <c r="AE38" s="14">
        <v>0</v>
      </c>
      <c r="AF38" s="14">
        <f t="shared" si="12"/>
        <v>2205.2715372840003</v>
      </c>
      <c r="AG38" s="6">
        <v>2278.6080969959999</v>
      </c>
      <c r="AH38" s="14">
        <v>0</v>
      </c>
      <c r="AI38" s="14">
        <f t="shared" si="13"/>
        <v>2278.6080969959999</v>
      </c>
      <c r="AJ38" s="6">
        <v>1971.1887664419994</v>
      </c>
      <c r="AK38" s="14">
        <v>0</v>
      </c>
      <c r="AL38" s="14">
        <f t="shared" si="14"/>
        <v>1971.1887664419994</v>
      </c>
      <c r="AM38" s="6">
        <v>2871.6949454740002</v>
      </c>
      <c r="AN38" s="14">
        <v>0</v>
      </c>
      <c r="AO38" s="14">
        <f t="shared" si="15"/>
        <v>2871.6949454740002</v>
      </c>
      <c r="AP38" s="12"/>
      <c r="AQ38" s="12"/>
    </row>
    <row r="39" spans="1:43" x14ac:dyDescent="0.3">
      <c r="A39" s="5">
        <v>34</v>
      </c>
      <c r="B39" s="2" t="s">
        <v>29</v>
      </c>
      <c r="C39" s="19">
        <f t="shared" si="1"/>
        <v>873.18982418500002</v>
      </c>
      <c r="D39" s="19">
        <f t="shared" si="2"/>
        <v>-16.2</v>
      </c>
      <c r="E39" s="19">
        <f t="shared" si="3"/>
        <v>856.98982418499997</v>
      </c>
      <c r="F39" s="14">
        <v>66.032963199999998</v>
      </c>
      <c r="G39" s="14">
        <v>0</v>
      </c>
      <c r="H39" s="14">
        <f t="shared" si="4"/>
        <v>66.032963199999998</v>
      </c>
      <c r="I39" s="6">
        <v>62.67</v>
      </c>
      <c r="J39" s="14">
        <v>0</v>
      </c>
      <c r="K39" s="14">
        <f t="shared" si="5"/>
        <v>62.67</v>
      </c>
      <c r="L39" s="6">
        <v>184.208136497</v>
      </c>
      <c r="M39" s="14">
        <v>0</v>
      </c>
      <c r="N39" s="14">
        <f t="shared" si="6"/>
        <v>184.208136497</v>
      </c>
      <c r="O39" s="6">
        <v>57.426444230000008</v>
      </c>
      <c r="P39" s="14">
        <v>0</v>
      </c>
      <c r="Q39" s="14">
        <f t="shared" si="7"/>
        <v>57.426444230000008</v>
      </c>
      <c r="R39" s="6">
        <v>50.812024159999993</v>
      </c>
      <c r="S39" s="14">
        <v>0</v>
      </c>
      <c r="T39" s="14">
        <f t="shared" si="8"/>
        <v>50.812024159999993</v>
      </c>
      <c r="U39" s="6">
        <v>60.126710630000005</v>
      </c>
      <c r="V39" s="14">
        <v>0</v>
      </c>
      <c r="W39" s="14">
        <f t="shared" si="9"/>
        <v>60.126710630000005</v>
      </c>
      <c r="X39" s="6">
        <v>63.863028565999997</v>
      </c>
      <c r="Y39" s="14">
        <v>0</v>
      </c>
      <c r="Z39" s="14">
        <f t="shared" si="10"/>
        <v>63.863028565999997</v>
      </c>
      <c r="AA39" s="6">
        <v>73.621134803000004</v>
      </c>
      <c r="AB39" s="6">
        <v>-16.2</v>
      </c>
      <c r="AC39" s="6">
        <f t="shared" si="11"/>
        <v>57.421134803000001</v>
      </c>
      <c r="AD39" s="6">
        <v>62.797923032000007</v>
      </c>
      <c r="AE39" s="14">
        <v>0</v>
      </c>
      <c r="AF39" s="14">
        <f t="shared" si="12"/>
        <v>62.797923032000007</v>
      </c>
      <c r="AG39" s="6">
        <v>53.352571064999999</v>
      </c>
      <c r="AH39" s="14">
        <v>0</v>
      </c>
      <c r="AI39" s="14">
        <f t="shared" si="13"/>
        <v>53.352571064999999</v>
      </c>
      <c r="AJ39" s="6">
        <v>69.752952726000004</v>
      </c>
      <c r="AK39" s="14">
        <v>0</v>
      </c>
      <c r="AL39" s="14">
        <f t="shared" si="14"/>
        <v>69.752952726000004</v>
      </c>
      <c r="AM39" s="6">
        <v>68.525935275999998</v>
      </c>
      <c r="AN39" s="14">
        <v>0</v>
      </c>
      <c r="AO39" s="14">
        <f t="shared" si="15"/>
        <v>68.525935275999998</v>
      </c>
      <c r="AP39" s="12"/>
      <c r="AQ39" s="12"/>
    </row>
    <row r="40" spans="1:43" x14ac:dyDescent="0.3">
      <c r="A40" s="5">
        <v>35</v>
      </c>
      <c r="B40" s="2" t="s">
        <v>36</v>
      </c>
      <c r="C40" s="19">
        <f t="shared" si="1"/>
        <v>327.21478163099999</v>
      </c>
      <c r="D40" s="19">
        <f t="shared" si="2"/>
        <v>-5.4</v>
      </c>
      <c r="E40" s="19">
        <f t="shared" si="3"/>
        <v>321.8147816309999</v>
      </c>
      <c r="F40" s="14">
        <v>31.786899087000005</v>
      </c>
      <c r="G40" s="14">
        <v>0</v>
      </c>
      <c r="H40" s="14">
        <f t="shared" si="4"/>
        <v>31.786899087000005</v>
      </c>
      <c r="I40" s="6">
        <v>26.13</v>
      </c>
      <c r="J40" s="14">
        <v>0</v>
      </c>
      <c r="K40" s="14">
        <f t="shared" si="5"/>
        <v>26.13</v>
      </c>
      <c r="L40" s="6">
        <v>24.331443681</v>
      </c>
      <c r="M40" s="14">
        <v>0</v>
      </c>
      <c r="N40" s="14">
        <f t="shared" si="6"/>
        <v>24.331443681</v>
      </c>
      <c r="O40" s="6">
        <v>25.495684271000002</v>
      </c>
      <c r="P40" s="14">
        <v>0</v>
      </c>
      <c r="Q40" s="14">
        <f t="shared" si="7"/>
        <v>25.495684271000002</v>
      </c>
      <c r="R40" s="6">
        <v>22.460900519000003</v>
      </c>
      <c r="S40" s="14">
        <v>0</v>
      </c>
      <c r="T40" s="14">
        <f t="shared" si="8"/>
        <v>22.460900519000003</v>
      </c>
      <c r="U40" s="6">
        <v>30.100394191000003</v>
      </c>
      <c r="V40" s="14">
        <v>0</v>
      </c>
      <c r="W40" s="14">
        <f t="shared" si="9"/>
        <v>30.100394191000003</v>
      </c>
      <c r="X40" s="6">
        <v>26.042883526999997</v>
      </c>
      <c r="Y40" s="14">
        <v>0</v>
      </c>
      <c r="Z40" s="14">
        <f t="shared" si="10"/>
        <v>26.042883526999997</v>
      </c>
      <c r="AA40" s="6">
        <v>25.336040655000001</v>
      </c>
      <c r="AB40" s="6">
        <v>-5.4</v>
      </c>
      <c r="AC40" s="6">
        <f t="shared" si="11"/>
        <v>19.936040654999999</v>
      </c>
      <c r="AD40" s="6">
        <v>27.627497732999998</v>
      </c>
      <c r="AE40" s="14">
        <v>0</v>
      </c>
      <c r="AF40" s="14">
        <f t="shared" si="12"/>
        <v>27.627497732999998</v>
      </c>
      <c r="AG40" s="6">
        <v>32.129275008999997</v>
      </c>
      <c r="AH40" s="14">
        <v>0</v>
      </c>
      <c r="AI40" s="14">
        <f t="shared" si="13"/>
        <v>32.129275008999997</v>
      </c>
      <c r="AJ40" s="6">
        <v>30.316965865000004</v>
      </c>
      <c r="AK40" s="14">
        <v>0</v>
      </c>
      <c r="AL40" s="14">
        <f t="shared" si="14"/>
        <v>30.316965865000004</v>
      </c>
      <c r="AM40" s="6">
        <v>25.456797093000002</v>
      </c>
      <c r="AN40" s="14">
        <v>0</v>
      </c>
      <c r="AO40" s="14">
        <f t="shared" si="15"/>
        <v>25.456797093000002</v>
      </c>
      <c r="AP40" s="12"/>
      <c r="AQ40" s="12"/>
    </row>
    <row r="41" spans="1:43" x14ac:dyDescent="0.3">
      <c r="A41" s="5">
        <v>36</v>
      </c>
      <c r="B41" s="2" t="s">
        <v>30</v>
      </c>
      <c r="C41" s="19">
        <f t="shared" si="1"/>
        <v>21093.406908062003</v>
      </c>
      <c r="D41" s="19">
        <f t="shared" si="2"/>
        <v>-456.3</v>
      </c>
      <c r="E41" s="19">
        <f t="shared" si="3"/>
        <v>20637.106908062</v>
      </c>
      <c r="F41" s="14">
        <v>1891.0590757259997</v>
      </c>
      <c r="G41" s="14">
        <v>0</v>
      </c>
      <c r="H41" s="14">
        <f t="shared" si="4"/>
        <v>1891.0590757259997</v>
      </c>
      <c r="I41" s="6">
        <v>1576.12</v>
      </c>
      <c r="J41" s="14">
        <v>0</v>
      </c>
      <c r="K41" s="14">
        <f t="shared" si="5"/>
        <v>1576.12</v>
      </c>
      <c r="L41" s="6">
        <v>1621.3734074729996</v>
      </c>
      <c r="M41" s="14">
        <v>0</v>
      </c>
      <c r="N41" s="14">
        <f t="shared" si="6"/>
        <v>1621.3734074729996</v>
      </c>
      <c r="O41" s="6">
        <v>1721.8477904229999</v>
      </c>
      <c r="P41" s="14">
        <v>0</v>
      </c>
      <c r="Q41" s="14">
        <f t="shared" si="7"/>
        <v>1721.8477904229999</v>
      </c>
      <c r="R41" s="6">
        <v>1746.424621166</v>
      </c>
      <c r="S41" s="14">
        <v>0</v>
      </c>
      <c r="T41" s="14">
        <f t="shared" si="8"/>
        <v>1746.424621166</v>
      </c>
      <c r="U41" s="6">
        <v>1676.454044864</v>
      </c>
      <c r="V41" s="14">
        <v>0</v>
      </c>
      <c r="W41" s="14">
        <f t="shared" si="9"/>
        <v>1676.454044864</v>
      </c>
      <c r="X41" s="6">
        <v>1867.4645074740001</v>
      </c>
      <c r="Y41" s="14">
        <v>0</v>
      </c>
      <c r="Z41" s="14">
        <f t="shared" si="10"/>
        <v>1867.4645074740001</v>
      </c>
      <c r="AA41" s="6">
        <v>2052.3526820350003</v>
      </c>
      <c r="AB41" s="6">
        <v>-456.3</v>
      </c>
      <c r="AC41" s="6">
        <f t="shared" si="11"/>
        <v>1596.0526820350003</v>
      </c>
      <c r="AD41" s="6">
        <v>1613.4660382389998</v>
      </c>
      <c r="AE41" s="14">
        <v>0</v>
      </c>
      <c r="AF41" s="14">
        <f t="shared" si="12"/>
        <v>1613.4660382389998</v>
      </c>
      <c r="AG41" s="6">
        <v>1598.1137017820001</v>
      </c>
      <c r="AH41" s="14">
        <v>0</v>
      </c>
      <c r="AI41" s="14">
        <f t="shared" si="13"/>
        <v>1598.1137017820001</v>
      </c>
      <c r="AJ41" s="6">
        <v>1865.6264754600002</v>
      </c>
      <c r="AK41" s="14">
        <v>0</v>
      </c>
      <c r="AL41" s="14">
        <f t="shared" si="14"/>
        <v>1865.6264754600002</v>
      </c>
      <c r="AM41" s="6">
        <v>1863.10456342</v>
      </c>
      <c r="AN41" s="14">
        <v>0</v>
      </c>
      <c r="AO41" s="14">
        <f t="shared" si="15"/>
        <v>1863.10456342</v>
      </c>
      <c r="AP41" s="12"/>
      <c r="AQ41" s="12"/>
    </row>
    <row r="42" spans="1:43" x14ac:dyDescent="0.3">
      <c r="A42" s="5">
        <v>37</v>
      </c>
      <c r="B42" s="2" t="s">
        <v>31</v>
      </c>
      <c r="C42" s="19">
        <f t="shared" si="1"/>
        <v>17969.645500603001</v>
      </c>
      <c r="D42" s="19">
        <f t="shared" si="2"/>
        <v>-371.7</v>
      </c>
      <c r="E42" s="19">
        <f t="shared" si="3"/>
        <v>17597.945500603</v>
      </c>
      <c r="F42" s="14">
        <v>1744.4812901629998</v>
      </c>
      <c r="G42" s="14">
        <v>0</v>
      </c>
      <c r="H42" s="14">
        <f t="shared" si="4"/>
        <v>1744.4812901629998</v>
      </c>
      <c r="I42" s="6">
        <v>1067.75</v>
      </c>
      <c r="J42" s="14">
        <v>0</v>
      </c>
      <c r="K42" s="14">
        <f t="shared" si="5"/>
        <v>1067.75</v>
      </c>
      <c r="L42" s="6">
        <v>1159.8794896549998</v>
      </c>
      <c r="M42" s="14">
        <v>0</v>
      </c>
      <c r="N42" s="14">
        <f t="shared" si="6"/>
        <v>1159.8794896549998</v>
      </c>
      <c r="O42" s="6">
        <v>1556.3254618020001</v>
      </c>
      <c r="P42" s="14">
        <v>0</v>
      </c>
      <c r="Q42" s="14">
        <f t="shared" si="7"/>
        <v>1556.3254618020001</v>
      </c>
      <c r="R42" s="6">
        <v>1480.7420243440001</v>
      </c>
      <c r="S42" s="14">
        <v>0</v>
      </c>
      <c r="T42" s="14">
        <f t="shared" si="8"/>
        <v>1480.7420243440001</v>
      </c>
      <c r="U42" s="6">
        <v>1352.7560654479998</v>
      </c>
      <c r="V42" s="14">
        <v>0</v>
      </c>
      <c r="W42" s="14">
        <f t="shared" si="9"/>
        <v>1352.7560654479998</v>
      </c>
      <c r="X42" s="6">
        <v>1998.5694818120003</v>
      </c>
      <c r="Y42" s="14">
        <v>0</v>
      </c>
      <c r="Z42" s="14">
        <f t="shared" si="10"/>
        <v>1998.5694818120003</v>
      </c>
      <c r="AA42" s="6">
        <v>1673.0655350700004</v>
      </c>
      <c r="AB42" s="6">
        <v>-371.7</v>
      </c>
      <c r="AC42" s="6">
        <f t="shared" si="11"/>
        <v>1301.3655350700003</v>
      </c>
      <c r="AD42" s="6">
        <v>1412.2050076339999</v>
      </c>
      <c r="AE42" s="14">
        <v>0</v>
      </c>
      <c r="AF42" s="14">
        <f t="shared" si="12"/>
        <v>1412.2050076339999</v>
      </c>
      <c r="AG42" s="6">
        <v>1642.0164585290001</v>
      </c>
      <c r="AH42" s="14">
        <v>0</v>
      </c>
      <c r="AI42" s="14">
        <f t="shared" si="13"/>
        <v>1642.0164585290001</v>
      </c>
      <c r="AJ42" s="6">
        <v>1461.961476084</v>
      </c>
      <c r="AK42" s="14">
        <v>0</v>
      </c>
      <c r="AL42" s="14">
        <f t="shared" si="14"/>
        <v>1461.961476084</v>
      </c>
      <c r="AM42" s="6">
        <v>1419.8932100619998</v>
      </c>
      <c r="AN42" s="14">
        <v>0</v>
      </c>
      <c r="AO42" s="14">
        <f t="shared" si="15"/>
        <v>1419.8932100619998</v>
      </c>
      <c r="AP42" s="12"/>
      <c r="AQ42" s="12"/>
    </row>
    <row r="43" spans="1:43" x14ac:dyDescent="0.3">
      <c r="A43" s="5">
        <v>38</v>
      </c>
      <c r="B43" s="2" t="s">
        <v>40</v>
      </c>
      <c r="C43" s="19">
        <f t="shared" si="1"/>
        <v>403.01967163699999</v>
      </c>
      <c r="D43" s="19">
        <f t="shared" si="2"/>
        <v>0</v>
      </c>
      <c r="E43" s="19">
        <f t="shared" si="3"/>
        <v>403.01967163699999</v>
      </c>
      <c r="F43" s="14">
        <v>21.098496311000002</v>
      </c>
      <c r="G43" s="14">
        <v>0</v>
      </c>
      <c r="H43" s="14">
        <f t="shared" si="4"/>
        <v>21.098496311000002</v>
      </c>
      <c r="I43" s="6">
        <v>19.84</v>
      </c>
      <c r="J43" s="14">
        <v>0</v>
      </c>
      <c r="K43" s="14">
        <f t="shared" si="5"/>
        <v>19.84</v>
      </c>
      <c r="L43" s="6">
        <v>28.682610586999999</v>
      </c>
      <c r="M43" s="14">
        <v>0</v>
      </c>
      <c r="N43" s="14">
        <f t="shared" si="6"/>
        <v>28.682610586999999</v>
      </c>
      <c r="O43" s="6">
        <v>47.109374311000003</v>
      </c>
      <c r="P43" s="14">
        <v>0</v>
      </c>
      <c r="Q43" s="14">
        <f t="shared" si="7"/>
        <v>47.109374311000003</v>
      </c>
      <c r="R43" s="6">
        <v>42.830458415999999</v>
      </c>
      <c r="S43" s="14">
        <v>0</v>
      </c>
      <c r="T43" s="14">
        <f t="shared" si="8"/>
        <v>42.830458415999999</v>
      </c>
      <c r="U43" s="6">
        <v>42.719219029999998</v>
      </c>
      <c r="V43" s="14">
        <v>0</v>
      </c>
      <c r="W43" s="14">
        <f t="shared" si="9"/>
        <v>42.719219029999998</v>
      </c>
      <c r="X43" s="6">
        <v>53.868108280999998</v>
      </c>
      <c r="Y43" s="14">
        <v>0</v>
      </c>
      <c r="Z43" s="14">
        <f t="shared" si="10"/>
        <v>53.868108280999998</v>
      </c>
      <c r="AA43" s="6">
        <v>46.064696986999998</v>
      </c>
      <c r="AB43" s="6">
        <v>0</v>
      </c>
      <c r="AC43" s="6">
        <f t="shared" si="11"/>
        <v>46.064696986999998</v>
      </c>
      <c r="AD43" s="6">
        <v>35.124873390000005</v>
      </c>
      <c r="AE43" s="14">
        <v>0</v>
      </c>
      <c r="AF43" s="14">
        <f t="shared" si="12"/>
        <v>35.124873390000005</v>
      </c>
      <c r="AG43" s="6">
        <v>38.311800581</v>
      </c>
      <c r="AH43" s="14">
        <v>0</v>
      </c>
      <c r="AI43" s="14">
        <f t="shared" si="13"/>
        <v>38.311800581</v>
      </c>
      <c r="AJ43" s="6">
        <v>14.464425217000002</v>
      </c>
      <c r="AK43" s="14">
        <v>0</v>
      </c>
      <c r="AL43" s="14">
        <f t="shared" si="14"/>
        <v>14.464425217000002</v>
      </c>
      <c r="AM43" s="6">
        <v>12.905608526</v>
      </c>
      <c r="AN43" s="14">
        <v>0</v>
      </c>
      <c r="AO43" s="14">
        <f t="shared" si="15"/>
        <v>12.905608526</v>
      </c>
      <c r="AP43" s="12"/>
      <c r="AQ43" s="12"/>
    </row>
    <row r="44" spans="1:43" x14ac:dyDescent="0.3">
      <c r="A44" s="5">
        <v>97</v>
      </c>
      <c r="B44" s="2" t="s">
        <v>32</v>
      </c>
      <c r="C44" s="19">
        <f t="shared" si="1"/>
        <v>891.96435556599988</v>
      </c>
      <c r="D44" s="19">
        <f t="shared" si="2"/>
        <v>0</v>
      </c>
      <c r="E44" s="19">
        <f t="shared" si="3"/>
        <v>891.96435556599988</v>
      </c>
      <c r="F44" s="14">
        <v>63.793845735000005</v>
      </c>
      <c r="G44" s="14">
        <v>0</v>
      </c>
      <c r="H44" s="14">
        <f t="shared" si="4"/>
        <v>63.793845735000005</v>
      </c>
      <c r="I44" s="6">
        <v>66.87</v>
      </c>
      <c r="J44" s="14">
        <v>0</v>
      </c>
      <c r="K44" s="14">
        <f t="shared" si="5"/>
        <v>66.87</v>
      </c>
      <c r="L44" s="6">
        <v>82.974894775999999</v>
      </c>
      <c r="M44" s="14">
        <v>0</v>
      </c>
      <c r="N44" s="14">
        <f t="shared" si="6"/>
        <v>82.974894775999999</v>
      </c>
      <c r="O44" s="6">
        <v>55.244285674000004</v>
      </c>
      <c r="P44" s="14">
        <v>0</v>
      </c>
      <c r="Q44" s="14">
        <f t="shared" si="7"/>
        <v>55.244285674000004</v>
      </c>
      <c r="R44" s="6">
        <v>181.67183809700001</v>
      </c>
      <c r="S44" s="14">
        <v>0</v>
      </c>
      <c r="T44" s="14">
        <f t="shared" si="8"/>
        <v>181.67183809700001</v>
      </c>
      <c r="U44" s="6">
        <v>37.138832821000001</v>
      </c>
      <c r="V44" s="14">
        <v>0</v>
      </c>
      <c r="W44" s="14">
        <f t="shared" si="9"/>
        <v>37.138832821000001</v>
      </c>
      <c r="X44" s="6">
        <v>58.078684149000004</v>
      </c>
      <c r="Y44" s="14">
        <v>0</v>
      </c>
      <c r="Z44" s="14">
        <f t="shared" si="10"/>
        <v>58.078684149000004</v>
      </c>
      <c r="AA44" s="6">
        <v>119.30450678299999</v>
      </c>
      <c r="AB44" s="6">
        <v>0</v>
      </c>
      <c r="AC44" s="6">
        <f t="shared" si="11"/>
        <v>119.30450678299999</v>
      </c>
      <c r="AD44" s="6">
        <v>55.27557221</v>
      </c>
      <c r="AE44" s="14">
        <v>0</v>
      </c>
      <c r="AF44" s="14">
        <f t="shared" si="12"/>
        <v>55.27557221</v>
      </c>
      <c r="AG44" s="6">
        <v>49.139015933000003</v>
      </c>
      <c r="AH44" s="14">
        <v>0</v>
      </c>
      <c r="AI44" s="14">
        <f t="shared" si="13"/>
        <v>49.139015933000003</v>
      </c>
      <c r="AJ44" s="6">
        <v>55.118785079999995</v>
      </c>
      <c r="AK44" s="14">
        <v>0</v>
      </c>
      <c r="AL44" s="14">
        <f t="shared" si="14"/>
        <v>55.118785079999995</v>
      </c>
      <c r="AM44" s="6">
        <v>67.354094308000001</v>
      </c>
      <c r="AN44" s="14">
        <v>0</v>
      </c>
      <c r="AO44" s="14">
        <f t="shared" si="15"/>
        <v>67.354094308000001</v>
      </c>
      <c r="AP44" s="12"/>
      <c r="AQ44" s="12"/>
    </row>
    <row r="45" spans="1:43" x14ac:dyDescent="0.3">
      <c r="A45" s="7"/>
      <c r="B45" s="3" t="s">
        <v>41</v>
      </c>
      <c r="C45" s="20">
        <f>SUM(C7:C44)</f>
        <v>412027.898379986</v>
      </c>
      <c r="D45" s="20">
        <f>SUM(D7:D44)</f>
        <v>-9000</v>
      </c>
      <c r="E45" s="20">
        <f>SUM(E7:E44)</f>
        <v>403027.898379986</v>
      </c>
      <c r="F45" s="15">
        <f t="shared" ref="F45:U45" si="16">SUM(F7:F44)</f>
        <v>37959.047487880998</v>
      </c>
      <c r="G45" s="15">
        <f t="shared" si="16"/>
        <v>0</v>
      </c>
      <c r="H45" s="15">
        <f t="shared" si="16"/>
        <v>37959.047487880998</v>
      </c>
      <c r="I45" s="8">
        <f t="shared" si="16"/>
        <v>29769.429999999997</v>
      </c>
      <c r="J45" s="15">
        <f t="shared" ref="J45:K45" si="17">SUM(J7:J44)</f>
        <v>0</v>
      </c>
      <c r="K45" s="15">
        <f t="shared" si="17"/>
        <v>29769.429999999997</v>
      </c>
      <c r="L45" s="8">
        <f t="shared" si="16"/>
        <v>30268.533547087001</v>
      </c>
      <c r="M45" s="15">
        <f t="shared" ref="M45:N45" si="18">SUM(M7:M44)</f>
        <v>0</v>
      </c>
      <c r="N45" s="15">
        <f t="shared" si="18"/>
        <v>30268.533547087001</v>
      </c>
      <c r="O45" s="8">
        <f t="shared" si="16"/>
        <v>33187.921226678009</v>
      </c>
      <c r="P45" s="15">
        <f t="shared" ref="P45:Q45" si="19">SUM(P7:P44)</f>
        <v>0</v>
      </c>
      <c r="Q45" s="15">
        <f t="shared" si="19"/>
        <v>33187.921226678009</v>
      </c>
      <c r="R45" s="8">
        <f t="shared" si="16"/>
        <v>31407.979220842994</v>
      </c>
      <c r="S45" s="15">
        <f t="shared" ref="S45:T45" si="20">SUM(S7:S44)</f>
        <v>0</v>
      </c>
      <c r="T45" s="15">
        <f t="shared" si="20"/>
        <v>31407.979220842994</v>
      </c>
      <c r="U45" s="8">
        <f t="shared" si="16"/>
        <v>27578.183621560001</v>
      </c>
      <c r="V45" s="15">
        <f t="shared" ref="V45:W45" si="21">SUM(V7:V44)</f>
        <v>0</v>
      </c>
      <c r="W45" s="15">
        <f t="shared" si="21"/>
        <v>27578.183621560001</v>
      </c>
      <c r="X45" s="8">
        <f t="shared" ref="X45" si="22">SUM(X7:X44)</f>
        <v>36613.781899829002</v>
      </c>
      <c r="Y45" s="15">
        <f t="shared" ref="Y45:Z45" si="23">SUM(Y7:Y44)</f>
        <v>0</v>
      </c>
      <c r="Z45" s="15">
        <f t="shared" si="23"/>
        <v>36613.781899829002</v>
      </c>
      <c r="AA45" s="8">
        <f>SUM(AA7:AA44)</f>
        <v>40676.542973072996</v>
      </c>
      <c r="AB45" s="16">
        <f>SUM(AB7:AB44)</f>
        <v>-9000</v>
      </c>
      <c r="AC45" s="16">
        <f t="shared" ref="AC45" si="24">SUM(AC7:AC44)</f>
        <v>31676.542973072996</v>
      </c>
      <c r="AD45" s="8">
        <f>SUM(AD7:AD44)</f>
        <v>33652.208779534994</v>
      </c>
      <c r="AE45" s="15">
        <f t="shared" ref="AE45:AF45" si="25">SUM(AE7:AE44)</f>
        <v>0</v>
      </c>
      <c r="AF45" s="15">
        <f t="shared" si="25"/>
        <v>33652.208779534994</v>
      </c>
      <c r="AG45" s="8">
        <f>SUM(AG7:AG44)</f>
        <v>37257.137245402999</v>
      </c>
      <c r="AH45" s="15">
        <f t="shared" ref="AH45:AI45" si="26">SUM(AH7:AH44)</f>
        <v>0</v>
      </c>
      <c r="AI45" s="15">
        <f t="shared" si="26"/>
        <v>37257.137245402999</v>
      </c>
      <c r="AJ45" s="8">
        <f>SUM(AJ7:AJ44)</f>
        <v>35953.204615346986</v>
      </c>
      <c r="AK45" s="15">
        <f t="shared" ref="AK45:AL45" si="27">SUM(AK7:AK44)</f>
        <v>0</v>
      </c>
      <c r="AL45" s="15">
        <f t="shared" si="27"/>
        <v>35953.204615346986</v>
      </c>
      <c r="AM45" s="8">
        <f>SUM(AM7:AM44)</f>
        <v>37703.927762750005</v>
      </c>
      <c r="AN45" s="15">
        <f t="shared" ref="AN45:AO45" si="28">SUM(AN7:AN44)</f>
        <v>0</v>
      </c>
      <c r="AO45" s="15">
        <f t="shared" si="28"/>
        <v>37703.927762750005</v>
      </c>
      <c r="AP45" s="13"/>
      <c r="AQ45" s="13"/>
    </row>
  </sheetData>
  <mergeCells count="15">
    <mergeCell ref="A1:I1"/>
    <mergeCell ref="A3:B3"/>
    <mergeCell ref="AJ5:AL5"/>
    <mergeCell ref="AM5:AO5"/>
    <mergeCell ref="C5:E5"/>
    <mergeCell ref="U5:W5"/>
    <mergeCell ref="X5:Z5"/>
    <mergeCell ref="AA5:AC5"/>
    <mergeCell ref="AD5:AF5"/>
    <mergeCell ref="AG5:AI5"/>
    <mergeCell ref="F5:H5"/>
    <mergeCell ref="I5:K5"/>
    <mergeCell ref="L5:N5"/>
    <mergeCell ref="O5:Q5"/>
    <mergeCell ref="R5:T5"/>
  </mergeCells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settlement_2023-24</vt:lpstr>
      <vt:lpstr>'settlement_2023-24'!Print_Titles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Krishan Pal Singh</cp:lastModifiedBy>
  <cp:revision/>
  <cp:lastPrinted>2024-02-29T07:41:23Z</cp:lastPrinted>
  <dcterms:created xsi:type="dcterms:W3CDTF">2019-11-01T02:37:37Z</dcterms:created>
  <dcterms:modified xsi:type="dcterms:W3CDTF">2024-08-03T02:16:12Z</dcterms:modified>
  <cp:category/>
  <dc:identifier/>
  <cp:contentStatus/>
  <dc:language/>
  <cp:version/>
</cp:coreProperties>
</file>