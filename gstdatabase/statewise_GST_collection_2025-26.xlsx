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ul-26\GST Statistics Downloads 30th Jun 26\Downloads\Tax Collection\"/>
    </mc:Choice>
  </mc:AlternateContent>
  <xr:revisionPtr revIDLastSave="0" documentId="13_ncr:1_{AAF5E988-8235-1446-8F73-DF8E7AB823B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ST_Revenue-All_India" sheetId="3" r:id="rId1"/>
    <sheet name="Collections-Statewise" sheetId="1" r:id="rId2"/>
    <sheet name="Refund-Statewise" sheetId="2" r:id="rId3"/>
  </sheets>
  <definedNames>
    <definedName name="_xlnm._FilterDatabase" localSheetId="1" hidden="1">'Collections-Statewise'!$A$6:$Q$46</definedName>
    <definedName name="_xlnm.Print_Area" localSheetId="1">'Collections-Statewise'!$A$1:$R$50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9" i="2"/>
  <c r="E9" i="2"/>
  <c r="D9" i="2"/>
  <c r="C9" i="2"/>
  <c r="AY47" i="2"/>
  <c r="AZ47" i="2"/>
  <c r="BA47" i="2"/>
  <c r="AY51" i="2"/>
  <c r="AZ51" i="2"/>
  <c r="BA51" i="2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7" i="1"/>
  <c r="BA16" i="3"/>
  <c r="AZ16" i="3"/>
  <c r="AY16" i="3"/>
  <c r="AX16" i="3"/>
  <c r="BA11" i="3"/>
  <c r="AZ11" i="3"/>
  <c r="AY11" i="3"/>
  <c r="AX11" i="3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A46" i="1"/>
  <c r="BA50" i="1" s="1"/>
  <c r="AZ46" i="1"/>
  <c r="AZ50" i="1" s="1"/>
  <c r="AY46" i="1"/>
  <c r="AY50" i="1" s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F49" i="2"/>
  <c r="F48" i="1"/>
  <c r="AW16" i="3"/>
  <c r="AW47" i="2"/>
  <c r="AW51" i="2" s="1"/>
  <c r="AV47" i="2"/>
  <c r="AV51" i="2" s="1"/>
  <c r="AU47" i="2"/>
  <c r="AU51" i="2" s="1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W11" i="3"/>
  <c r="AW46" i="1"/>
  <c r="AV10" i="3" s="1"/>
  <c r="AV46" i="1"/>
  <c r="AV50" i="1" s="1"/>
  <c r="AU46" i="1"/>
  <c r="AU50" i="1" s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V16" i="3"/>
  <c r="AU16" i="3"/>
  <c r="AT16" i="3"/>
  <c r="AV11" i="3"/>
  <c r="AU11" i="3"/>
  <c r="AT11" i="3"/>
  <c r="E48" i="1"/>
  <c r="AR16" i="3"/>
  <c r="AQ16" i="3"/>
  <c r="AP16" i="3"/>
  <c r="AR11" i="3"/>
  <c r="AQ11" i="3"/>
  <c r="AP11" i="3"/>
  <c r="AX15" i="3" l="1"/>
  <c r="AX17" i="3" s="1"/>
  <c r="AY15" i="3"/>
  <c r="AY17" i="3" s="1"/>
  <c r="AZ15" i="3"/>
  <c r="AZ17" i="3" s="1"/>
  <c r="AX10" i="3"/>
  <c r="AY10" i="3"/>
  <c r="AY12" i="3" s="1"/>
  <c r="AZ10" i="3"/>
  <c r="AZ12" i="3" s="1"/>
  <c r="AX12" i="3"/>
  <c r="BB47" i="2"/>
  <c r="BB46" i="1"/>
  <c r="AT15" i="3"/>
  <c r="AT17" i="3" s="1"/>
  <c r="AV15" i="3"/>
  <c r="AU15" i="3"/>
  <c r="AV17" i="3"/>
  <c r="AW50" i="1"/>
  <c r="AV12" i="3"/>
  <c r="AV19" i="3" s="1"/>
  <c r="AX46" i="1"/>
  <c r="AX50" i="1" s="1"/>
  <c r="AX47" i="2"/>
  <c r="AW15" i="3" s="1"/>
  <c r="AW17" i="3" s="1"/>
  <c r="AU17" i="3"/>
  <c r="AT10" i="3"/>
  <c r="AT12" i="3" s="1"/>
  <c r="AT19" i="3" s="1"/>
  <c r="AU10" i="3"/>
  <c r="AU12" i="3" s="1"/>
  <c r="AS11" i="3"/>
  <c r="AS46" i="1"/>
  <c r="AR46" i="1"/>
  <c r="AQ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S16" i="3"/>
  <c r="AS47" i="2"/>
  <c r="AR47" i="2"/>
  <c r="AQ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O11" i="3"/>
  <c r="AO46" i="1"/>
  <c r="AO50" i="1" s="1"/>
  <c r="AN46" i="1"/>
  <c r="AN50" i="1" s="1"/>
  <c r="AM46" i="1"/>
  <c r="AM50" i="1" s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N16" i="3"/>
  <c r="AM16" i="3"/>
  <c r="AL16" i="3"/>
  <c r="AN11" i="3"/>
  <c r="AM11" i="3"/>
  <c r="AL11" i="3"/>
  <c r="AO16" i="3"/>
  <c r="AO47" i="2"/>
  <c r="AO51" i="2" s="1"/>
  <c r="AN47" i="2"/>
  <c r="AN51" i="2" s="1"/>
  <c r="AM47" i="2"/>
  <c r="AM51" i="2" s="1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K16" i="3"/>
  <c r="AK47" i="2"/>
  <c r="AJ47" i="2"/>
  <c r="AI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K46" i="1"/>
  <c r="AK50" i="1" s="1"/>
  <c r="AJ46" i="1"/>
  <c r="AJ50" i="1" s="1"/>
  <c r="AI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J16" i="3"/>
  <c r="AI16" i="3"/>
  <c r="AH16" i="3"/>
  <c r="AK11" i="3"/>
  <c r="AJ11" i="3"/>
  <c r="AI11" i="3"/>
  <c r="AH11" i="3"/>
  <c r="AJ10" i="3"/>
  <c r="AJ12" i="3" s="1"/>
  <c r="AI10" i="3"/>
  <c r="AG16" i="3"/>
  <c r="AG47" i="2"/>
  <c r="AF15" i="3" s="1"/>
  <c r="AF47" i="2"/>
  <c r="AE47" i="2"/>
  <c r="AE51" i="2" s="1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G11" i="3"/>
  <c r="AG46" i="1"/>
  <c r="AF10" i="3" s="1"/>
  <c r="AF46" i="1"/>
  <c r="AF50" i="1" s="1"/>
  <c r="AE46" i="1"/>
  <c r="AE50" i="1" s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F16" i="3"/>
  <c r="AE16" i="3"/>
  <c r="AD16" i="3"/>
  <c r="AF11" i="3"/>
  <c r="AE11" i="3"/>
  <c r="AD11" i="3"/>
  <c r="AB16" i="3"/>
  <c r="AA16" i="3"/>
  <c r="Z16" i="3"/>
  <c r="AB11" i="3"/>
  <c r="AA11" i="3"/>
  <c r="Z11" i="3"/>
  <c r="AC11" i="3"/>
  <c r="AC46" i="1"/>
  <c r="AC50" i="1" s="1"/>
  <c r="AB46" i="1"/>
  <c r="AB50" i="1" s="1"/>
  <c r="AA46" i="1"/>
  <c r="AA50" i="1" s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BB51" i="2" l="1"/>
  <c r="BA15" i="3"/>
  <c r="BA17" i="3" s="1"/>
  <c r="AX19" i="3"/>
  <c r="AZ19" i="3"/>
  <c r="AY19" i="3"/>
  <c r="BB50" i="1"/>
  <c r="BA10" i="3"/>
  <c r="BA12" i="3" s="1"/>
  <c r="BA19" i="3" s="1"/>
  <c r="AX51" i="2"/>
  <c r="AR50" i="1"/>
  <c r="AQ10" i="3"/>
  <c r="AQ12" i="3" s="1"/>
  <c r="AS50" i="1"/>
  <c r="AR10" i="3"/>
  <c r="AR12" i="3" s="1"/>
  <c r="AL46" i="1"/>
  <c r="AK10" i="3" s="1"/>
  <c r="AQ50" i="1"/>
  <c r="AP10" i="3"/>
  <c r="AP12" i="3" s="1"/>
  <c r="AB10" i="3"/>
  <c r="AB12" i="3" s="1"/>
  <c r="AI12" i="3"/>
  <c r="AW10" i="3"/>
  <c r="AW12" i="3" s="1"/>
  <c r="AW19" i="3" s="1"/>
  <c r="AU19" i="3"/>
  <c r="AQ51" i="2"/>
  <c r="AP15" i="3"/>
  <c r="AP17" i="3" s="1"/>
  <c r="AP19" i="3" s="1"/>
  <c r="AR51" i="2"/>
  <c r="AQ15" i="3"/>
  <c r="AQ17" i="3" s="1"/>
  <c r="AS51" i="2"/>
  <c r="AR15" i="3"/>
  <c r="AR17" i="3" s="1"/>
  <c r="AT47" i="2"/>
  <c r="AT46" i="1"/>
  <c r="AM15" i="3"/>
  <c r="AM17" i="3" s="1"/>
  <c r="AN15" i="3"/>
  <c r="AN17" i="3" s="1"/>
  <c r="AL15" i="3"/>
  <c r="AL17" i="3" s="1"/>
  <c r="AP46" i="1"/>
  <c r="AO10" i="3" s="1"/>
  <c r="AO12" i="3" s="1"/>
  <c r="AL10" i="3"/>
  <c r="AL12" i="3" s="1"/>
  <c r="AM10" i="3"/>
  <c r="AM12" i="3" s="1"/>
  <c r="AN10" i="3"/>
  <c r="AN12" i="3" s="1"/>
  <c r="AP47" i="2"/>
  <c r="AK12" i="3"/>
  <c r="AF51" i="2"/>
  <c r="AE15" i="3"/>
  <c r="AE17" i="3" s="1"/>
  <c r="AI50" i="1"/>
  <c r="AH10" i="3"/>
  <c r="AH12" i="3" s="1"/>
  <c r="AL47" i="2"/>
  <c r="AK15" i="3" s="1"/>
  <c r="AK17" i="3" s="1"/>
  <c r="AK51" i="2"/>
  <c r="AJ15" i="3"/>
  <c r="AJ17" i="3" s="1"/>
  <c r="AJ19" i="3" s="1"/>
  <c r="AJ51" i="2"/>
  <c r="AI15" i="3"/>
  <c r="AI17" i="3" s="1"/>
  <c r="AI19" i="3" s="1"/>
  <c r="AI51" i="2"/>
  <c r="AH15" i="3"/>
  <c r="AH17" i="3" s="1"/>
  <c r="AH19" i="3" s="1"/>
  <c r="AL50" i="1"/>
  <c r="AF12" i="3"/>
  <c r="AH47" i="2"/>
  <c r="AG15" i="3" s="1"/>
  <c r="AG17" i="3" s="1"/>
  <c r="AG51" i="2"/>
  <c r="AD15" i="3"/>
  <c r="AD17" i="3" s="1"/>
  <c r="AF17" i="3"/>
  <c r="AH46" i="1"/>
  <c r="AH50" i="1" s="1"/>
  <c r="AG50" i="1"/>
  <c r="AD10" i="3"/>
  <c r="AD12" i="3" s="1"/>
  <c r="AE10" i="3"/>
  <c r="AE12" i="3" s="1"/>
  <c r="AA10" i="3"/>
  <c r="AA12" i="3" s="1"/>
  <c r="Z10" i="3"/>
  <c r="Z12" i="3" s="1"/>
  <c r="AD46" i="1"/>
  <c r="AA47" i="2"/>
  <c r="AC16" i="3"/>
  <c r="AC47" i="2"/>
  <c r="AB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X16" i="3"/>
  <c r="W16" i="3"/>
  <c r="V16" i="3"/>
  <c r="X11" i="3"/>
  <c r="W11" i="3"/>
  <c r="V11" i="3"/>
  <c r="W10" i="3"/>
  <c r="V10" i="3"/>
  <c r="V12" i="3" s="1"/>
  <c r="W47" i="2"/>
  <c r="W51" i="2" s="1"/>
  <c r="Y16" i="3"/>
  <c r="Y47" i="2"/>
  <c r="Y51" i="2" s="1"/>
  <c r="X47" i="2"/>
  <c r="X51" i="2" s="1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Y11" i="3"/>
  <c r="Y46" i="1"/>
  <c r="Y50" i="1" s="1"/>
  <c r="X46" i="1"/>
  <c r="X50" i="1" s="1"/>
  <c r="W46" i="1"/>
  <c r="W50" i="1" s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D41" i="1"/>
  <c r="S47" i="2"/>
  <c r="S51" i="2" s="1"/>
  <c r="U16" i="3"/>
  <c r="U47" i="2"/>
  <c r="T15" i="3" s="1"/>
  <c r="T47" i="2"/>
  <c r="T51" i="2" s="1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T16" i="3"/>
  <c r="S16" i="3"/>
  <c r="R16" i="3"/>
  <c r="T11" i="3"/>
  <c r="S11" i="3"/>
  <c r="R11" i="3"/>
  <c r="U11" i="3"/>
  <c r="U46" i="1"/>
  <c r="U50" i="1" s="1"/>
  <c r="T46" i="1"/>
  <c r="T50" i="1" s="1"/>
  <c r="S46" i="1"/>
  <c r="S50" i="1" s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O47" i="2"/>
  <c r="N15" i="3" s="1"/>
  <c r="P16" i="3"/>
  <c r="O16" i="3"/>
  <c r="N16" i="3"/>
  <c r="P11" i="3"/>
  <c r="O11" i="3"/>
  <c r="N11" i="3"/>
  <c r="Q16" i="3"/>
  <c r="Q47" i="2"/>
  <c r="Q51" i="2" s="1"/>
  <c r="P47" i="2"/>
  <c r="P51" i="2" s="1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Q11" i="3"/>
  <c r="Q46" i="1"/>
  <c r="Q50" i="1" s="1"/>
  <c r="P46" i="1"/>
  <c r="P50" i="1" s="1"/>
  <c r="O46" i="1"/>
  <c r="O50" i="1" s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C7" i="1"/>
  <c r="D48" i="1"/>
  <c r="C48" i="1"/>
  <c r="K47" i="2"/>
  <c r="J15" i="3" s="1"/>
  <c r="L16" i="3"/>
  <c r="K16" i="3"/>
  <c r="J16" i="3"/>
  <c r="L11" i="3"/>
  <c r="K11" i="3"/>
  <c r="J11" i="3"/>
  <c r="M16" i="3"/>
  <c r="M47" i="2"/>
  <c r="M51" i="2" s="1"/>
  <c r="L47" i="2"/>
  <c r="L51" i="2" s="1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M11" i="3"/>
  <c r="M46" i="1"/>
  <c r="M50" i="1" s="1"/>
  <c r="L46" i="1"/>
  <c r="L50" i="1" s="1"/>
  <c r="K46" i="1"/>
  <c r="K50" i="1" s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AR19" i="3" l="1"/>
  <c r="AQ19" i="3"/>
  <c r="AN19" i="3"/>
  <c r="X10" i="3"/>
  <c r="X12" i="3" s="1"/>
  <c r="P10" i="3"/>
  <c r="O10" i="3"/>
  <c r="O12" i="3" s="1"/>
  <c r="AT50" i="1"/>
  <c r="AS10" i="3"/>
  <c r="AS12" i="3" s="1"/>
  <c r="R10" i="3"/>
  <c r="T10" i="3"/>
  <c r="T12" i="3" s="1"/>
  <c r="W12" i="3"/>
  <c r="R12" i="3"/>
  <c r="AT51" i="2"/>
  <c r="AS15" i="3"/>
  <c r="AS17" i="3" s="1"/>
  <c r="AS19" i="3" s="1"/>
  <c r="AP50" i="1"/>
  <c r="AM19" i="3"/>
  <c r="AL19" i="3"/>
  <c r="AP51" i="2"/>
  <c r="AO15" i="3"/>
  <c r="AO17" i="3" s="1"/>
  <c r="AO19" i="3" s="1"/>
  <c r="AL51" i="2"/>
  <c r="AK19" i="3"/>
  <c r="AF19" i="3"/>
  <c r="AG10" i="3"/>
  <c r="AG12" i="3" s="1"/>
  <c r="AG19" i="3" s="1"/>
  <c r="AE19" i="3"/>
  <c r="AH51" i="2"/>
  <c r="AD19" i="3"/>
  <c r="AC51" i="2"/>
  <c r="AB15" i="3"/>
  <c r="AB17" i="3" s="1"/>
  <c r="AB19" i="3" s="1"/>
  <c r="W15" i="3"/>
  <c r="W17" i="3" s="1"/>
  <c r="X15" i="3"/>
  <c r="X17" i="3" s="1"/>
  <c r="AA51" i="2"/>
  <c r="Z15" i="3"/>
  <c r="Z17" i="3" s="1"/>
  <c r="Z19" i="3" s="1"/>
  <c r="AB51" i="2"/>
  <c r="AA15" i="3"/>
  <c r="AA17" i="3" s="1"/>
  <c r="AA19" i="3" s="1"/>
  <c r="AD50" i="1"/>
  <c r="AC10" i="3"/>
  <c r="AC12" i="3" s="1"/>
  <c r="V15" i="3"/>
  <c r="V17" i="3" s="1"/>
  <c r="V19" i="3" s="1"/>
  <c r="AD47" i="2"/>
  <c r="N17" i="3"/>
  <c r="Z47" i="2"/>
  <c r="Z46" i="1"/>
  <c r="U51" i="2"/>
  <c r="R15" i="3"/>
  <c r="R17" i="3" s="1"/>
  <c r="R19" i="3" s="1"/>
  <c r="S15" i="3"/>
  <c r="S17" i="3" s="1"/>
  <c r="S10" i="3"/>
  <c r="S12" i="3" s="1"/>
  <c r="T17" i="3"/>
  <c r="V47" i="2"/>
  <c r="U15" i="3" s="1"/>
  <c r="U17" i="3" s="1"/>
  <c r="V46" i="1"/>
  <c r="P15" i="3"/>
  <c r="P17" i="3" s="1"/>
  <c r="O51" i="2"/>
  <c r="O15" i="3"/>
  <c r="O17" i="3" s="1"/>
  <c r="O19" i="3" s="1"/>
  <c r="P12" i="3"/>
  <c r="N10" i="3"/>
  <c r="N12" i="3" s="1"/>
  <c r="R47" i="2"/>
  <c r="Q15" i="3" s="1"/>
  <c r="Q17" i="3" s="1"/>
  <c r="R46" i="1"/>
  <c r="Q10" i="3" s="1"/>
  <c r="Q12" i="3" s="1"/>
  <c r="L10" i="3"/>
  <c r="L12" i="3" s="1"/>
  <c r="K10" i="3"/>
  <c r="K12" i="3" s="1"/>
  <c r="J10" i="3"/>
  <c r="J12" i="3" s="1"/>
  <c r="J17" i="3"/>
  <c r="K15" i="3"/>
  <c r="K17" i="3" s="1"/>
  <c r="K19" i="3" s="1"/>
  <c r="L15" i="3"/>
  <c r="L17" i="3" s="1"/>
  <c r="K51" i="2"/>
  <c r="N47" i="2"/>
  <c r="M15" i="3" s="1"/>
  <c r="M17" i="3" s="1"/>
  <c r="N46" i="1"/>
  <c r="G47" i="2"/>
  <c r="H47" i="2"/>
  <c r="I47" i="2"/>
  <c r="E49" i="2"/>
  <c r="D49" i="2"/>
  <c r="C49" i="2"/>
  <c r="C46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D46" i="2"/>
  <c r="E46" i="2"/>
  <c r="X19" i="3" l="1"/>
  <c r="Z50" i="1"/>
  <c r="Y10" i="3"/>
  <c r="Y12" i="3" s="1"/>
  <c r="S19" i="3"/>
  <c r="W19" i="3"/>
  <c r="AD51" i="2"/>
  <c r="AC15" i="3"/>
  <c r="AC17" i="3" s="1"/>
  <c r="AC19" i="3" s="1"/>
  <c r="Z51" i="2"/>
  <c r="Y15" i="3"/>
  <c r="Y17" i="3" s="1"/>
  <c r="Y19" i="3" s="1"/>
  <c r="N19" i="3"/>
  <c r="T19" i="3"/>
  <c r="V50" i="1"/>
  <c r="U10" i="3"/>
  <c r="U12" i="3" s="1"/>
  <c r="U19" i="3" s="1"/>
  <c r="V51" i="2"/>
  <c r="P19" i="3"/>
  <c r="Q19" i="3"/>
  <c r="R51" i="2"/>
  <c r="R50" i="1"/>
  <c r="J19" i="3"/>
  <c r="N50" i="1"/>
  <c r="M10" i="3"/>
  <c r="M12" i="3" s="1"/>
  <c r="M19" i="3" s="1"/>
  <c r="L19" i="3"/>
  <c r="N51" i="2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C18" i="1"/>
  <c r="D18" i="1"/>
  <c r="E18" i="1"/>
  <c r="C19" i="1"/>
  <c r="D19" i="1"/>
  <c r="E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C27" i="1"/>
  <c r="D27" i="1"/>
  <c r="E27" i="1"/>
  <c r="C28" i="1"/>
  <c r="D28" i="1"/>
  <c r="E28" i="1"/>
  <c r="C29" i="1"/>
  <c r="D29" i="1"/>
  <c r="E29" i="1"/>
  <c r="C30" i="1"/>
  <c r="D30" i="1"/>
  <c r="E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C36" i="1"/>
  <c r="D36" i="1"/>
  <c r="E36" i="1"/>
  <c r="C37" i="1"/>
  <c r="D37" i="1"/>
  <c r="E37" i="1"/>
  <c r="C38" i="1"/>
  <c r="D38" i="1"/>
  <c r="E38" i="1"/>
  <c r="C39" i="1"/>
  <c r="D39" i="1"/>
  <c r="E39" i="1"/>
  <c r="C40" i="1"/>
  <c r="D40" i="1"/>
  <c r="E40" i="1"/>
  <c r="C41" i="1"/>
  <c r="E41" i="1"/>
  <c r="C42" i="1"/>
  <c r="D42" i="1"/>
  <c r="E42" i="1"/>
  <c r="C43" i="1"/>
  <c r="D43" i="1"/>
  <c r="E43" i="1"/>
  <c r="C44" i="1"/>
  <c r="D44" i="1"/>
  <c r="E44" i="1"/>
  <c r="C45" i="1"/>
  <c r="D45" i="1"/>
  <c r="E45" i="1"/>
  <c r="D7" i="1"/>
  <c r="E7" i="1"/>
  <c r="D47" i="2" l="1"/>
  <c r="E47" i="2"/>
  <c r="A2" i="2" l="1"/>
  <c r="A2" i="1"/>
  <c r="C7" i="2"/>
  <c r="C5" i="1"/>
  <c r="E46" i="1" l="1"/>
  <c r="C46" i="1"/>
  <c r="B10" i="3" s="1"/>
  <c r="D46" i="1"/>
  <c r="C47" i="2"/>
  <c r="D51" i="2" l="1"/>
  <c r="E51" i="2"/>
  <c r="E50" i="1"/>
  <c r="I51" i="2"/>
  <c r="H51" i="2"/>
  <c r="G51" i="2"/>
  <c r="C51" i="2"/>
  <c r="D15" i="3" l="1"/>
  <c r="C15" i="3"/>
  <c r="B15" i="3"/>
  <c r="J46" i="2"/>
  <c r="D50" i="1"/>
  <c r="J37" i="2" l="1"/>
  <c r="J38" i="2"/>
  <c r="J39" i="2"/>
  <c r="J40" i="2"/>
  <c r="J41" i="2"/>
  <c r="J42" i="2"/>
  <c r="J43" i="2"/>
  <c r="J44" i="2"/>
  <c r="J45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9" i="2"/>
  <c r="F15" i="3"/>
  <c r="D11" i="3"/>
  <c r="I46" i="1"/>
  <c r="I50" i="1" s="1"/>
  <c r="H46" i="1"/>
  <c r="H50" i="1" s="1"/>
  <c r="G46" i="1"/>
  <c r="G50" i="1" s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H16" i="3"/>
  <c r="G16" i="3"/>
  <c r="F16" i="3"/>
  <c r="H11" i="3"/>
  <c r="G11" i="3"/>
  <c r="F11" i="3"/>
  <c r="C11" i="3"/>
  <c r="B11" i="3"/>
  <c r="F46" i="1" l="1"/>
  <c r="E11" i="3"/>
  <c r="I11" i="3"/>
  <c r="C16" i="3"/>
  <c r="C17" i="3" s="1"/>
  <c r="H10" i="3"/>
  <c r="H12" i="3" s="1"/>
  <c r="J47" i="2"/>
  <c r="I15" i="3" s="1"/>
  <c r="C10" i="3"/>
  <c r="C12" i="3" s="1"/>
  <c r="G10" i="3"/>
  <c r="G12" i="3" s="1"/>
  <c r="F10" i="3"/>
  <c r="F12" i="3" s="1"/>
  <c r="D10" i="3"/>
  <c r="D12" i="3" s="1"/>
  <c r="G15" i="3"/>
  <c r="H15" i="3"/>
  <c r="H17" i="3" s="1"/>
  <c r="I16" i="3"/>
  <c r="D16" i="3"/>
  <c r="D17" i="3" s="1"/>
  <c r="B16" i="3"/>
  <c r="B17" i="3" s="1"/>
  <c r="F17" i="3"/>
  <c r="J46" i="1"/>
  <c r="J50" i="1" s="1"/>
  <c r="J51" i="2" l="1"/>
  <c r="F47" i="2"/>
  <c r="E10" i="3"/>
  <c r="E12" i="3" s="1"/>
  <c r="B12" i="3"/>
  <c r="B19" i="3" s="1"/>
  <c r="C19" i="3"/>
  <c r="D19" i="3"/>
  <c r="C50" i="1"/>
  <c r="I17" i="3"/>
  <c r="G17" i="3"/>
  <c r="G19" i="3" s="1"/>
  <c r="H19" i="3"/>
  <c r="E16" i="3"/>
  <c r="F19" i="3"/>
  <c r="I10" i="3"/>
  <c r="F51" i="2" l="1"/>
  <c r="E15" i="3"/>
  <c r="E17" i="3" s="1"/>
  <c r="E19" i="3" s="1"/>
  <c r="F50" i="1"/>
  <c r="I12" i="3"/>
  <c r="I19" i="3" l="1"/>
</calcChain>
</file>

<file path=xl/sharedStrings.xml><?xml version="1.0" encoding="utf-8"?>
<sst xmlns="http://schemas.openxmlformats.org/spreadsheetml/2006/main" count="269" uniqueCount="73">
  <si>
    <t>(Rs. In Crore)</t>
  </si>
  <si>
    <t>State</t>
  </si>
  <si>
    <t>CGST</t>
  </si>
  <si>
    <t>SGST</t>
  </si>
  <si>
    <t>IGST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</si>
  <si>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</si>
  <si>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</si>
  <si>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</si>
  <si>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</si>
  <si>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</si>
  <si>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</si>
  <si>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</si>
  <si>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</si>
  <si>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</si>
  <si>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</si>
  <si>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</si>
  <si>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</si>
  <si>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</si>
  <si>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</si>
  <si>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</si>
  <si>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</si>
  <si>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</si>
  <si>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</si>
  <si>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</si>
  <si>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</si>
  <si>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</si>
  <si>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</si>
  <si>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</si>
  <si>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</si>
  <si>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</si>
  <si>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</si>
  <si>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</si>
  <si>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</si>
  <si>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</si>
  <si>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</si>
  <si>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</si>
  <si>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</si>
  <si>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</si>
  <si>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</si>
  <si>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</si>
  <si>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</si>
  <si>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</si>
  <si>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</si>
  <si>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</si>
  <si>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</si>
  <si>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</si>
  <si>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Total Refund</t>
  </si>
  <si>
    <t>A. Collection</t>
  </si>
  <si>
    <t>B. Refund</t>
  </si>
  <si>
    <t>(Rs. Crores)</t>
  </si>
  <si>
    <t>IGST and CESS Refund on Exports
(disbursed by Customs)</t>
  </si>
  <si>
    <t>Net GST Revenue collection (A-B)</t>
  </si>
  <si>
    <t>State Wise Domestic GST Collection</t>
  </si>
  <si>
    <t>IGST and CESS on Import - All India</t>
  </si>
  <si>
    <t>State Wise Domestic Refund Disbursemet (RFD-05)</t>
  </si>
  <si>
    <t>Domestic Refund (RFD-05) - All India</t>
  </si>
  <si>
    <t>Total GST Refund - All India</t>
  </si>
  <si>
    <t>Domestic GST Collection- All India</t>
  </si>
  <si>
    <t>Imports</t>
  </si>
  <si>
    <t>Domestic</t>
  </si>
  <si>
    <t>Domestic (RFD-05)</t>
  </si>
  <si>
    <t>Export Refund</t>
  </si>
  <si>
    <t>Lakshawdeep</t>
  </si>
  <si>
    <t>OIDAR</t>
  </si>
  <si>
    <t>Note :</t>
  </si>
  <si>
    <t>The above numbers are provisional and the actuals number may have slightly vary on finalisation</t>
  </si>
  <si>
    <t>The above numbers are provisional and the actual numbers may slightly vary on finalisation</t>
  </si>
  <si>
    <t>All India Month wise GST Collection and Refund during Financial Year 2025-26</t>
  </si>
  <si>
    <t>REVENUE COLLECTION STATE WISE MONTH WISE DURING FINANCIAL YEAR 2025-2026</t>
  </si>
  <si>
    <t>REFUND DISBURSED STATE WISE MONTH WISE DURING FINANCIAL YEAR 2025-2026</t>
  </si>
  <si>
    <t>Financial Year (up to the Month - Mar 2026)</t>
  </si>
  <si>
    <t>Data upto : 31st Mar 2026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</si>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</sst>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1" fillId="2" borderId="0" xfId="0" applyFont="1" applyFill="1"/>
    <xf numFmtId="0" fontId="0" fillId="5" borderId="0" xfId="0" applyFill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3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4" fontId="0" fillId="0" borderId="0" xfId="1" applyFont="1"/>
    <xf numFmtId="165" fontId="0" fillId="3" borderId="1" xfId="1" applyNumberFormat="1" applyFont="1" applyFill="1" applyBorder="1"/>
    <xf numFmtId="0" fontId="6" fillId="0" borderId="0" xfId="0" applyFont="1" applyAlignment="1">
      <alignment horizontal="left"/>
    </xf>
    <xf numFmtId="165" fontId="8" fillId="3" borderId="1" xfId="1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1" xfId="1" applyNumberFormat="1" applyFont="1" applyBorder="1" applyAlignment="1"/>
    <xf numFmtId="165" fontId="0" fillId="0" borderId="1" xfId="1" applyNumberFormat="1" applyFont="1" applyFill="1" applyBorder="1" applyAlignment="1"/>
    <xf numFmtId="165" fontId="2" fillId="0" borderId="0" xfId="1" applyNumberFormat="1" applyFont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/>
    <xf numFmtId="165" fontId="1" fillId="3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0" fontId="9" fillId="0" borderId="0" xfId="0" applyFont="1"/>
    <xf numFmtId="1" fontId="0" fillId="0" borderId="0" xfId="1" applyNumberFormat="1" applyFont="1"/>
    <xf numFmtId="0" fontId="7" fillId="0" borderId="0" xfId="0" applyFont="1"/>
    <xf numFmtId="1" fontId="1" fillId="3" borderId="1" xfId="1" applyNumberFormat="1" applyFont="1" applyFill="1" applyBorder="1" applyAlignment="1"/>
    <xf numFmtId="1" fontId="7" fillId="0" borderId="0" xfId="0" applyNumberFormat="1" applyFont="1"/>
    <xf numFmtId="165" fontId="0" fillId="3" borderId="1" xfId="1" applyNumberFormat="1" applyFont="1" applyFill="1" applyBorder="1" applyAlignment="1"/>
    <xf numFmtId="165" fontId="1" fillId="0" borderId="0" xfId="1" applyNumberFormat="1" applyFont="1"/>
    <xf numFmtId="1" fontId="1" fillId="2" borderId="0" xfId="0" applyNumberFormat="1" applyFont="1" applyFill="1"/>
    <xf numFmtId="0" fontId="0" fillId="3" borderId="1" xfId="0" applyFill="1" applyBorder="1" applyAlignment="1">
      <alignment horizontal="center"/>
    </xf>
    <xf numFmtId="164" fontId="1" fillId="4" borderId="1" xfId="1" applyFont="1" applyFill="1" applyBorder="1"/>
    <xf numFmtId="164" fontId="1" fillId="0" borderId="1" xfId="1" applyFont="1" applyBorder="1"/>
    <xf numFmtId="2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1" xfId="0" applyNumberFormat="1" applyBorder="1" applyAlignment="1">
      <alignment wrapText="1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A24"/>
  <sheetViews>
    <sheetView zoomScale="101" workbookViewId="0">
      <pane xSplit="1" ySplit="8" topLeftCell="AO9" activePane="bottomRight" state="frozen"/>
      <selection activeCell="AK49" sqref="AK49"/>
      <selection pane="topRight" activeCell="AK49" sqref="AK49"/>
      <selection pane="bottomLeft" activeCell="AK49" sqref="AK49"/>
      <selection pane="bottomRight" activeCell="BA15" sqref="BA15"/>
    </sheetView>
  </sheetViews>
  <sheetFormatPr defaultColWidth="11.44140625" defaultRowHeight="14.4" x14ac:dyDescent="0.3"/>
  <cols>
    <col min="1" max="1" width="30.33203125" customWidth="1"/>
    <col min="2" max="3" width="12.109375" bestFit="1" customWidth="1"/>
    <col min="4" max="4" width="14.77734375" customWidth="1"/>
    <col min="5" max="5" width="16.44140625" customWidth="1"/>
    <col min="6" max="8" width="10.44140625" bestFit="1" customWidth="1"/>
    <col min="9" max="9" width="12" bestFit="1" customWidth="1"/>
    <col min="10" max="12" width="10.44140625" bestFit="1" customWidth="1"/>
    <col min="13" max="13" width="12" bestFit="1" customWidth="1"/>
    <col min="14" max="16" width="10.44140625" bestFit="1" customWidth="1"/>
    <col min="17" max="17" width="12" bestFit="1" customWidth="1"/>
    <col min="33" max="33" width="12.77734375" bestFit="1" customWidth="1"/>
    <col min="37" max="37" width="12.77734375" bestFit="1" customWidth="1"/>
    <col min="41" max="41" width="12.77734375" bestFit="1" customWidth="1"/>
    <col min="45" max="45" width="12.77734375" bestFit="1" customWidth="1"/>
    <col min="49" max="49" width="12.77734375" bestFit="1" customWidth="1"/>
  </cols>
  <sheetData>
    <row r="1" spans="1:53" x14ac:dyDescent="0.3">
      <c r="A1" s="70" t="s">
        <v>67</v>
      </c>
      <c r="B1" s="70"/>
      <c r="C1" s="70"/>
      <c r="D1" s="70"/>
      <c r="E1" s="70"/>
      <c r="F1" s="70"/>
      <c r="G1" s="70"/>
      <c r="H1" s="70"/>
    </row>
    <row r="3" spans="1:53" x14ac:dyDescent="0.3">
      <c r="A3" s="1" t="s">
        <v>71</v>
      </c>
    </row>
    <row r="5" spans="1:53" x14ac:dyDescent="0.3">
      <c r="A5" s="1" t="s">
        <v>49</v>
      </c>
    </row>
    <row r="7" spans="1:53" x14ac:dyDescent="0.3">
      <c r="A7" s="74"/>
      <c r="B7" s="71" t="s">
        <v>70</v>
      </c>
      <c r="C7" s="72"/>
      <c r="D7" s="72"/>
      <c r="E7" s="73"/>
      <c r="F7" s="58">
        <v>45748</v>
      </c>
      <c r="G7" s="59"/>
      <c r="H7" s="59"/>
      <c r="I7" s="60"/>
      <c r="J7" s="58">
        <v>45778</v>
      </c>
      <c r="K7" s="59"/>
      <c r="L7" s="59"/>
      <c r="M7" s="60"/>
      <c r="N7" s="58">
        <v>45809</v>
      </c>
      <c r="O7" s="59"/>
      <c r="P7" s="59"/>
      <c r="Q7" s="60"/>
      <c r="R7" s="58">
        <v>45839</v>
      </c>
      <c r="S7" s="59"/>
      <c r="T7" s="59"/>
      <c r="U7" s="60"/>
      <c r="V7" s="58">
        <v>45870</v>
      </c>
      <c r="W7" s="59"/>
      <c r="X7" s="59"/>
      <c r="Y7" s="60"/>
      <c r="Z7" s="58">
        <v>45901</v>
      </c>
      <c r="AA7" s="59"/>
      <c r="AB7" s="59"/>
      <c r="AC7" s="60"/>
      <c r="AD7" s="58">
        <v>45931</v>
      </c>
      <c r="AE7" s="59"/>
      <c r="AF7" s="59"/>
      <c r="AG7" s="60"/>
      <c r="AH7" s="58">
        <v>45962</v>
      </c>
      <c r="AI7" s="59"/>
      <c r="AJ7" s="59"/>
      <c r="AK7" s="60"/>
      <c r="AL7" s="58">
        <v>45992</v>
      </c>
      <c r="AM7" s="59"/>
      <c r="AN7" s="59"/>
      <c r="AO7" s="60"/>
      <c r="AP7" s="58">
        <v>46023</v>
      </c>
      <c r="AQ7" s="59"/>
      <c r="AR7" s="59"/>
      <c r="AS7" s="60"/>
      <c r="AT7" s="58">
        <v>46054</v>
      </c>
      <c r="AU7" s="59"/>
      <c r="AV7" s="59"/>
      <c r="AW7" s="60"/>
      <c r="AX7" s="58">
        <v>46082</v>
      </c>
      <c r="AY7" s="59"/>
      <c r="AZ7" s="59"/>
      <c r="BA7" s="60"/>
    </row>
    <row r="8" spans="1:53" x14ac:dyDescent="0.3">
      <c r="A8" s="74"/>
      <c r="B8" s="5" t="s">
        <v>2</v>
      </c>
      <c r="C8" s="5" t="s">
        <v>3</v>
      </c>
      <c r="D8" s="5" t="s">
        <v>4</v>
      </c>
      <c r="E8" s="5" t="s">
        <v>44</v>
      </c>
      <c r="F8" s="5" t="s">
        <v>2</v>
      </c>
      <c r="G8" s="5" t="s">
        <v>3</v>
      </c>
      <c r="H8" s="5" t="s">
        <v>4</v>
      </c>
      <c r="I8" s="5" t="s">
        <v>44</v>
      </c>
      <c r="J8" s="5" t="s">
        <v>2</v>
      </c>
      <c r="K8" s="5" t="s">
        <v>3</v>
      </c>
      <c r="L8" s="5" t="s">
        <v>4</v>
      </c>
      <c r="M8" s="5" t="s">
        <v>44</v>
      </c>
      <c r="N8" s="5" t="s">
        <v>2</v>
      </c>
      <c r="O8" s="5" t="s">
        <v>3</v>
      </c>
      <c r="P8" s="5" t="s">
        <v>4</v>
      </c>
      <c r="Q8" s="5" t="s">
        <v>44</v>
      </c>
      <c r="R8" s="5" t="s">
        <v>2</v>
      </c>
      <c r="S8" s="5" t="s">
        <v>3</v>
      </c>
      <c r="T8" s="5" t="s">
        <v>4</v>
      </c>
      <c r="U8" s="5" t="s">
        <v>44</v>
      </c>
      <c r="V8" s="5" t="s">
        <v>2</v>
      </c>
      <c r="W8" s="5" t="s">
        <v>3</v>
      </c>
      <c r="X8" s="5" t="s">
        <v>4</v>
      </c>
      <c r="Y8" s="5" t="s">
        <v>44</v>
      </c>
      <c r="Z8" s="5" t="s">
        <v>2</v>
      </c>
      <c r="AA8" s="5" t="s">
        <v>3</v>
      </c>
      <c r="AB8" s="5" t="s">
        <v>4</v>
      </c>
      <c r="AC8" s="5" t="s">
        <v>44</v>
      </c>
      <c r="AD8" s="5" t="s">
        <v>2</v>
      </c>
      <c r="AE8" s="5" t="s">
        <v>3</v>
      </c>
      <c r="AF8" s="5" t="s">
        <v>4</v>
      </c>
      <c r="AG8" s="5" t="s">
        <v>44</v>
      </c>
      <c r="AH8" s="5" t="s">
        <v>2</v>
      </c>
      <c r="AI8" s="5" t="s">
        <v>3</v>
      </c>
      <c r="AJ8" s="5" t="s">
        <v>4</v>
      </c>
      <c r="AK8" s="5" t="s">
        <v>44</v>
      </c>
      <c r="AL8" s="5" t="s">
        <v>2</v>
      </c>
      <c r="AM8" s="5" t="s">
        <v>3</v>
      </c>
      <c r="AN8" s="5" t="s">
        <v>4</v>
      </c>
      <c r="AO8" s="5" t="s">
        <v>44</v>
      </c>
      <c r="AP8" s="5" t="s">
        <v>2</v>
      </c>
      <c r="AQ8" s="5" t="s">
        <v>3</v>
      </c>
      <c r="AR8" s="5" t="s">
        <v>4</v>
      </c>
      <c r="AS8" s="5" t="s">
        <v>44</v>
      </c>
      <c r="AT8" s="5" t="s">
        <v>2</v>
      </c>
      <c r="AU8" s="5" t="s">
        <v>3</v>
      </c>
      <c r="AV8" s="5" t="s">
        <v>4</v>
      </c>
      <c r="AW8" s="5" t="s">
        <v>44</v>
      </c>
      <c r="AX8" s="5" t="s">
        <v>2</v>
      </c>
      <c r="AY8" s="5" t="s">
        <v>3</v>
      </c>
      <c r="AZ8" s="5" t="s">
        <v>4</v>
      </c>
      <c r="BA8" s="5" t="s">
        <v>44</v>
      </c>
    </row>
    <row r="9" spans="1:53" x14ac:dyDescent="0.3">
      <c r="A9" s="8" t="s">
        <v>47</v>
      </c>
    </row>
    <row r="10" spans="1:53" x14ac:dyDescent="0.3">
      <c r="A10" s="4" t="s">
        <v>59</v>
      </c>
      <c r="B10" s="23">
        <f>'Collections-Statewise'!C46</f>
        <v>444309.47999999992</v>
      </c>
      <c r="C10" s="23">
        <f>'Collections-Statewise'!D46</f>
        <v>551301.6</v>
      </c>
      <c r="D10" s="23">
        <f>'Collections-Statewise'!E46</f>
        <v>636158.29999999993</v>
      </c>
      <c r="E10" s="23">
        <f>'Collections-Statewise'!F46</f>
        <v>1631769.3800000001</v>
      </c>
      <c r="F10" s="12">
        <f>'Collections-Statewise'!G46</f>
        <v>48633.729999999996</v>
      </c>
      <c r="G10" s="12">
        <f>'Collections-Statewise'!H46</f>
        <v>59372.430000000008</v>
      </c>
      <c r="H10" s="12">
        <f>'Collections-Statewise'!I46</f>
        <v>69504.38</v>
      </c>
      <c r="I10" s="12">
        <f>'Collections-Statewise'!J46</f>
        <v>177510.54</v>
      </c>
      <c r="J10" s="12">
        <f>'Collections-Statewise'!K46</f>
        <v>35433.75</v>
      </c>
      <c r="K10" s="12">
        <f>'Collections-Statewise'!L46</f>
        <v>43901.590000000011</v>
      </c>
      <c r="L10" s="12">
        <f>'Collections-Statewise'!M46</f>
        <v>58766.679999999986</v>
      </c>
      <c r="M10" s="12">
        <f>'Collections-Statewise'!N46</f>
        <v>138102.01999999996</v>
      </c>
      <c r="N10" s="12">
        <f>'Collections-Statewise'!O46</f>
        <v>34557.629999999997</v>
      </c>
      <c r="O10" s="12">
        <f>'Collections-Statewise'!P46</f>
        <v>43267.869999999995</v>
      </c>
      <c r="P10" s="12">
        <f>'Collections-Statewise'!Q46</f>
        <v>48680.179999999986</v>
      </c>
      <c r="Q10" s="12">
        <f>'Collections-Statewise'!R46</f>
        <v>126505.68000000004</v>
      </c>
      <c r="R10" s="12">
        <f>'Collections-Statewise'!S46</f>
        <v>35470.01</v>
      </c>
      <c r="S10" s="12">
        <f>'Collections-Statewise'!T46</f>
        <v>44059.169999999991</v>
      </c>
      <c r="T10" s="12">
        <f>'Collections-Statewise'!U46</f>
        <v>51910.210000000014</v>
      </c>
      <c r="U10" s="12">
        <f>'Collections-Statewise'!V46</f>
        <v>131439.39000000001</v>
      </c>
      <c r="V10" s="12">
        <f>'Collections-Statewise'!W46</f>
        <v>34076.089999999997</v>
      </c>
      <c r="W10" s="12">
        <f>'Collections-Statewise'!X46</f>
        <v>42854.490000000005</v>
      </c>
      <c r="X10" s="12">
        <f>'Collections-Statewise'!Y46</f>
        <v>48639.280000000006</v>
      </c>
      <c r="Y10" s="12">
        <f>'Collections-Statewise'!Z46</f>
        <v>125569.86</v>
      </c>
      <c r="Z10" s="12">
        <f>'Collections-Statewise'!AA46</f>
        <v>33645.53</v>
      </c>
      <c r="AA10" s="12">
        <f>'Collections-Statewise'!AB46</f>
        <v>41835.650000000009</v>
      </c>
      <c r="AB10" s="12">
        <f>'Collections-Statewise'!AC46</f>
        <v>49852.89</v>
      </c>
      <c r="AC10" s="12">
        <f>'Collections-Statewise'!AD46</f>
        <v>125334.07000000002</v>
      </c>
      <c r="AD10" s="12">
        <f>'Collections-Statewise'!AE46</f>
        <v>36547.30000000001</v>
      </c>
      <c r="AE10" s="12">
        <f>'Collections-Statewise'!AF46</f>
        <v>45134.090000000004</v>
      </c>
      <c r="AF10" s="12">
        <f>'Collections-Statewise'!AG46</f>
        <v>55646.84</v>
      </c>
      <c r="AG10" s="12">
        <f>'Collections-Statewise'!AH46</f>
        <v>137328.22999999992</v>
      </c>
      <c r="AH10" s="12">
        <f>'Collections-Statewise'!AI46</f>
        <v>34843.30000000001</v>
      </c>
      <c r="AI10" s="12">
        <f>'Collections-Statewise'!AJ46</f>
        <v>42522.419999999991</v>
      </c>
      <c r="AJ10" s="12">
        <f>'Collections-Statewise'!AK46</f>
        <v>46933.87000000001</v>
      </c>
      <c r="AK10" s="12">
        <f>'Collections-Statewise'!AL46</f>
        <v>124299.59</v>
      </c>
      <c r="AL10" s="12">
        <f>'Collections-Statewise'!AM46</f>
        <v>34288.74</v>
      </c>
      <c r="AM10" s="12">
        <f>'Collections-Statewise'!AN46</f>
        <v>41367.700000000012</v>
      </c>
      <c r="AN10" s="12">
        <f>'Collections-Statewise'!AO46</f>
        <v>46917.269999999982</v>
      </c>
      <c r="AO10" s="12">
        <f>'Collections-Statewise'!AP46</f>
        <v>122573.71</v>
      </c>
      <c r="AP10" s="12">
        <f>'Collections-Statewise'!AQ46</f>
        <v>38791.830000000009</v>
      </c>
      <c r="AQ10" s="12">
        <f>'Collections-Statewise'!AR46</f>
        <v>47817.46</v>
      </c>
      <c r="AR10" s="12">
        <f>'Collections-Statewise'!AS46</f>
        <v>54522.47</v>
      </c>
      <c r="AS10" s="12">
        <f>'Collections-Statewise'!AT46</f>
        <v>141131.76000000004</v>
      </c>
      <c r="AT10" s="12">
        <f>'Collections-Statewise'!AU46</f>
        <v>37472.479999999996</v>
      </c>
      <c r="AU10" s="12">
        <f>'Collections-Statewise'!AV46</f>
        <v>45900.409999999996</v>
      </c>
      <c r="AV10" s="12">
        <f>'Collections-Statewise'!AW46</f>
        <v>52399.369999999995</v>
      </c>
      <c r="AW10" s="12">
        <f>'Collections-Statewise'!AX46</f>
        <v>135772.26</v>
      </c>
      <c r="AX10" s="12">
        <f>'Collections-Statewise'!AY46</f>
        <v>40549.089999999997</v>
      </c>
      <c r="AY10" s="12">
        <f>'Collections-Statewise'!AZ46</f>
        <v>53268.32</v>
      </c>
      <c r="AZ10" s="12">
        <f>'Collections-Statewise'!BA46</f>
        <v>52384.859999999986</v>
      </c>
      <c r="BA10" s="12">
        <f>'Collections-Statewise'!BB46</f>
        <v>146202.27000000002</v>
      </c>
    </row>
    <row r="11" spans="1:53" x14ac:dyDescent="0.3">
      <c r="A11" s="4" t="s">
        <v>58</v>
      </c>
      <c r="B11" s="23">
        <f>'Collections-Statewise'!C48</f>
        <v>0</v>
      </c>
      <c r="C11" s="23">
        <f>'Collections-Statewise'!D48</f>
        <v>0</v>
      </c>
      <c r="D11" s="23">
        <f>'Collections-Statewise'!E48</f>
        <v>595326.34841653903</v>
      </c>
      <c r="E11" s="23">
        <f>'Collections-Statewise'!F48</f>
        <v>595326.34841653903</v>
      </c>
      <c r="F11" s="12">
        <f>'Collections-Statewise'!G48</f>
        <v>0</v>
      </c>
      <c r="G11" s="12">
        <f>'Collections-Statewise'!H48</f>
        <v>0</v>
      </c>
      <c r="H11" s="12">
        <f>'Collections-Statewise'!I48</f>
        <v>45754</v>
      </c>
      <c r="I11" s="12">
        <f>'Collections-Statewise'!J48</f>
        <v>45754</v>
      </c>
      <c r="J11" s="12">
        <f>'Collections-Statewise'!K48</f>
        <v>0</v>
      </c>
      <c r="K11" s="12">
        <f>'Collections-Statewise'!L48</f>
        <v>0</v>
      </c>
      <c r="L11" s="12">
        <f>'Collections-Statewise'!M48</f>
        <v>50069.711089299999</v>
      </c>
      <c r="M11" s="12">
        <f>'Collections-Statewise'!N48</f>
        <v>50069.711089299999</v>
      </c>
      <c r="N11" s="12">
        <f>'Collections-Statewise'!O48</f>
        <v>0</v>
      </c>
      <c r="O11" s="12">
        <f>'Collections-Statewise'!P48</f>
        <v>0</v>
      </c>
      <c r="P11" s="12">
        <f>'Collections-Statewise'!Q48</f>
        <v>44599.516060327005</v>
      </c>
      <c r="Q11" s="12">
        <f>'Collections-Statewise'!R48</f>
        <v>44599.516060327005</v>
      </c>
      <c r="R11" s="12">
        <f>'Collections-Statewise'!S48</f>
        <v>0</v>
      </c>
      <c r="S11" s="12">
        <f>'Collections-Statewise'!T48</f>
        <v>0</v>
      </c>
      <c r="T11" s="12">
        <f>'Collections-Statewise'!U48</f>
        <v>51625.849254180001</v>
      </c>
      <c r="U11" s="12">
        <f>'Collections-Statewise'!V48</f>
        <v>51625.849254180001</v>
      </c>
      <c r="V11" s="12">
        <f>'Collections-Statewise'!W48</f>
        <v>0</v>
      </c>
      <c r="W11" s="12">
        <f>'Collections-Statewise'!X48</f>
        <v>0</v>
      </c>
      <c r="X11" s="12">
        <f>'Collections-Statewise'!Y48</f>
        <v>48546.490319204</v>
      </c>
      <c r="Y11" s="12">
        <f>'Collections-Statewise'!Z48</f>
        <v>48546.490319204</v>
      </c>
      <c r="Z11" s="12">
        <f>'Collections-Statewise'!AA48</f>
        <v>0</v>
      </c>
      <c r="AA11" s="12">
        <f>'Collections-Statewise'!AB48</f>
        <v>0</v>
      </c>
      <c r="AB11" s="12">
        <f>'Collections-Statewise'!AC48</f>
        <v>52030.524295490999</v>
      </c>
      <c r="AC11" s="12">
        <f>'Collections-Statewise'!AD48</f>
        <v>52030.524295490999</v>
      </c>
      <c r="AD11" s="12">
        <f>'Collections-Statewise'!AE48</f>
        <v>0</v>
      </c>
      <c r="AE11" s="12">
        <f>'Collections-Statewise'!AF48</f>
        <v>0</v>
      </c>
      <c r="AF11" s="12">
        <f>'Collections-Statewise'!AG48</f>
        <v>50796.394906130998</v>
      </c>
      <c r="AG11" s="12">
        <f>'Collections-Statewise'!AH48</f>
        <v>50796.394906130998</v>
      </c>
      <c r="AH11" s="12">
        <f>'Collections-Statewise'!AI48</f>
        <v>0</v>
      </c>
      <c r="AI11" s="12">
        <f>'Collections-Statewise'!AJ48</f>
        <v>0</v>
      </c>
      <c r="AJ11" s="12">
        <f>'Collections-Statewise'!AK48</f>
        <v>45976.177108200005</v>
      </c>
      <c r="AK11" s="12">
        <f>'Collections-Statewise'!AL48</f>
        <v>45976.177108200005</v>
      </c>
      <c r="AL11" s="12">
        <f>'Collections-Statewise'!AM48</f>
        <v>0</v>
      </c>
      <c r="AM11" s="12">
        <f>'Collections-Statewise'!AN48</f>
        <v>0</v>
      </c>
      <c r="AN11" s="12">
        <f>'Collections-Statewise'!AO48</f>
        <v>51976.579736380001</v>
      </c>
      <c r="AO11" s="12">
        <f>'Collections-Statewise'!AP48</f>
        <v>51976.579736380001</v>
      </c>
      <c r="AP11" s="12">
        <f>'Collections-Statewise'!AQ48</f>
        <v>0</v>
      </c>
      <c r="AQ11" s="12">
        <f>'Collections-Statewise'!AR48</f>
        <v>0</v>
      </c>
      <c r="AR11" s="12">
        <f>'Collections-Statewise'!AS48</f>
        <v>52252.656265150996</v>
      </c>
      <c r="AS11" s="12">
        <f>'Collections-Statewise'!AT48</f>
        <v>52252.656265150996</v>
      </c>
      <c r="AT11" s="12">
        <f>'Collections-Statewise'!AU48</f>
        <v>0</v>
      </c>
      <c r="AU11" s="12">
        <f>'Collections-Statewise'!AV48</f>
        <v>0</v>
      </c>
      <c r="AV11" s="12">
        <f>'Collections-Statewise'!AW48</f>
        <v>47837.016739724997</v>
      </c>
      <c r="AW11" s="12">
        <f>'Collections-Statewise'!AX48</f>
        <v>47837.016739724997</v>
      </c>
      <c r="AX11" s="12">
        <f>'Collections-Statewise'!AY48</f>
        <v>0</v>
      </c>
      <c r="AY11" s="12">
        <f>'Collections-Statewise'!AZ48</f>
        <v>0</v>
      </c>
      <c r="AZ11" s="12">
        <f>'Collections-Statewise'!BA48</f>
        <v>53861.432642450003</v>
      </c>
      <c r="BA11" s="12">
        <f>'Collections-Statewise'!BB48</f>
        <v>53861.432642450003</v>
      </c>
    </row>
    <row r="12" spans="1:53" x14ac:dyDescent="0.3">
      <c r="A12" s="8" t="s">
        <v>45</v>
      </c>
      <c r="B12" s="13">
        <f>SUM(B10:B11)</f>
        <v>444309.47999999992</v>
      </c>
      <c r="C12" s="13">
        <f t="shared" ref="C12:I12" si="0">SUM(C10:C11)</f>
        <v>551301.6</v>
      </c>
      <c r="D12" s="13">
        <f t="shared" si="0"/>
        <v>1231484.648416539</v>
      </c>
      <c r="E12" s="13">
        <f t="shared" si="0"/>
        <v>2227095.7284165393</v>
      </c>
      <c r="F12" s="14">
        <f t="shared" si="0"/>
        <v>48633.729999999996</v>
      </c>
      <c r="G12" s="14">
        <f t="shared" si="0"/>
        <v>59372.430000000008</v>
      </c>
      <c r="H12" s="14">
        <f t="shared" si="0"/>
        <v>115258.38</v>
      </c>
      <c r="I12" s="14">
        <f t="shared" si="0"/>
        <v>223264.54</v>
      </c>
      <c r="J12" s="14">
        <f t="shared" ref="J12:M12" si="1">SUM(J10:J11)</f>
        <v>35433.75</v>
      </c>
      <c r="K12" s="14">
        <f t="shared" si="1"/>
        <v>43901.590000000011</v>
      </c>
      <c r="L12" s="14">
        <f t="shared" si="1"/>
        <v>108836.39108929998</v>
      </c>
      <c r="M12" s="14">
        <f t="shared" si="1"/>
        <v>188171.73108929995</v>
      </c>
      <c r="N12" s="14">
        <f t="shared" ref="N12:Q12" si="2">SUM(N10:N11)</f>
        <v>34557.629999999997</v>
      </c>
      <c r="O12" s="14">
        <f t="shared" si="2"/>
        <v>43267.869999999995</v>
      </c>
      <c r="P12" s="14">
        <f t="shared" si="2"/>
        <v>93279.696060326998</v>
      </c>
      <c r="Q12" s="14">
        <f t="shared" si="2"/>
        <v>171105.19606032706</v>
      </c>
      <c r="R12" s="14">
        <f t="shared" ref="R12:U12" si="3">SUM(R10:R11)</f>
        <v>35470.01</v>
      </c>
      <c r="S12" s="14">
        <f t="shared" si="3"/>
        <v>44059.169999999991</v>
      </c>
      <c r="T12" s="14">
        <f t="shared" si="3"/>
        <v>103536.05925418001</v>
      </c>
      <c r="U12" s="14">
        <f t="shared" si="3"/>
        <v>183065.23925418002</v>
      </c>
      <c r="V12" s="14">
        <f t="shared" ref="V12:Y12" si="4">SUM(V10:V11)</f>
        <v>34076.089999999997</v>
      </c>
      <c r="W12" s="14">
        <f t="shared" si="4"/>
        <v>42854.490000000005</v>
      </c>
      <c r="X12" s="14">
        <f t="shared" si="4"/>
        <v>97185.770319204006</v>
      </c>
      <c r="Y12" s="14">
        <f t="shared" si="4"/>
        <v>174116.35031920401</v>
      </c>
      <c r="Z12" s="14">
        <f t="shared" ref="Z12:AC12" si="5">SUM(Z10:Z11)</f>
        <v>33645.53</v>
      </c>
      <c r="AA12" s="14">
        <f t="shared" si="5"/>
        <v>41835.650000000009</v>
      </c>
      <c r="AB12" s="14">
        <f t="shared" si="5"/>
        <v>101883.41429549101</v>
      </c>
      <c r="AC12" s="14">
        <f t="shared" si="5"/>
        <v>177364.59429549103</v>
      </c>
      <c r="AD12" s="14">
        <f t="shared" ref="AD12:AG12" si="6">SUM(AD10:AD11)</f>
        <v>36547.30000000001</v>
      </c>
      <c r="AE12" s="14">
        <f t="shared" si="6"/>
        <v>45134.090000000004</v>
      </c>
      <c r="AF12" s="14">
        <f t="shared" si="6"/>
        <v>106443.23490613099</v>
      </c>
      <c r="AG12" s="14">
        <f t="shared" si="6"/>
        <v>188124.62490613092</v>
      </c>
      <c r="AH12" s="14">
        <f t="shared" ref="AH12:AK12" si="7">SUM(AH10:AH11)</f>
        <v>34843.30000000001</v>
      </c>
      <c r="AI12" s="14">
        <f t="shared" si="7"/>
        <v>42522.419999999991</v>
      </c>
      <c r="AJ12" s="14">
        <f t="shared" si="7"/>
        <v>92910.047108200015</v>
      </c>
      <c r="AK12" s="53">
        <f t="shared" si="7"/>
        <v>170275.7671082</v>
      </c>
      <c r="AL12" s="14">
        <f t="shared" ref="AL12:AO12" si="8">SUM(AL10:AL11)</f>
        <v>34288.74</v>
      </c>
      <c r="AM12" s="14">
        <f t="shared" si="8"/>
        <v>41367.700000000012</v>
      </c>
      <c r="AN12" s="14">
        <f t="shared" si="8"/>
        <v>98893.849736379983</v>
      </c>
      <c r="AO12" s="14">
        <f t="shared" si="8"/>
        <v>174550.28973638001</v>
      </c>
      <c r="AP12" s="14">
        <f t="shared" ref="AP12:AS12" si="9">SUM(AP10:AP11)</f>
        <v>38791.830000000009</v>
      </c>
      <c r="AQ12" s="14">
        <f t="shared" si="9"/>
        <v>47817.46</v>
      </c>
      <c r="AR12" s="14">
        <f t="shared" si="9"/>
        <v>106775.12626515099</v>
      </c>
      <c r="AS12" s="14">
        <f t="shared" si="9"/>
        <v>193384.41626515103</v>
      </c>
      <c r="AT12" s="14">
        <f t="shared" ref="AT12:AW12" si="10">SUM(AT10:AT11)</f>
        <v>37472.479999999996</v>
      </c>
      <c r="AU12" s="14">
        <f t="shared" si="10"/>
        <v>45900.409999999996</v>
      </c>
      <c r="AV12" s="14">
        <f t="shared" si="10"/>
        <v>100236.38673972499</v>
      </c>
      <c r="AW12" s="14">
        <f t="shared" si="10"/>
        <v>183609.276739725</v>
      </c>
      <c r="AX12" s="14">
        <f t="shared" ref="AX12:BA12" si="11">SUM(AX10:AX11)</f>
        <v>40549.089999999997</v>
      </c>
      <c r="AY12" s="14">
        <f t="shared" si="11"/>
        <v>53268.32</v>
      </c>
      <c r="AZ12" s="14">
        <f t="shared" si="11"/>
        <v>106246.29264244999</v>
      </c>
      <c r="BA12" s="14">
        <f t="shared" si="11"/>
        <v>200063.70264245002</v>
      </c>
    </row>
    <row r="13" spans="1:53" x14ac:dyDescent="0.3">
      <c r="B13" s="22"/>
      <c r="C13" s="22"/>
      <c r="D13" s="22"/>
      <c r="E13" s="22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spans="1:53" x14ac:dyDescent="0.3">
      <c r="A14" s="55" t="s">
        <v>48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</row>
    <row r="15" spans="1:53" x14ac:dyDescent="0.3">
      <c r="A15" s="56" t="s">
        <v>60</v>
      </c>
      <c r="B15" s="23">
        <f>'Refund-Statewise'!C47</f>
        <v>38740.973302419996</v>
      </c>
      <c r="C15" s="23">
        <f>'Refund-Statewise'!D47</f>
        <v>49440.279940399996</v>
      </c>
      <c r="D15" s="23">
        <f>'Refund-Statewise'!E47</f>
        <v>75880.877013260004</v>
      </c>
      <c r="E15" s="23">
        <f>'Refund-Statewise'!F47</f>
        <v>164062.13025607998</v>
      </c>
      <c r="F15" s="17">
        <f>'Refund-Statewise'!G47</f>
        <v>3232.6</v>
      </c>
      <c r="G15" s="17">
        <f>'Refund-Statewise'!H47</f>
        <v>3847.6900000000005</v>
      </c>
      <c r="H15" s="17">
        <f>'Refund-Statewise'!I47</f>
        <v>5854.4000000000005</v>
      </c>
      <c r="I15" s="17">
        <f>'Refund-Statewise'!J47</f>
        <v>12934.689999999999</v>
      </c>
      <c r="J15" s="17">
        <f>'Refund-Statewise'!K47</f>
        <v>4242.7100000000009</v>
      </c>
      <c r="K15" s="17">
        <f>'Refund-Statewise'!L47</f>
        <v>5390.6600000000017</v>
      </c>
      <c r="L15" s="17">
        <f>'Refund-Statewise'!M47</f>
        <v>8365.5199999999986</v>
      </c>
      <c r="M15" s="17">
        <f>'Refund-Statewise'!N47</f>
        <v>17998.889999999996</v>
      </c>
      <c r="N15" s="17">
        <f>'Refund-Statewise'!O47</f>
        <v>3193.73</v>
      </c>
      <c r="O15" s="17">
        <f>'Refund-Statewise'!P47</f>
        <v>3873.26</v>
      </c>
      <c r="P15" s="17">
        <f>'Refund-Statewise'!Q47</f>
        <v>5372.2199999999993</v>
      </c>
      <c r="Q15" s="17">
        <f>'Refund-Statewise'!R47</f>
        <v>12439.210000000003</v>
      </c>
      <c r="R15" s="17">
        <f>'Refund-Statewise'!S47</f>
        <v>3316.4400000000005</v>
      </c>
      <c r="S15" s="17">
        <f>'Refund-Statewise'!T47</f>
        <v>4541.8499999999985</v>
      </c>
      <c r="T15" s="17">
        <f>'Refund-Statewise'!U47</f>
        <v>8646.51</v>
      </c>
      <c r="U15" s="17">
        <f>'Refund-Statewise'!V47</f>
        <v>16504.8</v>
      </c>
      <c r="V15" s="17">
        <f>'Refund-Statewise'!W47</f>
        <v>2602.29</v>
      </c>
      <c r="W15" s="17">
        <f>'Refund-Statewise'!X47</f>
        <v>3118.1099999999997</v>
      </c>
      <c r="X15" s="17">
        <f>'Refund-Statewise'!Y47</f>
        <v>5001.0999999999995</v>
      </c>
      <c r="Y15" s="17">
        <f>'Refund-Statewise'!Z47</f>
        <v>10721.5</v>
      </c>
      <c r="Z15" s="17">
        <f>'Refund-Statewise'!AA47</f>
        <v>3398.0900000000006</v>
      </c>
      <c r="AA15" s="17">
        <f>'Refund-Statewise'!AB47</f>
        <v>4282.5599999999995</v>
      </c>
      <c r="AB15" s="17">
        <f>'Refund-Statewise'!AC47</f>
        <v>7934.83</v>
      </c>
      <c r="AC15" s="17">
        <f>'Refund-Statewise'!AD47</f>
        <v>15615.479999999998</v>
      </c>
      <c r="AD15" s="17">
        <f>'Refund-Statewise'!AE47</f>
        <v>2972.85</v>
      </c>
      <c r="AE15" s="17">
        <f>'Refund-Statewise'!AF47</f>
        <v>4289.2800000000007</v>
      </c>
      <c r="AF15" s="17">
        <f>'Refund-Statewise'!AG47</f>
        <v>5504.3200000000006</v>
      </c>
      <c r="AG15" s="17">
        <f>'Refund-Statewise'!AH47</f>
        <v>12766.45</v>
      </c>
      <c r="AH15" s="17">
        <f>'Refund-Statewise'!AI47</f>
        <v>2179.37</v>
      </c>
      <c r="AI15" s="17">
        <f>'Refund-Statewise'!AJ47</f>
        <v>2717.9100000000003</v>
      </c>
      <c r="AJ15" s="17">
        <f>'Refund-Statewise'!AK47</f>
        <v>3843.82</v>
      </c>
      <c r="AK15" s="17">
        <f>'Refund-Statewise'!AL47</f>
        <v>8741.1000000000022</v>
      </c>
      <c r="AL15" s="17">
        <f>'Refund-Statewise'!AM47</f>
        <v>4274.3599999999997</v>
      </c>
      <c r="AM15" s="17">
        <f>'Refund-Statewise'!AN47</f>
        <v>5439.1399999999985</v>
      </c>
      <c r="AN15" s="17">
        <f>'Refund-Statewise'!AO47</f>
        <v>8708.81</v>
      </c>
      <c r="AO15" s="17">
        <f>'Refund-Statewise'!AP47</f>
        <v>18422.309999999998</v>
      </c>
      <c r="AP15" s="17">
        <f>'Refund-Statewise'!AQ47</f>
        <v>3303.4700000000003</v>
      </c>
      <c r="AQ15" s="17">
        <f>'Refund-Statewise'!AR47</f>
        <v>4264.5100000000011</v>
      </c>
      <c r="AR15" s="17">
        <f>'Refund-Statewise'!AS47</f>
        <v>5550.92</v>
      </c>
      <c r="AS15" s="17">
        <f>'Refund-Statewise'!AT47</f>
        <v>13118.900000000001</v>
      </c>
      <c r="AT15" s="17">
        <f>'Refund-Statewise'!AU47</f>
        <v>2429.9899999999998</v>
      </c>
      <c r="AU15" s="17">
        <f>'Refund-Statewise'!AV47</f>
        <v>3032.7400000000002</v>
      </c>
      <c r="AV15" s="17">
        <f>'Refund-Statewise'!AW47</f>
        <v>4476.4699999999993</v>
      </c>
      <c r="AW15" s="17">
        <f>'Refund-Statewise'!AX47</f>
        <v>9939.1999999999989</v>
      </c>
      <c r="AX15" s="17">
        <f>'Refund-Statewise'!AY47</f>
        <v>3595.0733024200003</v>
      </c>
      <c r="AY15" s="17">
        <f>'Refund-Statewise'!AZ47</f>
        <v>4642.5699403999997</v>
      </c>
      <c r="AZ15" s="17">
        <f>'Refund-Statewise'!BA47</f>
        <v>6621.9570132600002</v>
      </c>
      <c r="BA15" s="17">
        <f>'Refund-Statewise'!BB47</f>
        <v>14859.600256080001</v>
      </c>
    </row>
    <row r="16" spans="1:53" x14ac:dyDescent="0.3">
      <c r="A16" s="57" t="s">
        <v>61</v>
      </c>
      <c r="B16" s="23">
        <f>'Refund-Statewise'!C49</f>
        <v>0</v>
      </c>
      <c r="C16" s="23">
        <f>'Refund-Statewise'!D49</f>
        <v>0</v>
      </c>
      <c r="D16" s="23">
        <f>'Refund-Statewise'!E49</f>
        <v>128568.441961</v>
      </c>
      <c r="E16" s="23">
        <f>'Refund-Statewise'!F49</f>
        <v>128568.441961</v>
      </c>
      <c r="F16" s="12">
        <f>'Refund-Statewise'!G49</f>
        <v>0</v>
      </c>
      <c r="G16" s="12">
        <f>'Refund-Statewise'!H49</f>
        <v>0</v>
      </c>
      <c r="H16" s="12">
        <f>'Refund-Statewise'!I49</f>
        <v>13716.3241179</v>
      </c>
      <c r="I16" s="12">
        <f>'Refund-Statewise'!J49</f>
        <v>13716.3241179</v>
      </c>
      <c r="J16" s="12">
        <f>'Refund-Statewise'!K49</f>
        <v>0</v>
      </c>
      <c r="K16" s="12">
        <f>'Refund-Statewise'!L49</f>
        <v>0</v>
      </c>
      <c r="L16" s="12">
        <f>'Refund-Statewise'!M49</f>
        <v>8793.5522058000006</v>
      </c>
      <c r="M16" s="12">
        <f>'Refund-Statewise'!N49</f>
        <v>8793.5522058000006</v>
      </c>
      <c r="N16" s="12">
        <f>'Refund-Statewise'!O49</f>
        <v>0</v>
      </c>
      <c r="O16" s="12">
        <f>'Refund-Statewise'!P49</f>
        <v>0</v>
      </c>
      <c r="P16" s="12">
        <f>'Refund-Statewise'!Q49</f>
        <v>12688.4654362</v>
      </c>
      <c r="Q16" s="12">
        <f>'Refund-Statewise'!R49</f>
        <v>12688.4654362</v>
      </c>
      <c r="R16" s="12">
        <f>'Refund-Statewise'!S49</f>
        <v>0</v>
      </c>
      <c r="S16" s="12">
        <f>'Refund-Statewise'!T49</f>
        <v>0</v>
      </c>
      <c r="T16" s="12">
        <f>'Refund-Statewise'!U49</f>
        <v>10014.2847836</v>
      </c>
      <c r="U16" s="12">
        <f>'Refund-Statewise'!V49</f>
        <v>10014.2847836</v>
      </c>
      <c r="V16" s="12">
        <f>'Refund-Statewise'!W49</f>
        <v>0</v>
      </c>
      <c r="W16" s="12">
        <f>'Refund-Statewise'!X49</f>
        <v>0</v>
      </c>
      <c r="X16" s="12">
        <f>'Refund-Statewise'!Y49</f>
        <v>8220.8262484000006</v>
      </c>
      <c r="Y16" s="12">
        <f>'Refund-Statewise'!Z49</f>
        <v>8220.8262484000006</v>
      </c>
      <c r="Z16" s="12">
        <f>'Refund-Statewise'!AA49</f>
        <v>0</v>
      </c>
      <c r="AA16" s="12">
        <f>'Refund-Statewise'!AB49</f>
        <v>0</v>
      </c>
      <c r="AB16" s="12">
        <f>'Refund-Statewise'!AC49</f>
        <v>12242.1672363</v>
      </c>
      <c r="AC16" s="12">
        <f>'Refund-Statewise'!AD49</f>
        <v>12242.1672363</v>
      </c>
      <c r="AD16" s="12">
        <f>'Refund-Statewise'!AE49</f>
        <v>0</v>
      </c>
      <c r="AE16" s="12">
        <f>'Refund-Statewise'!AF49</f>
        <v>0</v>
      </c>
      <c r="AF16" s="12">
        <f>'Refund-Statewise'!AG49</f>
        <v>13463.382019000001</v>
      </c>
      <c r="AG16" s="12">
        <f>'Refund-Statewise'!AH49</f>
        <v>13463.382019000001</v>
      </c>
      <c r="AH16" s="12">
        <f>'Refund-Statewise'!AI49</f>
        <v>0</v>
      </c>
      <c r="AI16" s="12">
        <f>'Refund-Statewise'!AJ49</f>
        <v>0</v>
      </c>
      <c r="AJ16" s="12">
        <f>'Refund-Statewise'!AK49</f>
        <v>9455.3185011999994</v>
      </c>
      <c r="AK16" s="12">
        <f>'Refund-Statewise'!AL49</f>
        <v>9455.3185011999994</v>
      </c>
      <c r="AL16" s="12">
        <f>'Refund-Statewise'!AM49</f>
        <v>0</v>
      </c>
      <c r="AM16" s="12">
        <f>'Refund-Statewise'!AN49</f>
        <v>0</v>
      </c>
      <c r="AN16" s="12">
        <f>'Refund-Statewise'!AO49</f>
        <v>10557.745948899999</v>
      </c>
      <c r="AO16" s="12">
        <f>'Refund-Statewise'!AP49</f>
        <v>10557.745948899999</v>
      </c>
      <c r="AP16" s="12">
        <f>'Refund-Statewise'!AQ49</f>
        <v>0</v>
      </c>
      <c r="AQ16" s="12">
        <f>'Refund-Statewise'!AR49</f>
        <v>0</v>
      </c>
      <c r="AR16" s="12">
        <f>'Refund-Statewise'!AS49</f>
        <v>9546.1516535999999</v>
      </c>
      <c r="AS16" s="12">
        <f>'Refund-Statewise'!AT49</f>
        <v>9546.1516535999999</v>
      </c>
      <c r="AT16" s="12">
        <f>'Refund-Statewise'!AU49</f>
        <v>0</v>
      </c>
      <c r="AU16" s="12">
        <f>'Refund-Statewise'!AV49</f>
        <v>0</v>
      </c>
      <c r="AV16" s="12">
        <f>'Refund-Statewise'!AW49</f>
        <v>12656.20707</v>
      </c>
      <c r="AW16" s="12">
        <f>'Refund-Statewise'!AX49</f>
        <v>12656.20707</v>
      </c>
      <c r="AX16" s="12">
        <f>'Refund-Statewise'!AY49</f>
        <v>0</v>
      </c>
      <c r="AY16" s="12">
        <f>'Refund-Statewise'!AZ49</f>
        <v>0</v>
      </c>
      <c r="AZ16" s="12">
        <f>'Refund-Statewise'!BA49</f>
        <v>7214.0167400999999</v>
      </c>
      <c r="BA16" s="12">
        <f>'Refund-Statewise'!BB49</f>
        <v>7214.0167400999999</v>
      </c>
    </row>
    <row r="17" spans="1:53" x14ac:dyDescent="0.3">
      <c r="A17" s="55" t="s">
        <v>46</v>
      </c>
      <c r="B17" s="13">
        <f>SUM(B15:B16)</f>
        <v>38740.973302419996</v>
      </c>
      <c r="C17" s="13">
        <f t="shared" ref="C17" si="12">SUM(C15:C16)</f>
        <v>49440.279940399996</v>
      </c>
      <c r="D17" s="13">
        <f t="shared" ref="D17" si="13">SUM(D15:D16)</f>
        <v>204449.31897426001</v>
      </c>
      <c r="E17" s="13">
        <f t="shared" ref="E17" si="14">SUM(E15:E16)</f>
        <v>292630.57221707999</v>
      </c>
      <c r="F17" s="14">
        <f t="shared" ref="F17" si="15">SUM(F15:F16)</f>
        <v>3232.6</v>
      </c>
      <c r="G17" s="14">
        <f t="shared" ref="G17" si="16">SUM(G15:G16)</f>
        <v>3847.6900000000005</v>
      </c>
      <c r="H17" s="14">
        <f t="shared" ref="H17" si="17">SUM(H15:H16)</f>
        <v>19570.724117900001</v>
      </c>
      <c r="I17" s="14">
        <f t="shared" ref="I17:L17" si="18">SUM(I15:I16)</f>
        <v>26651.014117899998</v>
      </c>
      <c r="J17" s="14">
        <f t="shared" si="18"/>
        <v>4242.7100000000009</v>
      </c>
      <c r="K17" s="14">
        <f t="shared" si="18"/>
        <v>5390.6600000000017</v>
      </c>
      <c r="L17" s="14">
        <f t="shared" si="18"/>
        <v>17159.072205799999</v>
      </c>
      <c r="M17" s="14">
        <f t="shared" ref="M17:P17" si="19">SUM(M15:M16)</f>
        <v>26792.442205799998</v>
      </c>
      <c r="N17" s="14">
        <f t="shared" si="19"/>
        <v>3193.73</v>
      </c>
      <c r="O17" s="14">
        <f t="shared" si="19"/>
        <v>3873.26</v>
      </c>
      <c r="P17" s="14">
        <f t="shared" si="19"/>
        <v>18060.685436200001</v>
      </c>
      <c r="Q17" s="14">
        <f t="shared" ref="Q17:T17" si="20">SUM(Q15:Q16)</f>
        <v>25127.675436200003</v>
      </c>
      <c r="R17" s="14">
        <f t="shared" si="20"/>
        <v>3316.4400000000005</v>
      </c>
      <c r="S17" s="14">
        <f t="shared" si="20"/>
        <v>4541.8499999999985</v>
      </c>
      <c r="T17" s="14">
        <f t="shared" si="20"/>
        <v>18660.794783600002</v>
      </c>
      <c r="U17" s="14">
        <f t="shared" ref="U17:X17" si="21">SUM(U15:U16)</f>
        <v>26519.084783599999</v>
      </c>
      <c r="V17" s="14">
        <f t="shared" si="21"/>
        <v>2602.29</v>
      </c>
      <c r="W17" s="14">
        <f t="shared" si="21"/>
        <v>3118.1099999999997</v>
      </c>
      <c r="X17" s="14">
        <f t="shared" si="21"/>
        <v>13221.926248399999</v>
      </c>
      <c r="Y17" s="14">
        <f t="shared" ref="Y17:AB17" si="22">SUM(Y15:Y16)</f>
        <v>18942.326248400001</v>
      </c>
      <c r="Z17" s="14">
        <f t="shared" si="22"/>
        <v>3398.0900000000006</v>
      </c>
      <c r="AA17" s="14">
        <f t="shared" si="22"/>
        <v>4282.5599999999995</v>
      </c>
      <c r="AB17" s="14">
        <f t="shared" si="22"/>
        <v>20176.997236299998</v>
      </c>
      <c r="AC17" s="14">
        <f t="shared" ref="AC17:AF17" si="23">SUM(AC15:AC16)</f>
        <v>27857.647236299999</v>
      </c>
      <c r="AD17" s="14">
        <f t="shared" si="23"/>
        <v>2972.85</v>
      </c>
      <c r="AE17" s="14">
        <f t="shared" si="23"/>
        <v>4289.2800000000007</v>
      </c>
      <c r="AF17" s="14">
        <f t="shared" si="23"/>
        <v>18967.702019</v>
      </c>
      <c r="AG17" s="14">
        <f t="shared" ref="AG17:AJ17" si="24">SUM(AG15:AG16)</f>
        <v>26229.832019000001</v>
      </c>
      <c r="AH17" s="14">
        <f t="shared" si="24"/>
        <v>2179.37</v>
      </c>
      <c r="AI17" s="14">
        <f t="shared" si="24"/>
        <v>2717.9100000000003</v>
      </c>
      <c r="AJ17" s="14">
        <f t="shared" si="24"/>
        <v>13299.138501199999</v>
      </c>
      <c r="AK17" s="14">
        <f t="shared" ref="AK17:AN17" si="25">SUM(AK15:AK16)</f>
        <v>18196.418501200002</v>
      </c>
      <c r="AL17" s="14">
        <f t="shared" si="25"/>
        <v>4274.3599999999997</v>
      </c>
      <c r="AM17" s="14">
        <f t="shared" si="25"/>
        <v>5439.1399999999985</v>
      </c>
      <c r="AN17" s="14">
        <f t="shared" si="25"/>
        <v>19266.555948900001</v>
      </c>
      <c r="AO17" s="14">
        <f t="shared" ref="AO17:AR17" si="26">SUM(AO15:AO16)</f>
        <v>28980.055948899997</v>
      </c>
      <c r="AP17" s="14">
        <f t="shared" si="26"/>
        <v>3303.4700000000003</v>
      </c>
      <c r="AQ17" s="14">
        <f t="shared" si="26"/>
        <v>4264.5100000000011</v>
      </c>
      <c r="AR17" s="14">
        <f t="shared" si="26"/>
        <v>15097.0716536</v>
      </c>
      <c r="AS17" s="14">
        <f t="shared" ref="AS17:AV17" si="27">SUM(AS15:AS16)</f>
        <v>22665.0516536</v>
      </c>
      <c r="AT17" s="14">
        <f t="shared" si="27"/>
        <v>2429.9899999999998</v>
      </c>
      <c r="AU17" s="14">
        <f t="shared" si="27"/>
        <v>3032.7400000000002</v>
      </c>
      <c r="AV17" s="14">
        <f t="shared" si="27"/>
        <v>17132.677069999998</v>
      </c>
      <c r="AW17" s="14">
        <f t="shared" ref="AW17:AZ17" si="28">SUM(AW15:AW16)</f>
        <v>22595.407070000001</v>
      </c>
      <c r="AX17" s="14">
        <f t="shared" si="28"/>
        <v>3595.0733024200003</v>
      </c>
      <c r="AY17" s="14">
        <f t="shared" si="28"/>
        <v>4642.5699403999997</v>
      </c>
      <c r="AZ17" s="14">
        <f t="shared" si="28"/>
        <v>13835.97375336</v>
      </c>
      <c r="BA17" s="14">
        <f t="shared" ref="BA17" si="29">SUM(BA15:BA16)</f>
        <v>22073.616996180001</v>
      </c>
    </row>
    <row r="18" spans="1:53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x14ac:dyDescent="0.3">
      <c r="A19" s="9" t="s">
        <v>51</v>
      </c>
      <c r="B19" s="16">
        <f>B12-B17</f>
        <v>405568.50669757993</v>
      </c>
      <c r="C19" s="16">
        <f t="shared" ref="C19:I19" si="30">C12-C17</f>
        <v>501861.3200596</v>
      </c>
      <c r="D19" s="16">
        <f t="shared" si="30"/>
        <v>1027035.3294422789</v>
      </c>
      <c r="E19" s="16">
        <f t="shared" si="30"/>
        <v>1934465.1561994592</v>
      </c>
      <c r="F19" s="16">
        <f t="shared" si="30"/>
        <v>45401.13</v>
      </c>
      <c r="G19" s="16">
        <f t="shared" si="30"/>
        <v>55524.740000000005</v>
      </c>
      <c r="H19" s="16">
        <f t="shared" si="30"/>
        <v>95687.655882100007</v>
      </c>
      <c r="I19" s="16">
        <f t="shared" si="30"/>
        <v>196613.52588210002</v>
      </c>
      <c r="J19" s="16">
        <f t="shared" ref="J19:M19" si="31">J12-J17</f>
        <v>31191.040000000001</v>
      </c>
      <c r="K19" s="16">
        <f t="shared" si="31"/>
        <v>38510.930000000008</v>
      </c>
      <c r="L19" s="16">
        <f t="shared" si="31"/>
        <v>91677.318883499989</v>
      </c>
      <c r="M19" s="16">
        <f t="shared" si="31"/>
        <v>161379.28888349995</v>
      </c>
      <c r="N19" s="16">
        <f t="shared" ref="N19:Q19" si="32">N12-N17</f>
        <v>31363.899999999998</v>
      </c>
      <c r="O19" s="16">
        <f t="shared" si="32"/>
        <v>39394.609999999993</v>
      </c>
      <c r="P19" s="16">
        <f t="shared" si="32"/>
        <v>75219.010624126997</v>
      </c>
      <c r="Q19" s="16">
        <f t="shared" si="32"/>
        <v>145977.52062412706</v>
      </c>
      <c r="R19" s="16">
        <f t="shared" ref="R19:U19" si="33">R12-R17</f>
        <v>32153.57</v>
      </c>
      <c r="S19" s="16">
        <f t="shared" si="33"/>
        <v>39517.319999999992</v>
      </c>
      <c r="T19" s="16">
        <f t="shared" si="33"/>
        <v>84875.264470580005</v>
      </c>
      <c r="U19" s="16">
        <f t="shared" si="33"/>
        <v>156546.15447058002</v>
      </c>
      <c r="V19" s="16">
        <f t="shared" ref="V19:Y19" si="34">V12-V17</f>
        <v>31473.799999999996</v>
      </c>
      <c r="W19" s="16">
        <f t="shared" si="34"/>
        <v>39736.380000000005</v>
      </c>
      <c r="X19" s="16">
        <f t="shared" si="34"/>
        <v>83963.844070804014</v>
      </c>
      <c r="Y19" s="16">
        <f t="shared" si="34"/>
        <v>155174.02407080401</v>
      </c>
      <c r="Z19" s="16">
        <f t="shared" ref="Z19:AC19" si="35">Z12-Z17</f>
        <v>30247.439999999999</v>
      </c>
      <c r="AA19" s="16">
        <f t="shared" si="35"/>
        <v>37553.090000000011</v>
      </c>
      <c r="AB19" s="16">
        <f t="shared" si="35"/>
        <v>81706.417059191008</v>
      </c>
      <c r="AC19" s="16">
        <f t="shared" si="35"/>
        <v>149506.94705919104</v>
      </c>
      <c r="AD19" s="16">
        <f t="shared" ref="AD19:AG19" si="36">AD12-AD17</f>
        <v>33574.450000000012</v>
      </c>
      <c r="AE19" s="16">
        <f t="shared" si="36"/>
        <v>40844.810000000005</v>
      </c>
      <c r="AF19" s="16">
        <f t="shared" si="36"/>
        <v>87475.53288713099</v>
      </c>
      <c r="AG19" s="52">
        <f t="shared" si="36"/>
        <v>161894.79288713093</v>
      </c>
      <c r="AH19" s="16">
        <f t="shared" ref="AH19:AK19" si="37">AH12-AH17</f>
        <v>32663.930000000011</v>
      </c>
      <c r="AI19" s="16">
        <f t="shared" si="37"/>
        <v>39804.509999999987</v>
      </c>
      <c r="AJ19" s="16">
        <f t="shared" si="37"/>
        <v>79610.908607000019</v>
      </c>
      <c r="AK19" s="52">
        <f t="shared" si="37"/>
        <v>152079.34860699999</v>
      </c>
      <c r="AL19" s="16">
        <f t="shared" ref="AL19:AO19" si="38">AL12-AL17</f>
        <v>30014.379999999997</v>
      </c>
      <c r="AM19" s="16">
        <f t="shared" si="38"/>
        <v>35928.560000000012</v>
      </c>
      <c r="AN19" s="16">
        <f t="shared" si="38"/>
        <v>79627.293787479983</v>
      </c>
      <c r="AO19" s="52">
        <f t="shared" si="38"/>
        <v>145570.23378748001</v>
      </c>
      <c r="AP19" s="16">
        <f t="shared" ref="AP19:AS19" si="39">AP12-AP17</f>
        <v>35488.360000000008</v>
      </c>
      <c r="AQ19" s="16">
        <f t="shared" si="39"/>
        <v>43552.95</v>
      </c>
      <c r="AR19" s="16">
        <f t="shared" si="39"/>
        <v>91678.054611550993</v>
      </c>
      <c r="AS19" s="52">
        <f t="shared" si="39"/>
        <v>170719.36461155102</v>
      </c>
      <c r="AT19" s="16">
        <f t="shared" ref="AT19:AW19" si="40">AT12-AT17</f>
        <v>35042.49</v>
      </c>
      <c r="AU19" s="16">
        <f t="shared" si="40"/>
        <v>42867.67</v>
      </c>
      <c r="AV19" s="16">
        <f t="shared" si="40"/>
        <v>83103.70966972498</v>
      </c>
      <c r="AW19" s="16">
        <f t="shared" si="40"/>
        <v>161013.86966972501</v>
      </c>
      <c r="AX19" s="16">
        <f t="shared" ref="AX19:BA19" si="41">AX12-AX17</f>
        <v>36954.016697579995</v>
      </c>
      <c r="AY19" s="16">
        <f t="shared" si="41"/>
        <v>48625.750059600003</v>
      </c>
      <c r="AZ19" s="16">
        <f t="shared" si="41"/>
        <v>92410.318889089991</v>
      </c>
      <c r="BA19" s="16">
        <f t="shared" si="41"/>
        <v>177990.08564627002</v>
      </c>
    </row>
    <row r="20" spans="1:53" x14ac:dyDescent="0.3">
      <c r="E20" s="34"/>
    </row>
    <row r="21" spans="1:53" x14ac:dyDescent="0.3">
      <c r="B21" s="34"/>
      <c r="C21" s="34"/>
      <c r="D21" s="34"/>
      <c r="E21" s="34"/>
    </row>
    <row r="22" spans="1:53" x14ac:dyDescent="0.3">
      <c r="E22" s="34"/>
      <c r="F22" s="34"/>
    </row>
    <row r="23" spans="1:53" x14ac:dyDescent="0.3">
      <c r="B23" s="34"/>
      <c r="C23" s="34"/>
      <c r="D23" s="34"/>
      <c r="E23" s="34"/>
    </row>
    <row r="24" spans="1:53" ht="15.6" x14ac:dyDescent="0.3">
      <c r="A24" s="24" t="s">
        <v>64</v>
      </c>
      <c r="B24" s="45" t="s">
        <v>66</v>
      </c>
      <c r="C24" s="45"/>
      <c r="D24" s="45"/>
      <c r="E24" s="45"/>
      <c r="F24" s="45"/>
      <c r="G24" s="45"/>
    </row>
  </sheetData>
  <mergeCells count="15">
    <mergeCell ref="AD7:AG7"/>
    <mergeCell ref="Z7:AC7"/>
    <mergeCell ref="V7:Y7"/>
    <mergeCell ref="R7:U7"/>
    <mergeCell ref="N7:Q7"/>
    <mergeCell ref="A1:H1"/>
    <mergeCell ref="B7:E7"/>
    <mergeCell ref="F7:I7"/>
    <mergeCell ref="A7:A8"/>
    <mergeCell ref="J7:M7"/>
    <mergeCell ref="AX7:BA7"/>
    <mergeCell ref="AT7:AW7"/>
    <mergeCell ref="AP7:AS7"/>
    <mergeCell ref="AL7:AO7"/>
    <mergeCell ref="AH7:AK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4"/>
  <sheetViews>
    <sheetView tabSelected="1" zoomScale="67" zoomScaleNormal="70" workbookViewId="0">
      <pane xSplit="2" ySplit="6" topLeftCell="C21" activePane="bottomRight" state="frozen"/>
      <selection activeCell="BD22" sqref="BD22"/>
      <selection pane="topRight" activeCell="BD22" sqref="BD22"/>
      <selection pane="bottomLeft" activeCell="BD22" sqref="BD22"/>
      <selection pane="bottomRight" activeCell="F46" sqref="F46"/>
    </sheetView>
  </sheetViews>
  <sheetFormatPr defaultColWidth="11.44140625" defaultRowHeight="14.4" x14ac:dyDescent="0.3"/>
  <cols>
    <col min="1" max="1" width="7.6640625" bestFit="1" customWidth="1"/>
    <col min="2" max="2" width="25.109375" customWidth="1"/>
    <col min="3" max="5" width="12.44140625" bestFit="1" customWidth="1"/>
    <col min="6" max="6" width="14.77734375" customWidth="1"/>
    <col min="7" max="9" width="10.77734375" bestFit="1" customWidth="1"/>
    <col min="10" max="10" width="12.44140625" bestFit="1" customWidth="1"/>
    <col min="11" max="13" width="10.77734375" bestFit="1" customWidth="1"/>
    <col min="14" max="14" width="12.44140625" bestFit="1" customWidth="1"/>
    <col min="15" max="17" width="10.77734375" bestFit="1" customWidth="1"/>
    <col min="18" max="18" width="12.44140625" bestFit="1" customWidth="1"/>
    <col min="19" max="21" width="10.77734375" bestFit="1" customWidth="1"/>
    <col min="22" max="22" width="12.44140625" bestFit="1" customWidth="1"/>
    <col min="23" max="25" width="10.77734375" bestFit="1" customWidth="1"/>
    <col min="26" max="26" width="12.44140625" bestFit="1" customWidth="1"/>
    <col min="27" max="29" width="10.77734375" bestFit="1" customWidth="1"/>
    <col min="30" max="30" width="12.44140625" bestFit="1" customWidth="1"/>
    <col min="31" max="33" width="10.77734375" bestFit="1" customWidth="1"/>
    <col min="34" max="34" width="12.44140625" bestFit="1" customWidth="1"/>
    <col min="35" max="35" width="12.109375" customWidth="1"/>
    <col min="36" max="37" width="13.33203125" bestFit="1" customWidth="1"/>
    <col min="38" max="38" width="15" bestFit="1" customWidth="1"/>
    <col min="39" max="39" width="12.109375" customWidth="1"/>
    <col min="40" max="41" width="13.33203125" bestFit="1" customWidth="1"/>
    <col min="42" max="42" width="15" bestFit="1" customWidth="1"/>
    <col min="43" max="43" width="12.109375" customWidth="1"/>
    <col min="44" max="45" width="13.33203125" bestFit="1" customWidth="1"/>
    <col min="46" max="46" width="15" bestFit="1" customWidth="1"/>
    <col min="47" max="47" width="12.109375" customWidth="1"/>
    <col min="48" max="49" width="13.33203125" bestFit="1" customWidth="1"/>
    <col min="50" max="50" width="15" bestFit="1" customWidth="1"/>
    <col min="51" max="51" width="12.109375" customWidth="1"/>
    <col min="52" max="54" width="13.33203125" bestFit="1" customWidth="1"/>
    <col min="55" max="55" width="15" bestFit="1" customWidth="1"/>
  </cols>
  <sheetData>
    <row r="1" spans="1:54" x14ac:dyDescent="0.3">
      <c r="A1" s="10" t="s">
        <v>68</v>
      </c>
      <c r="B1" s="10"/>
      <c r="C1" s="10"/>
      <c r="D1" s="10"/>
      <c r="E1" s="10"/>
      <c r="F1" s="10"/>
    </row>
    <row r="2" spans="1:54" x14ac:dyDescent="0.3">
      <c r="A2" s="79" t="str">
        <f>'GST_Revenue-All_India'!A3</f>
        <v>Data upto : 31st Mar 2026</v>
      </c>
      <c r="B2" s="79"/>
    </row>
    <row r="3" spans="1:54" ht="18" x14ac:dyDescent="0.35">
      <c r="C3" s="1" t="s">
        <v>0</v>
      </c>
      <c r="AI3" s="43"/>
      <c r="AM3" s="43"/>
      <c r="AQ3" s="43"/>
      <c r="AU3" s="43"/>
      <c r="AY3" s="43"/>
    </row>
    <row r="4" spans="1:54" x14ac:dyDescent="0.3">
      <c r="A4" s="80" t="s">
        <v>52</v>
      </c>
      <c r="B4" s="80"/>
      <c r="C4" s="1"/>
    </row>
    <row r="5" spans="1:54" x14ac:dyDescent="0.3">
      <c r="A5" s="78" t="s">
        <v>43</v>
      </c>
      <c r="B5" s="78" t="s">
        <v>1</v>
      </c>
      <c r="C5" s="71" t="str">
        <f>'GST_Revenue-All_India'!B7</f>
        <v>Financial Year (up to the Month - Mar 2026)</v>
      </c>
      <c r="D5" s="72"/>
      <c r="E5" s="72"/>
      <c r="F5" s="73"/>
      <c r="G5" s="58">
        <v>45748</v>
      </c>
      <c r="H5" s="59"/>
      <c r="I5" s="59"/>
      <c r="J5" s="60"/>
      <c r="K5" s="58">
        <v>45778</v>
      </c>
      <c r="L5" s="59"/>
      <c r="M5" s="59"/>
      <c r="N5" s="60"/>
      <c r="O5" s="58">
        <v>45809</v>
      </c>
      <c r="P5" s="59"/>
      <c r="Q5" s="59"/>
      <c r="R5" s="60"/>
      <c r="S5" s="58">
        <v>45839</v>
      </c>
      <c r="T5" s="59"/>
      <c r="U5" s="59"/>
      <c r="V5" s="60"/>
      <c r="W5" s="58">
        <v>45870</v>
      </c>
      <c r="X5" s="59"/>
      <c r="Y5" s="59"/>
      <c r="Z5" s="60"/>
      <c r="AA5" s="58">
        <v>45901</v>
      </c>
      <c r="AB5" s="59"/>
      <c r="AC5" s="59"/>
      <c r="AD5" s="60"/>
      <c r="AE5" s="58">
        <v>45931</v>
      </c>
      <c r="AF5" s="59"/>
      <c r="AG5" s="59"/>
      <c r="AH5" s="60"/>
      <c r="AI5" s="58">
        <v>45962</v>
      </c>
      <c r="AJ5" s="59"/>
      <c r="AK5" s="59"/>
      <c r="AL5" s="60"/>
      <c r="AM5" s="58">
        <v>45992</v>
      </c>
      <c r="AN5" s="59"/>
      <c r="AO5" s="59"/>
      <c r="AP5" s="60"/>
      <c r="AQ5" s="58">
        <v>46023</v>
      </c>
      <c r="AR5" s="59"/>
      <c r="AS5" s="59"/>
      <c r="AT5" s="60"/>
      <c r="AU5" s="58">
        <v>46054</v>
      </c>
      <c r="AV5" s="59"/>
      <c r="AW5" s="59"/>
      <c r="AX5" s="60"/>
      <c r="AY5" s="58">
        <v>46082</v>
      </c>
      <c r="AZ5" s="59"/>
      <c r="BA5" s="59"/>
      <c r="BB5" s="60"/>
    </row>
    <row r="6" spans="1:54" x14ac:dyDescent="0.3">
      <c r="A6" s="78"/>
      <c r="B6" s="78"/>
      <c r="C6" s="5" t="s">
        <v>2</v>
      </c>
      <c r="D6" s="5" t="s">
        <v>3</v>
      </c>
      <c r="E6" s="5" t="s">
        <v>4</v>
      </c>
      <c r="F6" s="5" t="s">
        <v>44</v>
      </c>
      <c r="G6" s="5" t="s">
        <v>2</v>
      </c>
      <c r="H6" s="5" t="s">
        <v>3</v>
      </c>
      <c r="I6" s="5" t="s">
        <v>4</v>
      </c>
      <c r="J6" s="5" t="s">
        <v>44</v>
      </c>
      <c r="K6" s="5" t="s">
        <v>2</v>
      </c>
      <c r="L6" s="5" t="s">
        <v>3</v>
      </c>
      <c r="M6" s="5" t="s">
        <v>4</v>
      </c>
      <c r="N6" s="5" t="s">
        <v>44</v>
      </c>
      <c r="O6" s="5" t="s">
        <v>2</v>
      </c>
      <c r="P6" s="5" t="s">
        <v>3</v>
      </c>
      <c r="Q6" s="5" t="s">
        <v>4</v>
      </c>
      <c r="R6" s="5" t="s">
        <v>44</v>
      </c>
      <c r="S6" s="5" t="s">
        <v>2</v>
      </c>
      <c r="T6" s="5" t="s">
        <v>3</v>
      </c>
      <c r="U6" s="5" t="s">
        <v>4</v>
      </c>
      <c r="V6" s="5" t="s">
        <v>44</v>
      </c>
      <c r="W6" s="5" t="s">
        <v>2</v>
      </c>
      <c r="X6" s="5" t="s">
        <v>3</v>
      </c>
      <c r="Y6" s="5" t="s">
        <v>4</v>
      </c>
      <c r="Z6" s="5" t="s">
        <v>44</v>
      </c>
      <c r="AA6" s="5" t="s">
        <v>2</v>
      </c>
      <c r="AB6" s="5" t="s">
        <v>3</v>
      </c>
      <c r="AC6" s="5" t="s">
        <v>4</v>
      </c>
      <c r="AD6" s="5" t="s">
        <v>44</v>
      </c>
      <c r="AE6" s="5" t="s">
        <v>2</v>
      </c>
      <c r="AF6" s="5" t="s">
        <v>3</v>
      </c>
      <c r="AG6" s="5" t="s">
        <v>4</v>
      </c>
      <c r="AH6" s="5" t="s">
        <v>44</v>
      </c>
      <c r="AI6" s="5" t="s">
        <v>2</v>
      </c>
      <c r="AJ6" s="5" t="s">
        <v>3</v>
      </c>
      <c r="AK6" s="5" t="s">
        <v>4</v>
      </c>
      <c r="AL6" s="5" t="s">
        <v>44</v>
      </c>
      <c r="AM6" s="5" t="s">
        <v>2</v>
      </c>
      <c r="AN6" s="5" t="s">
        <v>3</v>
      </c>
      <c r="AO6" s="5" t="s">
        <v>4</v>
      </c>
      <c r="AP6" s="5" t="s">
        <v>44</v>
      </c>
      <c r="AQ6" s="5" t="s">
        <v>2</v>
      </c>
      <c r="AR6" s="5" t="s">
        <v>3</v>
      </c>
      <c r="AS6" s="5" t="s">
        <v>4</v>
      </c>
      <c r="AT6" s="5" t="s">
        <v>44</v>
      </c>
      <c r="AU6" s="5" t="s">
        <v>2</v>
      </c>
      <c r="AV6" s="5" t="s">
        <v>3</v>
      </c>
      <c r="AW6" s="5" t="s">
        <v>4</v>
      </c>
      <c r="AX6" s="5" t="s">
        <v>44</v>
      </c>
      <c r="AY6" s="5" t="s">
        <v>2</v>
      </c>
      <c r="AZ6" s="5" t="s">
        <v>3</v>
      </c>
      <c r="BA6" s="5" t="s">
        <v>4</v>
      </c>
      <c r="BB6" s="5" t="s">
        <v>44</v>
      </c>
    </row>
    <row r="7" spans="1:54" x14ac:dyDescent="0.3">
      <c r="A7" s="6">
        <v>1</v>
      </c>
      <c r="B7" s="2" t="s">
        <v>5</v>
      </c>
      <c r="C7" s="18">
        <f t="shared" ref="C7:C45" si="0">G7+K7+O7+S7+W7+AA7+AE7+AI7+AM7+AQ7+AU7+AY7</f>
        <v>2176.7200000000003</v>
      </c>
      <c r="D7" s="18">
        <f t="shared" ref="D7:D45" si="1">H7+L7+P7+T7+X7+AB7+AF7+AJ7+AN7+AR7+AV7+AZ7</f>
        <v>2923.1800000000003</v>
      </c>
      <c r="E7" s="18">
        <f t="shared" ref="E7:E45" si="2">I7+M7+Q7+U7+Y7+AC7+AG7+AK7+AO7+AS7+AW7+BA7</f>
        <v>1858.8700000000003</v>
      </c>
      <c r="F7" s="18">
        <f>J7+N7+R7+V7+Z7+AD7+AH7+AL7+AP7+AT7+AX7+BB7</f>
        <v>6958.7699999999995</v>
      </c>
      <c r="G7" s="19">
        <v>277.39</v>
      </c>
      <c r="H7" s="19">
        <v>376.34</v>
      </c>
      <c r="I7" s="19">
        <v>214.21</v>
      </c>
      <c r="J7" s="19">
        <f t="shared" ref="J7:J45" si="3">SUM(G7:I7)</f>
        <v>867.94</v>
      </c>
      <c r="K7" s="19">
        <v>138.34</v>
      </c>
      <c r="L7" s="19">
        <v>201.87</v>
      </c>
      <c r="M7" s="19">
        <v>224.95</v>
      </c>
      <c r="N7" s="19">
        <f t="shared" ref="N7:N45" si="4">SUM(K7:M7)</f>
        <v>565.16000000000008</v>
      </c>
      <c r="O7" s="19">
        <v>156.78</v>
      </c>
      <c r="P7" s="19">
        <v>214.19</v>
      </c>
      <c r="Q7" s="19">
        <v>181.14</v>
      </c>
      <c r="R7" s="19">
        <f t="shared" ref="R7:R45" si="5">SUM(O7:Q7)</f>
        <v>552.11</v>
      </c>
      <c r="S7" s="19">
        <v>153.07</v>
      </c>
      <c r="T7" s="19">
        <v>224.07</v>
      </c>
      <c r="U7" s="19">
        <v>203.62</v>
      </c>
      <c r="V7" s="19">
        <f t="shared" ref="V7:V45" si="6">SUM(S7:U7)</f>
        <v>580.76</v>
      </c>
      <c r="W7" s="19">
        <v>162.30000000000001</v>
      </c>
      <c r="X7" s="19">
        <v>235.04</v>
      </c>
      <c r="Y7" s="19">
        <v>171.11</v>
      </c>
      <c r="Z7" s="19">
        <f t="shared" ref="Z7:Z45" si="7">SUM(W7:Y7)</f>
        <v>568.45000000000005</v>
      </c>
      <c r="AA7" s="19">
        <v>234.64</v>
      </c>
      <c r="AB7" s="19">
        <v>290.85000000000002</v>
      </c>
      <c r="AC7" s="19">
        <v>164.96</v>
      </c>
      <c r="AD7" s="19">
        <f t="shared" ref="AD7:AD45" si="8">SUM(AA7:AC7)</f>
        <v>690.45</v>
      </c>
      <c r="AE7" s="19">
        <v>168.91</v>
      </c>
      <c r="AF7" s="19">
        <v>228.04</v>
      </c>
      <c r="AG7" s="19">
        <v>148.87</v>
      </c>
      <c r="AH7" s="19">
        <f t="shared" ref="AH7:AH45" si="9">SUM(AE7:AG7)</f>
        <v>545.81999999999994</v>
      </c>
      <c r="AI7" s="19">
        <v>153.12</v>
      </c>
      <c r="AJ7" s="19">
        <v>213.66</v>
      </c>
      <c r="AK7" s="19">
        <v>124.99</v>
      </c>
      <c r="AL7" s="19">
        <f t="shared" ref="AL7:AL45" si="10">SUM(AI7:AK7)</f>
        <v>491.77</v>
      </c>
      <c r="AM7" s="19">
        <v>154.63999999999999</v>
      </c>
      <c r="AN7" s="19">
        <v>203.69</v>
      </c>
      <c r="AO7" s="19">
        <v>113.95</v>
      </c>
      <c r="AP7" s="19">
        <f t="shared" ref="AP7:AP45" si="11">SUM(AM7:AO7)</f>
        <v>472.28</v>
      </c>
      <c r="AQ7" s="19">
        <v>224.97</v>
      </c>
      <c r="AR7" s="19">
        <v>292.60000000000002</v>
      </c>
      <c r="AS7" s="19">
        <v>101.94</v>
      </c>
      <c r="AT7" s="19">
        <f t="shared" ref="AT7:AT45" si="12">SUM(AQ7:AS7)</f>
        <v>619.51</v>
      </c>
      <c r="AU7" s="19">
        <v>192.27</v>
      </c>
      <c r="AV7" s="19">
        <v>236.32</v>
      </c>
      <c r="AW7" s="19">
        <v>91.63</v>
      </c>
      <c r="AX7" s="19">
        <f t="shared" ref="AX7:AX45" si="13">SUM(AU7:AW7)</f>
        <v>520.22</v>
      </c>
      <c r="AY7" s="19">
        <v>160.29</v>
      </c>
      <c r="AZ7" s="19">
        <v>206.51</v>
      </c>
      <c r="BA7" s="19">
        <v>117.5</v>
      </c>
      <c r="BB7" s="19">
        <f t="shared" ref="BB7:BB45" si="14">SUM(AY7:BA7)</f>
        <v>484.29999999999995</v>
      </c>
    </row>
    <row r="8" spans="1:54" x14ac:dyDescent="0.3">
      <c r="A8" s="6">
        <v>2</v>
      </c>
      <c r="B8" s="2" t="s">
        <v>6</v>
      </c>
      <c r="C8" s="18">
        <f t="shared" si="0"/>
        <v>1946.11</v>
      </c>
      <c r="D8" s="18">
        <f t="shared" si="1"/>
        <v>2654.5099999999993</v>
      </c>
      <c r="E8" s="18">
        <f t="shared" si="2"/>
        <v>4827.07</v>
      </c>
      <c r="F8" s="18">
        <f t="shared" ref="F8:F45" si="15">J8+N8+R8+V8+Z8+AD8+AH8+AL8+AP8+AT8+AX8+BB8</f>
        <v>9427.69</v>
      </c>
      <c r="G8" s="19">
        <v>232.78</v>
      </c>
      <c r="H8" s="19">
        <v>315.41000000000003</v>
      </c>
      <c r="I8" s="19">
        <v>540.51</v>
      </c>
      <c r="J8" s="19">
        <f t="shared" si="3"/>
        <v>1088.7</v>
      </c>
      <c r="K8" s="19">
        <v>148.51</v>
      </c>
      <c r="L8" s="19">
        <v>203.64</v>
      </c>
      <c r="M8" s="19">
        <v>489.03</v>
      </c>
      <c r="N8" s="19">
        <f t="shared" si="4"/>
        <v>841.18</v>
      </c>
      <c r="O8" s="19">
        <v>153.22999999999999</v>
      </c>
      <c r="P8" s="19">
        <v>213.67</v>
      </c>
      <c r="Q8" s="19">
        <v>527.82000000000005</v>
      </c>
      <c r="R8" s="19">
        <f t="shared" si="5"/>
        <v>894.72</v>
      </c>
      <c r="S8" s="19">
        <v>172.62</v>
      </c>
      <c r="T8" s="19">
        <v>244.12</v>
      </c>
      <c r="U8" s="19">
        <v>524.65</v>
      </c>
      <c r="V8" s="19">
        <f t="shared" si="6"/>
        <v>941.39</v>
      </c>
      <c r="W8" s="19">
        <v>147.9</v>
      </c>
      <c r="X8" s="19">
        <v>210.38</v>
      </c>
      <c r="Y8" s="19">
        <v>506.56</v>
      </c>
      <c r="Z8" s="19">
        <f t="shared" si="7"/>
        <v>864.83999999999992</v>
      </c>
      <c r="AA8" s="19">
        <v>140.93</v>
      </c>
      <c r="AB8" s="19">
        <v>195.32</v>
      </c>
      <c r="AC8" s="19">
        <v>478.34</v>
      </c>
      <c r="AD8" s="19">
        <f t="shared" si="8"/>
        <v>814.58999999999992</v>
      </c>
      <c r="AE8" s="19">
        <v>142.35</v>
      </c>
      <c r="AF8" s="19">
        <v>194.38</v>
      </c>
      <c r="AG8" s="19">
        <v>382.47</v>
      </c>
      <c r="AH8" s="19">
        <f t="shared" si="9"/>
        <v>719.2</v>
      </c>
      <c r="AI8" s="19">
        <v>148.27000000000001</v>
      </c>
      <c r="AJ8" s="19">
        <v>209.13</v>
      </c>
      <c r="AK8" s="19">
        <v>258.3</v>
      </c>
      <c r="AL8" s="19">
        <f t="shared" si="10"/>
        <v>615.70000000000005</v>
      </c>
      <c r="AM8" s="19">
        <v>141.59</v>
      </c>
      <c r="AN8" s="19">
        <v>180.58</v>
      </c>
      <c r="AO8" s="19">
        <v>297.89</v>
      </c>
      <c r="AP8" s="19">
        <f t="shared" si="11"/>
        <v>620.05999999999995</v>
      </c>
      <c r="AQ8" s="19">
        <v>172.88</v>
      </c>
      <c r="AR8" s="19">
        <v>239.18</v>
      </c>
      <c r="AS8" s="19">
        <v>268.66000000000003</v>
      </c>
      <c r="AT8" s="19">
        <f t="shared" si="12"/>
        <v>680.72</v>
      </c>
      <c r="AU8" s="19">
        <v>156.97999999999999</v>
      </c>
      <c r="AV8" s="19">
        <v>204.33</v>
      </c>
      <c r="AW8" s="19">
        <v>283.52</v>
      </c>
      <c r="AX8" s="19">
        <f t="shared" si="13"/>
        <v>644.82999999999993</v>
      </c>
      <c r="AY8" s="19">
        <v>188.07</v>
      </c>
      <c r="AZ8" s="19">
        <v>244.37</v>
      </c>
      <c r="BA8" s="19">
        <v>269.32</v>
      </c>
      <c r="BB8" s="19">
        <f t="shared" si="14"/>
        <v>701.76</v>
      </c>
    </row>
    <row r="9" spans="1:54" x14ac:dyDescent="0.3">
      <c r="A9" s="6">
        <v>3</v>
      </c>
      <c r="B9" s="2" t="s">
        <v>7</v>
      </c>
      <c r="C9" s="18">
        <f t="shared" si="0"/>
        <v>7049.0599999999995</v>
      </c>
      <c r="D9" s="18">
        <f t="shared" si="1"/>
        <v>9928.33</v>
      </c>
      <c r="E9" s="18">
        <f t="shared" si="2"/>
        <v>10664.49</v>
      </c>
      <c r="F9" s="18">
        <f t="shared" si="15"/>
        <v>27641.88</v>
      </c>
      <c r="G9" s="19">
        <v>767.72</v>
      </c>
      <c r="H9" s="19">
        <v>1082.46</v>
      </c>
      <c r="I9" s="19">
        <v>1213.08</v>
      </c>
      <c r="J9" s="19">
        <f t="shared" si="3"/>
        <v>3063.26</v>
      </c>
      <c r="K9" s="19">
        <v>554.4</v>
      </c>
      <c r="L9" s="19">
        <v>797.47</v>
      </c>
      <c r="M9" s="19">
        <v>1014.38</v>
      </c>
      <c r="N9" s="19">
        <f t="shared" si="4"/>
        <v>2366.25</v>
      </c>
      <c r="O9" s="19">
        <v>539.67999999999995</v>
      </c>
      <c r="P9" s="19">
        <v>782.67</v>
      </c>
      <c r="Q9" s="19">
        <v>863.6</v>
      </c>
      <c r="R9" s="19">
        <f t="shared" si="5"/>
        <v>2185.9499999999998</v>
      </c>
      <c r="S9" s="19">
        <v>589.54999999999995</v>
      </c>
      <c r="T9" s="19">
        <v>815.84</v>
      </c>
      <c r="U9" s="19">
        <v>876.46</v>
      </c>
      <c r="V9" s="19">
        <f t="shared" si="6"/>
        <v>2281.85</v>
      </c>
      <c r="W9" s="19">
        <v>535.62</v>
      </c>
      <c r="X9" s="19">
        <v>750.37</v>
      </c>
      <c r="Y9" s="19">
        <v>882.11</v>
      </c>
      <c r="Z9" s="19">
        <f t="shared" si="7"/>
        <v>2168.1</v>
      </c>
      <c r="AA9" s="19">
        <v>516.23</v>
      </c>
      <c r="AB9" s="19">
        <v>738.05</v>
      </c>
      <c r="AC9" s="19">
        <v>912.59</v>
      </c>
      <c r="AD9" s="19">
        <f t="shared" si="8"/>
        <v>2166.87</v>
      </c>
      <c r="AE9" s="19">
        <v>588.33000000000004</v>
      </c>
      <c r="AF9" s="19">
        <v>803.07</v>
      </c>
      <c r="AG9" s="19">
        <v>899.31</v>
      </c>
      <c r="AH9" s="19">
        <f t="shared" si="9"/>
        <v>2290.71</v>
      </c>
      <c r="AI9" s="19">
        <v>557.45000000000005</v>
      </c>
      <c r="AJ9" s="19">
        <v>784.67</v>
      </c>
      <c r="AK9" s="19">
        <v>795.34</v>
      </c>
      <c r="AL9" s="19">
        <f t="shared" si="10"/>
        <v>2137.46</v>
      </c>
      <c r="AM9" s="19">
        <v>528.5</v>
      </c>
      <c r="AN9" s="19">
        <v>718.57</v>
      </c>
      <c r="AO9" s="19">
        <v>631.42999999999995</v>
      </c>
      <c r="AP9" s="19">
        <f t="shared" si="11"/>
        <v>1878.5</v>
      </c>
      <c r="AQ9" s="19">
        <v>634.04</v>
      </c>
      <c r="AR9" s="19">
        <v>938.46</v>
      </c>
      <c r="AS9" s="19">
        <v>822.76</v>
      </c>
      <c r="AT9" s="19">
        <f t="shared" si="12"/>
        <v>2395.2600000000002</v>
      </c>
      <c r="AU9" s="19">
        <v>585.03</v>
      </c>
      <c r="AV9" s="19">
        <v>828.97</v>
      </c>
      <c r="AW9" s="19">
        <v>942.63</v>
      </c>
      <c r="AX9" s="19">
        <f t="shared" si="13"/>
        <v>2356.63</v>
      </c>
      <c r="AY9" s="19">
        <v>652.51</v>
      </c>
      <c r="AZ9" s="19">
        <v>887.73</v>
      </c>
      <c r="BA9" s="19">
        <v>810.8</v>
      </c>
      <c r="BB9" s="19">
        <f t="shared" si="14"/>
        <v>2351.04</v>
      </c>
    </row>
    <row r="10" spans="1:54" x14ac:dyDescent="0.3">
      <c r="A10" s="6">
        <v>4</v>
      </c>
      <c r="B10" s="2" t="s">
        <v>8</v>
      </c>
      <c r="C10" s="18">
        <f t="shared" si="0"/>
        <v>623.27</v>
      </c>
      <c r="D10" s="18">
        <f t="shared" si="1"/>
        <v>788.48000000000013</v>
      </c>
      <c r="E10" s="18">
        <f t="shared" si="2"/>
        <v>1641.45</v>
      </c>
      <c r="F10" s="18">
        <f t="shared" si="15"/>
        <v>3053.2</v>
      </c>
      <c r="G10" s="19">
        <v>62.68</v>
      </c>
      <c r="H10" s="19">
        <v>79.17</v>
      </c>
      <c r="I10" s="19">
        <v>190.19</v>
      </c>
      <c r="J10" s="19">
        <f t="shared" si="3"/>
        <v>332.03999999999996</v>
      </c>
      <c r="K10" s="19">
        <v>51.61</v>
      </c>
      <c r="L10" s="19">
        <v>59.71</v>
      </c>
      <c r="M10" s="19">
        <v>250.37</v>
      </c>
      <c r="N10" s="19">
        <f t="shared" si="4"/>
        <v>361.69</v>
      </c>
      <c r="O10" s="19">
        <v>43.97</v>
      </c>
      <c r="P10" s="19">
        <v>58.62</v>
      </c>
      <c r="Q10" s="19">
        <v>111.96</v>
      </c>
      <c r="R10" s="19">
        <f t="shared" si="5"/>
        <v>214.55</v>
      </c>
      <c r="S10" s="19">
        <v>47.01</v>
      </c>
      <c r="T10" s="19">
        <v>59.52</v>
      </c>
      <c r="U10" s="19">
        <v>113.07</v>
      </c>
      <c r="V10" s="19">
        <f t="shared" si="6"/>
        <v>219.6</v>
      </c>
      <c r="W10" s="19">
        <v>46.09</v>
      </c>
      <c r="X10" s="19">
        <v>60.54</v>
      </c>
      <c r="Y10" s="19">
        <v>105.49</v>
      </c>
      <c r="Z10" s="19">
        <f t="shared" si="7"/>
        <v>212.12</v>
      </c>
      <c r="AA10" s="19">
        <v>44.61</v>
      </c>
      <c r="AB10" s="19">
        <v>54.87</v>
      </c>
      <c r="AC10" s="19">
        <v>129.27000000000001</v>
      </c>
      <c r="AD10" s="19">
        <f t="shared" si="8"/>
        <v>228.75</v>
      </c>
      <c r="AE10" s="19">
        <v>50.48</v>
      </c>
      <c r="AF10" s="19">
        <v>65.319999999999993</v>
      </c>
      <c r="AG10" s="19">
        <v>114.95</v>
      </c>
      <c r="AH10" s="19">
        <f t="shared" si="9"/>
        <v>230.75</v>
      </c>
      <c r="AI10" s="19">
        <v>52.66</v>
      </c>
      <c r="AJ10" s="19">
        <v>64.67</v>
      </c>
      <c r="AK10" s="19">
        <v>166</v>
      </c>
      <c r="AL10" s="19">
        <f t="shared" si="10"/>
        <v>283.33</v>
      </c>
      <c r="AM10" s="19">
        <v>51.68</v>
      </c>
      <c r="AN10" s="19">
        <v>62.05</v>
      </c>
      <c r="AO10" s="19">
        <v>94.97</v>
      </c>
      <c r="AP10" s="19">
        <f t="shared" si="11"/>
        <v>208.7</v>
      </c>
      <c r="AQ10" s="19">
        <v>63.84</v>
      </c>
      <c r="AR10" s="19">
        <v>89.45</v>
      </c>
      <c r="AS10" s="19">
        <v>136.46</v>
      </c>
      <c r="AT10" s="19">
        <f t="shared" si="12"/>
        <v>289.75</v>
      </c>
      <c r="AU10" s="19">
        <v>53.27</v>
      </c>
      <c r="AV10" s="19">
        <v>67.180000000000007</v>
      </c>
      <c r="AW10" s="19">
        <v>110.77</v>
      </c>
      <c r="AX10" s="19">
        <f t="shared" si="13"/>
        <v>231.22000000000003</v>
      </c>
      <c r="AY10" s="19">
        <v>55.37</v>
      </c>
      <c r="AZ10" s="19">
        <v>67.38</v>
      </c>
      <c r="BA10" s="19">
        <v>117.95</v>
      </c>
      <c r="BB10" s="19">
        <f t="shared" si="14"/>
        <v>240.7</v>
      </c>
    </row>
    <row r="11" spans="1:54" x14ac:dyDescent="0.3">
      <c r="A11" s="6">
        <v>5</v>
      </c>
      <c r="B11" s="2" t="s">
        <v>9</v>
      </c>
      <c r="C11" s="18">
        <f t="shared" si="0"/>
        <v>4049.3999999999996</v>
      </c>
      <c r="D11" s="18">
        <f t="shared" si="1"/>
        <v>5989.95</v>
      </c>
      <c r="E11" s="18">
        <f t="shared" si="2"/>
        <v>9177.44</v>
      </c>
      <c r="F11" s="18">
        <f t="shared" si="15"/>
        <v>19216.79</v>
      </c>
      <c r="G11" s="19">
        <v>541.21</v>
      </c>
      <c r="H11" s="19">
        <v>720.7</v>
      </c>
      <c r="I11" s="19">
        <v>1312.52</v>
      </c>
      <c r="J11" s="19">
        <f t="shared" si="3"/>
        <v>2574.4300000000003</v>
      </c>
      <c r="K11" s="19">
        <v>346.9</v>
      </c>
      <c r="L11" s="19">
        <v>518.64</v>
      </c>
      <c r="M11" s="19">
        <v>728.71</v>
      </c>
      <c r="N11" s="19">
        <f t="shared" si="4"/>
        <v>1594.25</v>
      </c>
      <c r="O11" s="19">
        <v>360.45</v>
      </c>
      <c r="P11" s="19">
        <v>549.19000000000005</v>
      </c>
      <c r="Q11" s="19">
        <v>778.36</v>
      </c>
      <c r="R11" s="19">
        <f t="shared" si="5"/>
        <v>1688</v>
      </c>
      <c r="S11" s="19">
        <v>376.06</v>
      </c>
      <c r="T11" s="19">
        <v>523.96</v>
      </c>
      <c r="U11" s="19">
        <v>861.6</v>
      </c>
      <c r="V11" s="19">
        <f t="shared" si="6"/>
        <v>1761.62</v>
      </c>
      <c r="W11" s="19">
        <v>295.42</v>
      </c>
      <c r="X11" s="19">
        <v>493.37</v>
      </c>
      <c r="Y11" s="19">
        <v>647.38</v>
      </c>
      <c r="Z11" s="19">
        <f t="shared" si="7"/>
        <v>1436.17</v>
      </c>
      <c r="AA11" s="19">
        <v>301.81</v>
      </c>
      <c r="AB11" s="19">
        <v>486.56</v>
      </c>
      <c r="AC11" s="19">
        <v>876.84</v>
      </c>
      <c r="AD11" s="19">
        <f t="shared" si="8"/>
        <v>1665.21</v>
      </c>
      <c r="AE11" s="19">
        <v>336.12</v>
      </c>
      <c r="AF11" s="19">
        <v>506.49</v>
      </c>
      <c r="AG11" s="19">
        <v>759.13</v>
      </c>
      <c r="AH11" s="19">
        <f t="shared" si="9"/>
        <v>1601.74</v>
      </c>
      <c r="AI11" s="19">
        <v>287.93</v>
      </c>
      <c r="AJ11" s="19">
        <v>443.73</v>
      </c>
      <c r="AK11" s="19">
        <v>583.25</v>
      </c>
      <c r="AL11" s="19">
        <f t="shared" si="10"/>
        <v>1314.91</v>
      </c>
      <c r="AM11" s="19">
        <v>271.95</v>
      </c>
      <c r="AN11" s="19">
        <v>391.31</v>
      </c>
      <c r="AO11" s="19">
        <v>640.07000000000005</v>
      </c>
      <c r="AP11" s="19">
        <f t="shared" si="11"/>
        <v>1303.33</v>
      </c>
      <c r="AQ11" s="19">
        <v>311.86</v>
      </c>
      <c r="AR11" s="19">
        <v>470.4</v>
      </c>
      <c r="AS11" s="19">
        <v>687.53</v>
      </c>
      <c r="AT11" s="19">
        <f t="shared" si="12"/>
        <v>1469.79</v>
      </c>
      <c r="AU11" s="19">
        <v>292.32</v>
      </c>
      <c r="AV11" s="19">
        <v>428</v>
      </c>
      <c r="AW11" s="19">
        <v>620.78</v>
      </c>
      <c r="AX11" s="19">
        <f t="shared" si="13"/>
        <v>1341.1</v>
      </c>
      <c r="AY11" s="19">
        <v>327.37</v>
      </c>
      <c r="AZ11" s="19">
        <v>457.6</v>
      </c>
      <c r="BA11" s="19">
        <v>681.27</v>
      </c>
      <c r="BB11" s="19">
        <f t="shared" si="14"/>
        <v>1466.24</v>
      </c>
    </row>
    <row r="12" spans="1:54" x14ac:dyDescent="0.3">
      <c r="A12" s="6">
        <v>6</v>
      </c>
      <c r="B12" s="2" t="s">
        <v>10</v>
      </c>
      <c r="C12" s="18">
        <f t="shared" si="0"/>
        <v>19501.599999999999</v>
      </c>
      <c r="D12" s="18">
        <f t="shared" si="1"/>
        <v>24835.670000000002</v>
      </c>
      <c r="E12" s="18">
        <f t="shared" si="2"/>
        <v>76742.710000000006</v>
      </c>
      <c r="F12" s="18">
        <f t="shared" si="15"/>
        <v>121079.98000000001</v>
      </c>
      <c r="G12" s="19">
        <v>1989.02</v>
      </c>
      <c r="H12" s="19">
        <v>2514.6799999999998</v>
      </c>
      <c r="I12" s="19">
        <v>8819.7099999999991</v>
      </c>
      <c r="J12" s="19">
        <f t="shared" si="3"/>
        <v>13323.41</v>
      </c>
      <c r="K12" s="19">
        <v>1666.57</v>
      </c>
      <c r="L12" s="19">
        <v>2080.5300000000002</v>
      </c>
      <c r="M12" s="19">
        <v>5731.29</v>
      </c>
      <c r="N12" s="19">
        <f t="shared" si="4"/>
        <v>9478.39</v>
      </c>
      <c r="O12" s="19">
        <v>1638.59</v>
      </c>
      <c r="P12" s="19">
        <v>2119.5500000000002</v>
      </c>
      <c r="Q12" s="19">
        <v>5478.42</v>
      </c>
      <c r="R12" s="19">
        <f t="shared" si="5"/>
        <v>9236.5600000000013</v>
      </c>
      <c r="S12" s="19">
        <v>1629.23</v>
      </c>
      <c r="T12" s="19">
        <v>2049.8200000000002</v>
      </c>
      <c r="U12" s="19">
        <v>5823.34</v>
      </c>
      <c r="V12" s="19">
        <f t="shared" si="6"/>
        <v>9502.39</v>
      </c>
      <c r="W12" s="19">
        <v>1547.11</v>
      </c>
      <c r="X12" s="19">
        <v>1997.51</v>
      </c>
      <c r="Y12" s="19">
        <v>5531.81</v>
      </c>
      <c r="Z12" s="19">
        <f t="shared" si="7"/>
        <v>9076.43</v>
      </c>
      <c r="AA12" s="19">
        <v>1546.29</v>
      </c>
      <c r="AB12" s="19">
        <v>1937.91</v>
      </c>
      <c r="AC12" s="19">
        <v>6398.14</v>
      </c>
      <c r="AD12" s="19">
        <f t="shared" si="8"/>
        <v>9882.34</v>
      </c>
      <c r="AE12" s="19">
        <v>1746.75</v>
      </c>
      <c r="AF12" s="19">
        <v>2262.38</v>
      </c>
      <c r="AG12" s="19">
        <v>5819.33</v>
      </c>
      <c r="AH12" s="19">
        <f t="shared" si="9"/>
        <v>9828.4599999999991</v>
      </c>
      <c r="AI12" s="19">
        <v>1458.22</v>
      </c>
      <c r="AJ12" s="19">
        <v>1872.22</v>
      </c>
      <c r="AK12" s="19">
        <v>5483.8</v>
      </c>
      <c r="AL12" s="19">
        <f t="shared" si="10"/>
        <v>8814.24</v>
      </c>
      <c r="AM12" s="19">
        <v>1464.33</v>
      </c>
      <c r="AN12" s="19">
        <v>1836.3</v>
      </c>
      <c r="AO12" s="19">
        <v>6122.65</v>
      </c>
      <c r="AP12" s="19">
        <f t="shared" si="11"/>
        <v>9423.2799999999988</v>
      </c>
      <c r="AQ12" s="19">
        <v>1654</v>
      </c>
      <c r="AR12" s="19">
        <v>2173.85</v>
      </c>
      <c r="AS12" s="19">
        <v>6651.92</v>
      </c>
      <c r="AT12" s="19">
        <f t="shared" si="12"/>
        <v>10479.77</v>
      </c>
      <c r="AU12" s="19">
        <v>1543.16</v>
      </c>
      <c r="AV12" s="19">
        <v>1950.54</v>
      </c>
      <c r="AW12" s="19">
        <v>7206.44</v>
      </c>
      <c r="AX12" s="19">
        <f t="shared" si="13"/>
        <v>10700.14</v>
      </c>
      <c r="AY12" s="19">
        <v>1618.33</v>
      </c>
      <c r="AZ12" s="19">
        <v>2040.38</v>
      </c>
      <c r="BA12" s="19">
        <v>7675.86</v>
      </c>
      <c r="BB12" s="19">
        <f t="shared" si="14"/>
        <v>11334.57</v>
      </c>
    </row>
    <row r="13" spans="1:54" x14ac:dyDescent="0.3">
      <c r="A13" s="6">
        <v>7</v>
      </c>
      <c r="B13" s="2" t="s">
        <v>11</v>
      </c>
      <c r="C13" s="18">
        <f t="shared" si="0"/>
        <v>16592.490000000002</v>
      </c>
      <c r="D13" s="18">
        <f t="shared" si="1"/>
        <v>19158.62</v>
      </c>
      <c r="E13" s="18">
        <f t="shared" si="2"/>
        <v>44673.890000000007</v>
      </c>
      <c r="F13" s="18">
        <f t="shared" si="15"/>
        <v>80425</v>
      </c>
      <c r="G13" s="19">
        <v>1754.01</v>
      </c>
      <c r="H13" s="19">
        <v>2061.83</v>
      </c>
      <c r="I13" s="19">
        <v>4380.3900000000003</v>
      </c>
      <c r="J13" s="19">
        <f t="shared" si="3"/>
        <v>8196.23</v>
      </c>
      <c r="K13" s="19">
        <v>2361.59</v>
      </c>
      <c r="L13" s="19">
        <v>2546.41</v>
      </c>
      <c r="M13" s="19">
        <v>5381.24</v>
      </c>
      <c r="N13" s="19">
        <f t="shared" si="4"/>
        <v>10289.24</v>
      </c>
      <c r="O13" s="19">
        <v>1135.27</v>
      </c>
      <c r="P13" s="19">
        <v>1315.91</v>
      </c>
      <c r="Q13" s="19">
        <v>3075.33</v>
      </c>
      <c r="R13" s="19">
        <f t="shared" si="5"/>
        <v>5526.51</v>
      </c>
      <c r="S13" s="19">
        <v>1163.46</v>
      </c>
      <c r="T13" s="19">
        <v>1423.82</v>
      </c>
      <c r="U13" s="19">
        <v>3386.14</v>
      </c>
      <c r="V13" s="19">
        <f t="shared" si="6"/>
        <v>5973.42</v>
      </c>
      <c r="W13" s="19">
        <v>1182.58</v>
      </c>
      <c r="X13" s="19">
        <v>1360.68</v>
      </c>
      <c r="Y13" s="19">
        <v>3095.8</v>
      </c>
      <c r="Z13" s="19">
        <f t="shared" si="7"/>
        <v>5639.06</v>
      </c>
      <c r="AA13" s="19">
        <v>1220.5999999999999</v>
      </c>
      <c r="AB13" s="19">
        <v>1394.54</v>
      </c>
      <c r="AC13" s="19">
        <v>3076.11</v>
      </c>
      <c r="AD13" s="19">
        <f t="shared" si="8"/>
        <v>5691.25</v>
      </c>
      <c r="AE13" s="19">
        <v>1394.22</v>
      </c>
      <c r="AF13" s="19">
        <v>1607.5</v>
      </c>
      <c r="AG13" s="19">
        <v>5452.31</v>
      </c>
      <c r="AH13" s="19">
        <f t="shared" si="9"/>
        <v>8454.0300000000007</v>
      </c>
      <c r="AI13" s="19">
        <v>1274.6300000000001</v>
      </c>
      <c r="AJ13" s="19">
        <v>1451.97</v>
      </c>
      <c r="AK13" s="19">
        <v>3454.99</v>
      </c>
      <c r="AL13" s="19">
        <f t="shared" si="10"/>
        <v>6181.59</v>
      </c>
      <c r="AM13" s="19">
        <v>1115.23</v>
      </c>
      <c r="AN13" s="19">
        <v>1297.6600000000001</v>
      </c>
      <c r="AO13" s="19">
        <v>3105.85</v>
      </c>
      <c r="AP13" s="19">
        <f t="shared" si="11"/>
        <v>5518.74</v>
      </c>
      <c r="AQ13" s="19">
        <v>1334.94</v>
      </c>
      <c r="AR13" s="19">
        <v>1609.34</v>
      </c>
      <c r="AS13" s="19">
        <v>3553.91</v>
      </c>
      <c r="AT13" s="19">
        <f t="shared" si="12"/>
        <v>6498.19</v>
      </c>
      <c r="AU13" s="19">
        <v>1319.49</v>
      </c>
      <c r="AV13" s="19">
        <v>1506.19</v>
      </c>
      <c r="AW13" s="19">
        <v>3325.71</v>
      </c>
      <c r="AX13" s="19">
        <f t="shared" si="13"/>
        <v>6151.39</v>
      </c>
      <c r="AY13" s="19">
        <v>1336.47</v>
      </c>
      <c r="AZ13" s="19">
        <v>1582.77</v>
      </c>
      <c r="BA13" s="19">
        <v>3386.11</v>
      </c>
      <c r="BB13" s="19">
        <f t="shared" si="14"/>
        <v>6305.35</v>
      </c>
    </row>
    <row r="14" spans="1:54" x14ac:dyDescent="0.3">
      <c r="A14" s="6">
        <v>8</v>
      </c>
      <c r="B14" s="2" t="s">
        <v>12</v>
      </c>
      <c r="C14" s="18">
        <f t="shared" si="0"/>
        <v>15038.42</v>
      </c>
      <c r="D14" s="18">
        <f t="shared" si="1"/>
        <v>19863.36</v>
      </c>
      <c r="E14" s="18">
        <f t="shared" si="2"/>
        <v>18978.780000000002</v>
      </c>
      <c r="F14" s="18">
        <f t="shared" si="15"/>
        <v>53880.560000000005</v>
      </c>
      <c r="G14" s="19">
        <v>1765.42</v>
      </c>
      <c r="H14" s="19">
        <v>2091.1</v>
      </c>
      <c r="I14" s="19">
        <v>2193.39</v>
      </c>
      <c r="J14" s="19">
        <f t="shared" si="3"/>
        <v>6049.91</v>
      </c>
      <c r="K14" s="19">
        <v>1210.77</v>
      </c>
      <c r="L14" s="19">
        <v>1576.27</v>
      </c>
      <c r="M14" s="19">
        <v>1915.05</v>
      </c>
      <c r="N14" s="19">
        <f t="shared" si="4"/>
        <v>4702.09</v>
      </c>
      <c r="O14" s="19">
        <v>1125.74</v>
      </c>
      <c r="P14" s="19">
        <v>1514.77</v>
      </c>
      <c r="Q14" s="19">
        <v>1739.2</v>
      </c>
      <c r="R14" s="19">
        <f t="shared" si="5"/>
        <v>4379.71</v>
      </c>
      <c r="S14" s="19">
        <v>1220.08</v>
      </c>
      <c r="T14" s="19">
        <v>1580.82</v>
      </c>
      <c r="U14" s="19">
        <v>1603.63</v>
      </c>
      <c r="V14" s="19">
        <f t="shared" si="6"/>
        <v>4404.53</v>
      </c>
      <c r="W14" s="19">
        <v>1122.8599999999999</v>
      </c>
      <c r="X14" s="19">
        <v>1480.05</v>
      </c>
      <c r="Y14" s="19">
        <v>1619.22</v>
      </c>
      <c r="Z14" s="19">
        <f t="shared" si="7"/>
        <v>4222.13</v>
      </c>
      <c r="AA14" s="19">
        <v>1132.8</v>
      </c>
      <c r="AB14" s="19">
        <v>1456.78</v>
      </c>
      <c r="AC14" s="19">
        <v>1575.62</v>
      </c>
      <c r="AD14" s="19">
        <f t="shared" si="8"/>
        <v>4165.2</v>
      </c>
      <c r="AE14" s="19">
        <v>1188.32</v>
      </c>
      <c r="AF14" s="19">
        <v>1532.19</v>
      </c>
      <c r="AG14" s="19">
        <v>1540.95</v>
      </c>
      <c r="AH14" s="19">
        <f t="shared" si="9"/>
        <v>4261.46</v>
      </c>
      <c r="AI14" s="19">
        <v>1186.3699999999999</v>
      </c>
      <c r="AJ14" s="19">
        <v>1548.18</v>
      </c>
      <c r="AK14" s="19">
        <v>1205.6099999999999</v>
      </c>
      <c r="AL14" s="19">
        <f t="shared" si="10"/>
        <v>3940.16</v>
      </c>
      <c r="AM14" s="19">
        <v>1163.21</v>
      </c>
      <c r="AN14" s="19">
        <v>1441.42</v>
      </c>
      <c r="AO14" s="19">
        <v>1203.3800000000001</v>
      </c>
      <c r="AP14" s="19">
        <f t="shared" si="11"/>
        <v>3808.01</v>
      </c>
      <c r="AQ14" s="19">
        <v>1370.56</v>
      </c>
      <c r="AR14" s="19">
        <v>1807.52</v>
      </c>
      <c r="AS14" s="19">
        <v>1464.17</v>
      </c>
      <c r="AT14" s="19">
        <f t="shared" si="12"/>
        <v>4642.25</v>
      </c>
      <c r="AU14" s="19">
        <v>1214.0999999999999</v>
      </c>
      <c r="AV14" s="19">
        <v>1595.49</v>
      </c>
      <c r="AW14" s="19">
        <v>1507.97</v>
      </c>
      <c r="AX14" s="19">
        <f t="shared" si="13"/>
        <v>4317.5600000000004</v>
      </c>
      <c r="AY14" s="19">
        <v>1338.19</v>
      </c>
      <c r="AZ14" s="19">
        <v>2238.77</v>
      </c>
      <c r="BA14" s="19">
        <v>1410.59</v>
      </c>
      <c r="BB14" s="19">
        <f t="shared" si="14"/>
        <v>4987.55</v>
      </c>
    </row>
    <row r="15" spans="1:54" x14ac:dyDescent="0.3">
      <c r="A15" s="6">
        <v>9</v>
      </c>
      <c r="B15" s="2" t="s">
        <v>13</v>
      </c>
      <c r="C15" s="18">
        <f t="shared" si="0"/>
        <v>27488.039999999997</v>
      </c>
      <c r="D15" s="18">
        <f t="shared" si="1"/>
        <v>35685.000000000007</v>
      </c>
      <c r="E15" s="18">
        <f t="shared" si="2"/>
        <v>36743.65</v>
      </c>
      <c r="F15" s="18">
        <f t="shared" si="15"/>
        <v>99916.69</v>
      </c>
      <c r="G15" s="19">
        <v>3354.44</v>
      </c>
      <c r="H15" s="19">
        <v>4315.05</v>
      </c>
      <c r="I15" s="19">
        <v>4526.7299999999996</v>
      </c>
      <c r="J15" s="19">
        <f t="shared" si="3"/>
        <v>12196.22</v>
      </c>
      <c r="K15" s="19">
        <v>2100.42</v>
      </c>
      <c r="L15" s="19">
        <v>2818.11</v>
      </c>
      <c r="M15" s="19">
        <v>2813.95</v>
      </c>
      <c r="N15" s="19">
        <f t="shared" si="4"/>
        <v>7732.4800000000005</v>
      </c>
      <c r="O15" s="19">
        <v>2159.36</v>
      </c>
      <c r="P15" s="19">
        <v>2911.61</v>
      </c>
      <c r="Q15" s="19">
        <v>2603.71</v>
      </c>
      <c r="R15" s="19">
        <f t="shared" si="5"/>
        <v>7674.68</v>
      </c>
      <c r="S15" s="19">
        <v>2304.5300000000002</v>
      </c>
      <c r="T15" s="19">
        <v>3127.52</v>
      </c>
      <c r="U15" s="19">
        <v>2928.12</v>
      </c>
      <c r="V15" s="19">
        <f t="shared" si="6"/>
        <v>8360.17</v>
      </c>
      <c r="W15" s="19">
        <v>2125.94</v>
      </c>
      <c r="X15" s="19">
        <v>2735.7</v>
      </c>
      <c r="Y15" s="19">
        <v>2785.79</v>
      </c>
      <c r="Z15" s="19">
        <f t="shared" si="7"/>
        <v>7647.4299999999994</v>
      </c>
      <c r="AA15" s="19">
        <v>1976.21</v>
      </c>
      <c r="AB15" s="19">
        <v>2587.41</v>
      </c>
      <c r="AC15" s="19">
        <v>2952.33</v>
      </c>
      <c r="AD15" s="19">
        <f t="shared" si="8"/>
        <v>7515.95</v>
      </c>
      <c r="AE15" s="19">
        <v>2135.58</v>
      </c>
      <c r="AF15" s="19">
        <v>2776.14</v>
      </c>
      <c r="AG15" s="19">
        <v>3371.71</v>
      </c>
      <c r="AH15" s="19">
        <f t="shared" si="9"/>
        <v>8283.43</v>
      </c>
      <c r="AI15" s="19">
        <v>2076.52</v>
      </c>
      <c r="AJ15" s="19">
        <v>2664.05</v>
      </c>
      <c r="AK15" s="19">
        <v>2847.83</v>
      </c>
      <c r="AL15" s="19">
        <f t="shared" si="10"/>
        <v>7588.4</v>
      </c>
      <c r="AM15" s="19">
        <v>2022.97</v>
      </c>
      <c r="AN15" s="19">
        <v>2538.42</v>
      </c>
      <c r="AO15" s="19">
        <v>2714.06</v>
      </c>
      <c r="AP15" s="19">
        <f t="shared" si="11"/>
        <v>7275.4500000000007</v>
      </c>
      <c r="AQ15" s="19">
        <v>2294.85</v>
      </c>
      <c r="AR15" s="19">
        <v>3003.33</v>
      </c>
      <c r="AS15" s="19">
        <v>3080.54</v>
      </c>
      <c r="AT15" s="19">
        <f t="shared" si="12"/>
        <v>8378.7200000000012</v>
      </c>
      <c r="AU15" s="19">
        <v>2265.37</v>
      </c>
      <c r="AV15" s="19">
        <v>2862.76</v>
      </c>
      <c r="AW15" s="19">
        <v>2804.39</v>
      </c>
      <c r="AX15" s="19">
        <f t="shared" si="13"/>
        <v>7932.52</v>
      </c>
      <c r="AY15" s="19">
        <v>2671.85</v>
      </c>
      <c r="AZ15" s="19">
        <v>3344.9</v>
      </c>
      <c r="BA15" s="19">
        <v>3314.49</v>
      </c>
      <c r="BB15" s="19">
        <f t="shared" si="14"/>
        <v>9331.24</v>
      </c>
    </row>
    <row r="16" spans="1:54" x14ac:dyDescent="0.3">
      <c r="A16" s="7">
        <v>10</v>
      </c>
      <c r="B16" s="2" t="s">
        <v>14</v>
      </c>
      <c r="C16" s="18">
        <f t="shared" si="0"/>
        <v>5573.37</v>
      </c>
      <c r="D16" s="18">
        <f t="shared" si="1"/>
        <v>11149.73</v>
      </c>
      <c r="E16" s="18">
        <f t="shared" si="2"/>
        <v>3335.0200000000004</v>
      </c>
      <c r="F16" s="18">
        <f t="shared" si="15"/>
        <v>20058.12</v>
      </c>
      <c r="G16" s="19">
        <v>729.09</v>
      </c>
      <c r="H16" s="19">
        <v>1104.5999999999999</v>
      </c>
      <c r="I16" s="19">
        <v>310.54000000000002</v>
      </c>
      <c r="J16" s="19">
        <f t="shared" si="3"/>
        <v>2144.23</v>
      </c>
      <c r="K16" s="19">
        <v>418.75</v>
      </c>
      <c r="L16" s="19">
        <v>764.94</v>
      </c>
      <c r="M16" s="19">
        <v>514.78</v>
      </c>
      <c r="N16" s="19">
        <f t="shared" si="4"/>
        <v>1698.47</v>
      </c>
      <c r="O16" s="19">
        <v>447.92</v>
      </c>
      <c r="P16" s="19">
        <v>842.07</v>
      </c>
      <c r="Q16" s="19">
        <v>238.43</v>
      </c>
      <c r="R16" s="19">
        <f t="shared" si="5"/>
        <v>1528.42</v>
      </c>
      <c r="S16" s="19">
        <v>488.34</v>
      </c>
      <c r="T16" s="19">
        <v>910.98</v>
      </c>
      <c r="U16" s="19">
        <v>224.2</v>
      </c>
      <c r="V16" s="19">
        <f t="shared" si="6"/>
        <v>1623.52</v>
      </c>
      <c r="W16" s="19">
        <v>464.74</v>
      </c>
      <c r="X16" s="19">
        <v>840.52</v>
      </c>
      <c r="Y16" s="19">
        <v>245.5</v>
      </c>
      <c r="Z16" s="19">
        <f t="shared" si="7"/>
        <v>1550.76</v>
      </c>
      <c r="AA16" s="19">
        <v>454.25</v>
      </c>
      <c r="AB16" s="19">
        <v>784.37</v>
      </c>
      <c r="AC16" s="19">
        <v>351.11</v>
      </c>
      <c r="AD16" s="19">
        <f t="shared" si="8"/>
        <v>1589.73</v>
      </c>
      <c r="AE16" s="19">
        <v>481.11</v>
      </c>
      <c r="AF16" s="19">
        <v>750.31</v>
      </c>
      <c r="AG16" s="19">
        <v>246.11</v>
      </c>
      <c r="AH16" s="19">
        <f t="shared" si="9"/>
        <v>1477.5300000000002</v>
      </c>
      <c r="AI16" s="19">
        <v>426.68</v>
      </c>
      <c r="AJ16" s="19">
        <v>764.66</v>
      </c>
      <c r="AK16" s="19">
        <v>217.44</v>
      </c>
      <c r="AL16" s="19">
        <f t="shared" si="10"/>
        <v>1408.78</v>
      </c>
      <c r="AM16" s="19">
        <v>375.59</v>
      </c>
      <c r="AN16" s="19">
        <v>716.91</v>
      </c>
      <c r="AO16" s="19">
        <v>200.97</v>
      </c>
      <c r="AP16" s="19">
        <f t="shared" si="11"/>
        <v>1293.47</v>
      </c>
      <c r="AQ16" s="19">
        <v>421.28</v>
      </c>
      <c r="AR16" s="19">
        <v>926.21</v>
      </c>
      <c r="AS16" s="19">
        <v>238.05</v>
      </c>
      <c r="AT16" s="19">
        <f t="shared" si="12"/>
        <v>1585.54</v>
      </c>
      <c r="AU16" s="19">
        <v>395.36</v>
      </c>
      <c r="AV16" s="19">
        <v>986.05</v>
      </c>
      <c r="AW16" s="19">
        <v>205.8</v>
      </c>
      <c r="AX16" s="19">
        <f t="shared" si="13"/>
        <v>1587.2099999999998</v>
      </c>
      <c r="AY16" s="19">
        <v>470.26</v>
      </c>
      <c r="AZ16" s="19">
        <v>1758.11</v>
      </c>
      <c r="BA16" s="19">
        <v>342.09</v>
      </c>
      <c r="BB16" s="19">
        <f t="shared" si="14"/>
        <v>2570.46</v>
      </c>
    </row>
    <row r="17" spans="1:55" x14ac:dyDescent="0.3">
      <c r="A17" s="7">
        <v>11</v>
      </c>
      <c r="B17" s="2" t="s">
        <v>15</v>
      </c>
      <c r="C17" s="18">
        <f t="shared" si="0"/>
        <v>409.24000000000012</v>
      </c>
      <c r="D17" s="18">
        <f t="shared" si="1"/>
        <v>513.41999999999996</v>
      </c>
      <c r="E17" s="18">
        <f t="shared" si="2"/>
        <v>2702.57</v>
      </c>
      <c r="F17" s="18">
        <f t="shared" si="15"/>
        <v>3625.2299999999996</v>
      </c>
      <c r="G17" s="19">
        <v>72.86</v>
      </c>
      <c r="H17" s="19">
        <v>91.51</v>
      </c>
      <c r="I17" s="19">
        <v>305.69</v>
      </c>
      <c r="J17" s="19">
        <f t="shared" si="3"/>
        <v>470.06</v>
      </c>
      <c r="K17" s="19">
        <v>36.880000000000003</v>
      </c>
      <c r="L17" s="19">
        <v>42.64</v>
      </c>
      <c r="M17" s="19">
        <v>344.59</v>
      </c>
      <c r="N17" s="19">
        <f t="shared" si="4"/>
        <v>424.11</v>
      </c>
      <c r="O17" s="19">
        <v>22.66</v>
      </c>
      <c r="P17" s="19">
        <v>30.56</v>
      </c>
      <c r="Q17" s="19">
        <v>310.45</v>
      </c>
      <c r="R17" s="19">
        <f t="shared" si="5"/>
        <v>363.66999999999996</v>
      </c>
      <c r="S17" s="19">
        <v>30.82</v>
      </c>
      <c r="T17" s="19">
        <v>38.15</v>
      </c>
      <c r="U17" s="19">
        <v>331.89</v>
      </c>
      <c r="V17" s="19">
        <f t="shared" si="6"/>
        <v>400.86</v>
      </c>
      <c r="W17" s="19">
        <v>30.14</v>
      </c>
      <c r="X17" s="19">
        <v>47.41</v>
      </c>
      <c r="Y17" s="19">
        <v>376.61</v>
      </c>
      <c r="Z17" s="19">
        <f t="shared" si="7"/>
        <v>454.16</v>
      </c>
      <c r="AA17" s="19">
        <v>24</v>
      </c>
      <c r="AB17" s="19">
        <v>30.86</v>
      </c>
      <c r="AC17" s="19">
        <v>341.32</v>
      </c>
      <c r="AD17" s="19">
        <f t="shared" si="8"/>
        <v>396.18</v>
      </c>
      <c r="AE17" s="19">
        <v>25.56</v>
      </c>
      <c r="AF17" s="19">
        <v>31.3</v>
      </c>
      <c r="AG17" s="19">
        <v>250.35</v>
      </c>
      <c r="AH17" s="19">
        <f t="shared" si="9"/>
        <v>307.20999999999998</v>
      </c>
      <c r="AI17" s="19">
        <v>26.53</v>
      </c>
      <c r="AJ17" s="19">
        <v>30.84</v>
      </c>
      <c r="AK17" s="19">
        <v>76.099999999999994</v>
      </c>
      <c r="AL17" s="19">
        <f t="shared" si="10"/>
        <v>133.47</v>
      </c>
      <c r="AM17" s="19">
        <v>28.41</v>
      </c>
      <c r="AN17" s="19">
        <v>35.5</v>
      </c>
      <c r="AO17" s="19">
        <v>93.82</v>
      </c>
      <c r="AP17" s="19">
        <f t="shared" si="11"/>
        <v>157.72999999999999</v>
      </c>
      <c r="AQ17" s="19">
        <v>28.66</v>
      </c>
      <c r="AR17" s="19">
        <v>34.83</v>
      </c>
      <c r="AS17" s="19">
        <v>88.21</v>
      </c>
      <c r="AT17" s="19">
        <f t="shared" si="12"/>
        <v>151.69999999999999</v>
      </c>
      <c r="AU17" s="19">
        <v>38.44</v>
      </c>
      <c r="AV17" s="19">
        <v>45.34</v>
      </c>
      <c r="AW17" s="19">
        <v>89.44</v>
      </c>
      <c r="AX17" s="19">
        <f t="shared" si="13"/>
        <v>173.22</v>
      </c>
      <c r="AY17" s="19">
        <v>44.28</v>
      </c>
      <c r="AZ17" s="19">
        <v>54.48</v>
      </c>
      <c r="BA17" s="19">
        <v>94.1</v>
      </c>
      <c r="BB17" s="19">
        <f t="shared" si="14"/>
        <v>192.85999999999999</v>
      </c>
    </row>
    <row r="18" spans="1:55" x14ac:dyDescent="0.3">
      <c r="A18" s="7">
        <v>12</v>
      </c>
      <c r="B18" s="2" t="s">
        <v>16</v>
      </c>
      <c r="C18" s="18">
        <f t="shared" si="0"/>
        <v>610.37</v>
      </c>
      <c r="D18" s="18">
        <f t="shared" si="1"/>
        <v>739.48000000000013</v>
      </c>
      <c r="E18" s="18">
        <f t="shared" si="2"/>
        <v>177.54</v>
      </c>
      <c r="F18" s="18">
        <f t="shared" si="15"/>
        <v>1527.39</v>
      </c>
      <c r="G18" s="19">
        <v>140.59</v>
      </c>
      <c r="H18" s="19">
        <v>163.25</v>
      </c>
      <c r="I18" s="19">
        <v>27.87</v>
      </c>
      <c r="J18" s="19">
        <f t="shared" si="3"/>
        <v>331.71000000000004</v>
      </c>
      <c r="K18" s="19">
        <v>60.02</v>
      </c>
      <c r="L18" s="19">
        <v>78.099999999999994</v>
      </c>
      <c r="M18" s="19">
        <v>12.18</v>
      </c>
      <c r="N18" s="19">
        <f t="shared" si="4"/>
        <v>150.30000000000001</v>
      </c>
      <c r="O18" s="19">
        <v>33.880000000000003</v>
      </c>
      <c r="P18" s="19">
        <v>46.71</v>
      </c>
      <c r="Q18" s="19">
        <v>7.46</v>
      </c>
      <c r="R18" s="19">
        <f t="shared" si="5"/>
        <v>88.05</v>
      </c>
      <c r="S18" s="19">
        <v>36.17</v>
      </c>
      <c r="T18" s="19">
        <v>42.67</v>
      </c>
      <c r="U18" s="19">
        <v>9.31</v>
      </c>
      <c r="V18" s="19">
        <f t="shared" si="6"/>
        <v>88.15</v>
      </c>
      <c r="W18" s="19">
        <v>35.53</v>
      </c>
      <c r="X18" s="19">
        <v>41.08</v>
      </c>
      <c r="Y18" s="19">
        <v>11.62</v>
      </c>
      <c r="Z18" s="19">
        <f t="shared" si="7"/>
        <v>88.23</v>
      </c>
      <c r="AA18" s="19">
        <v>33.44</v>
      </c>
      <c r="AB18" s="19">
        <v>44.55</v>
      </c>
      <c r="AC18" s="19">
        <v>14.7</v>
      </c>
      <c r="AD18" s="19">
        <f t="shared" si="8"/>
        <v>92.69</v>
      </c>
      <c r="AE18" s="19">
        <v>32.049999999999997</v>
      </c>
      <c r="AF18" s="19">
        <v>39.82</v>
      </c>
      <c r="AG18" s="19">
        <v>11.81</v>
      </c>
      <c r="AH18" s="19">
        <f t="shared" si="9"/>
        <v>83.68</v>
      </c>
      <c r="AI18" s="19">
        <v>32.049999999999997</v>
      </c>
      <c r="AJ18" s="19">
        <v>41.04</v>
      </c>
      <c r="AK18" s="19">
        <v>17.989999999999998</v>
      </c>
      <c r="AL18" s="19">
        <f t="shared" si="10"/>
        <v>91.08</v>
      </c>
      <c r="AM18" s="19">
        <v>44.24</v>
      </c>
      <c r="AN18" s="19">
        <v>53.83</v>
      </c>
      <c r="AO18" s="19">
        <v>20.010000000000002</v>
      </c>
      <c r="AP18" s="19">
        <f t="shared" si="11"/>
        <v>118.08</v>
      </c>
      <c r="AQ18" s="19">
        <v>43.95</v>
      </c>
      <c r="AR18" s="19">
        <v>51.23</v>
      </c>
      <c r="AS18" s="19">
        <v>15.54</v>
      </c>
      <c r="AT18" s="19">
        <f t="shared" si="12"/>
        <v>110.72</v>
      </c>
      <c r="AU18" s="19">
        <v>47.15</v>
      </c>
      <c r="AV18" s="19">
        <v>56.74</v>
      </c>
      <c r="AW18" s="19">
        <v>13.97</v>
      </c>
      <c r="AX18" s="19">
        <f t="shared" si="13"/>
        <v>117.86</v>
      </c>
      <c r="AY18" s="19">
        <v>71.3</v>
      </c>
      <c r="AZ18" s="19">
        <v>80.459999999999994</v>
      </c>
      <c r="BA18" s="19">
        <v>15.08</v>
      </c>
      <c r="BB18" s="19">
        <f t="shared" si="14"/>
        <v>166.84</v>
      </c>
    </row>
    <row r="19" spans="1:55" x14ac:dyDescent="0.3">
      <c r="A19" s="7">
        <v>13</v>
      </c>
      <c r="B19" s="2" t="s">
        <v>17</v>
      </c>
      <c r="C19" s="18">
        <f t="shared" si="0"/>
        <v>311.95999999999998</v>
      </c>
      <c r="D19" s="18">
        <f t="shared" si="1"/>
        <v>387.78999999999996</v>
      </c>
      <c r="E19" s="18">
        <f t="shared" si="2"/>
        <v>144.82</v>
      </c>
      <c r="F19" s="18">
        <f t="shared" si="15"/>
        <v>844.56999999999994</v>
      </c>
      <c r="G19" s="19">
        <v>46.72</v>
      </c>
      <c r="H19" s="19">
        <v>57.71</v>
      </c>
      <c r="I19" s="19">
        <v>16.329999999999998</v>
      </c>
      <c r="J19" s="19">
        <f t="shared" si="3"/>
        <v>120.76</v>
      </c>
      <c r="K19" s="19">
        <v>24.56</v>
      </c>
      <c r="L19" s="19">
        <v>30</v>
      </c>
      <c r="M19" s="19">
        <v>8.8800000000000008</v>
      </c>
      <c r="N19" s="19">
        <f t="shared" si="4"/>
        <v>63.440000000000005</v>
      </c>
      <c r="O19" s="19">
        <v>32.51</v>
      </c>
      <c r="P19" s="19">
        <v>41.91</v>
      </c>
      <c r="Q19" s="19">
        <v>8.64</v>
      </c>
      <c r="R19" s="19">
        <f t="shared" si="5"/>
        <v>83.059999999999988</v>
      </c>
      <c r="S19" s="19">
        <v>23.19</v>
      </c>
      <c r="T19" s="19">
        <v>32.67</v>
      </c>
      <c r="U19" s="19">
        <v>11.69</v>
      </c>
      <c r="V19" s="19">
        <f t="shared" si="6"/>
        <v>67.55</v>
      </c>
      <c r="W19" s="19">
        <v>20.03</v>
      </c>
      <c r="X19" s="19">
        <v>24.09</v>
      </c>
      <c r="Y19" s="19">
        <v>10.23</v>
      </c>
      <c r="Z19" s="19">
        <f t="shared" si="7"/>
        <v>54.350000000000009</v>
      </c>
      <c r="AA19" s="19">
        <v>20.83</v>
      </c>
      <c r="AB19" s="19">
        <v>24.23</v>
      </c>
      <c r="AC19" s="19">
        <v>9.89</v>
      </c>
      <c r="AD19" s="19">
        <f t="shared" si="8"/>
        <v>54.95</v>
      </c>
      <c r="AE19" s="19">
        <v>23.56</v>
      </c>
      <c r="AF19" s="19">
        <v>29.66</v>
      </c>
      <c r="AG19" s="19">
        <v>11.64</v>
      </c>
      <c r="AH19" s="19">
        <f t="shared" si="9"/>
        <v>64.86</v>
      </c>
      <c r="AI19" s="19">
        <v>20.39</v>
      </c>
      <c r="AJ19" s="19">
        <v>26.43</v>
      </c>
      <c r="AK19" s="19">
        <v>11.34</v>
      </c>
      <c r="AL19" s="19">
        <f t="shared" si="10"/>
        <v>58.16</v>
      </c>
      <c r="AM19" s="19">
        <v>21.86</v>
      </c>
      <c r="AN19" s="19">
        <v>26.45</v>
      </c>
      <c r="AO19" s="19">
        <v>11.7</v>
      </c>
      <c r="AP19" s="19">
        <f t="shared" si="11"/>
        <v>60.010000000000005</v>
      </c>
      <c r="AQ19" s="19">
        <v>21.36</v>
      </c>
      <c r="AR19" s="19">
        <v>25.96</v>
      </c>
      <c r="AS19" s="19">
        <v>14.41</v>
      </c>
      <c r="AT19" s="19">
        <f t="shared" si="12"/>
        <v>61.730000000000004</v>
      </c>
      <c r="AU19" s="19">
        <v>23.87</v>
      </c>
      <c r="AV19" s="19">
        <v>30.02</v>
      </c>
      <c r="AW19" s="19">
        <v>14.5</v>
      </c>
      <c r="AX19" s="19">
        <f t="shared" si="13"/>
        <v>68.39</v>
      </c>
      <c r="AY19" s="19">
        <v>33.08</v>
      </c>
      <c r="AZ19" s="19">
        <v>38.659999999999997</v>
      </c>
      <c r="BA19" s="19">
        <v>15.57</v>
      </c>
      <c r="BB19" s="19">
        <f t="shared" si="14"/>
        <v>87.31</v>
      </c>
    </row>
    <row r="20" spans="1:55" x14ac:dyDescent="0.3">
      <c r="A20" s="7">
        <v>14</v>
      </c>
      <c r="B20" s="2" t="s">
        <v>18</v>
      </c>
      <c r="C20" s="18">
        <f t="shared" si="0"/>
        <v>276.62</v>
      </c>
      <c r="D20" s="18">
        <f t="shared" si="1"/>
        <v>365.21</v>
      </c>
      <c r="E20" s="18">
        <f t="shared" si="2"/>
        <v>103.83</v>
      </c>
      <c r="F20" s="18">
        <f t="shared" si="15"/>
        <v>745.66000000000008</v>
      </c>
      <c r="G20" s="19">
        <v>48.77</v>
      </c>
      <c r="H20" s="19">
        <v>60.74</v>
      </c>
      <c r="I20" s="19">
        <v>10.95</v>
      </c>
      <c r="J20" s="19">
        <f t="shared" si="3"/>
        <v>120.46000000000001</v>
      </c>
      <c r="K20" s="19">
        <v>49.72</v>
      </c>
      <c r="L20" s="19">
        <v>60.57</v>
      </c>
      <c r="M20" s="19">
        <v>7.67</v>
      </c>
      <c r="N20" s="19">
        <f t="shared" si="4"/>
        <v>117.96</v>
      </c>
      <c r="O20" s="19">
        <v>13.93</v>
      </c>
      <c r="P20" s="19">
        <v>18.79</v>
      </c>
      <c r="Q20" s="19">
        <v>7.08</v>
      </c>
      <c r="R20" s="19">
        <f t="shared" si="5"/>
        <v>39.799999999999997</v>
      </c>
      <c r="S20" s="19">
        <v>14.25</v>
      </c>
      <c r="T20" s="19">
        <v>20.51</v>
      </c>
      <c r="U20" s="19">
        <v>8.3800000000000008</v>
      </c>
      <c r="V20" s="19">
        <f t="shared" si="6"/>
        <v>43.140000000000008</v>
      </c>
      <c r="W20" s="19">
        <v>15</v>
      </c>
      <c r="X20" s="19">
        <v>19.02</v>
      </c>
      <c r="Y20" s="19">
        <v>8.01</v>
      </c>
      <c r="Z20" s="19">
        <f t="shared" si="7"/>
        <v>42.029999999999994</v>
      </c>
      <c r="AA20" s="19">
        <v>12.03</v>
      </c>
      <c r="AB20" s="19">
        <v>17.690000000000001</v>
      </c>
      <c r="AC20" s="19">
        <v>7.75</v>
      </c>
      <c r="AD20" s="19">
        <f t="shared" si="8"/>
        <v>37.47</v>
      </c>
      <c r="AE20" s="19">
        <v>26.05</v>
      </c>
      <c r="AF20" s="19">
        <v>31.33</v>
      </c>
      <c r="AG20" s="19">
        <v>6.83</v>
      </c>
      <c r="AH20" s="19">
        <f t="shared" si="9"/>
        <v>64.209999999999994</v>
      </c>
      <c r="AI20" s="19">
        <v>14.7</v>
      </c>
      <c r="AJ20" s="19">
        <v>19.96</v>
      </c>
      <c r="AK20" s="19">
        <v>7.01</v>
      </c>
      <c r="AL20" s="19">
        <f t="shared" si="10"/>
        <v>41.669999999999995</v>
      </c>
      <c r="AM20" s="19">
        <v>12.55</v>
      </c>
      <c r="AN20" s="19">
        <v>20.37</v>
      </c>
      <c r="AO20" s="19">
        <v>7.47</v>
      </c>
      <c r="AP20" s="19">
        <f t="shared" si="11"/>
        <v>40.39</v>
      </c>
      <c r="AQ20" s="19">
        <v>19.77</v>
      </c>
      <c r="AR20" s="19">
        <v>26.61</v>
      </c>
      <c r="AS20" s="19">
        <v>8.61</v>
      </c>
      <c r="AT20" s="19">
        <f t="shared" si="12"/>
        <v>54.989999999999995</v>
      </c>
      <c r="AU20" s="19">
        <v>20.13</v>
      </c>
      <c r="AV20" s="19">
        <v>28.7</v>
      </c>
      <c r="AW20" s="19">
        <v>13.23</v>
      </c>
      <c r="AX20" s="19">
        <f t="shared" si="13"/>
        <v>62.06</v>
      </c>
      <c r="AY20" s="19">
        <v>29.72</v>
      </c>
      <c r="AZ20" s="19">
        <v>40.92</v>
      </c>
      <c r="BA20" s="19">
        <v>10.84</v>
      </c>
      <c r="BB20" s="19">
        <f t="shared" si="14"/>
        <v>81.48</v>
      </c>
    </row>
    <row r="21" spans="1:55" x14ac:dyDescent="0.3">
      <c r="A21" s="7">
        <v>15</v>
      </c>
      <c r="B21" s="2" t="s">
        <v>19</v>
      </c>
      <c r="C21" s="18">
        <f t="shared" si="0"/>
        <v>158.47999999999999</v>
      </c>
      <c r="D21" s="18">
        <f t="shared" si="1"/>
        <v>224.35</v>
      </c>
      <c r="E21" s="18">
        <f t="shared" si="2"/>
        <v>67.28</v>
      </c>
      <c r="F21" s="18">
        <f t="shared" si="15"/>
        <v>450.10999999999996</v>
      </c>
      <c r="G21" s="19">
        <v>26.99</v>
      </c>
      <c r="H21" s="19">
        <v>44.66</v>
      </c>
      <c r="I21" s="19">
        <v>6.1</v>
      </c>
      <c r="J21" s="19">
        <f t="shared" si="3"/>
        <v>77.749999999999986</v>
      </c>
      <c r="K21" s="19">
        <v>10.02</v>
      </c>
      <c r="L21" s="19">
        <v>13.36</v>
      </c>
      <c r="M21" s="19">
        <v>5.28</v>
      </c>
      <c r="N21" s="19">
        <f t="shared" si="4"/>
        <v>28.66</v>
      </c>
      <c r="O21" s="19">
        <v>9.9499999999999993</v>
      </c>
      <c r="P21" s="19">
        <v>14.7</v>
      </c>
      <c r="Q21" s="19">
        <v>5.35</v>
      </c>
      <c r="R21" s="19">
        <f t="shared" si="5"/>
        <v>30</v>
      </c>
      <c r="S21" s="19">
        <v>9.9499999999999993</v>
      </c>
      <c r="T21" s="19">
        <v>15.03</v>
      </c>
      <c r="U21" s="19">
        <v>5.56</v>
      </c>
      <c r="V21" s="19">
        <f t="shared" si="6"/>
        <v>30.539999999999996</v>
      </c>
      <c r="W21" s="19">
        <v>9.36</v>
      </c>
      <c r="X21" s="19">
        <v>13</v>
      </c>
      <c r="Y21" s="19">
        <v>7.46</v>
      </c>
      <c r="Z21" s="19">
        <f t="shared" si="7"/>
        <v>29.82</v>
      </c>
      <c r="AA21" s="19">
        <v>8.81</v>
      </c>
      <c r="AB21" s="19">
        <v>13.81</v>
      </c>
      <c r="AC21" s="19">
        <v>6.71</v>
      </c>
      <c r="AD21" s="19">
        <f t="shared" si="8"/>
        <v>29.330000000000002</v>
      </c>
      <c r="AE21" s="19">
        <v>14.95</v>
      </c>
      <c r="AF21" s="19">
        <v>19.91</v>
      </c>
      <c r="AG21" s="19">
        <v>5.09</v>
      </c>
      <c r="AH21" s="19">
        <f t="shared" si="9"/>
        <v>39.950000000000003</v>
      </c>
      <c r="AI21" s="19">
        <v>8.27</v>
      </c>
      <c r="AJ21" s="19">
        <v>10.95</v>
      </c>
      <c r="AK21" s="19">
        <v>3.38</v>
      </c>
      <c r="AL21" s="19">
        <f t="shared" si="10"/>
        <v>22.599999999999998</v>
      </c>
      <c r="AM21" s="19">
        <v>10.52</v>
      </c>
      <c r="AN21" s="19">
        <v>12.84</v>
      </c>
      <c r="AO21" s="19">
        <v>5.66</v>
      </c>
      <c r="AP21" s="19">
        <f t="shared" si="11"/>
        <v>29.02</v>
      </c>
      <c r="AQ21" s="19">
        <v>11.43</v>
      </c>
      <c r="AR21" s="19">
        <v>16.61</v>
      </c>
      <c r="AS21" s="19">
        <v>5</v>
      </c>
      <c r="AT21" s="19">
        <f t="shared" si="12"/>
        <v>33.04</v>
      </c>
      <c r="AU21" s="19">
        <v>12.04</v>
      </c>
      <c r="AV21" s="19">
        <v>16.79</v>
      </c>
      <c r="AW21" s="19">
        <v>5.51</v>
      </c>
      <c r="AX21" s="19">
        <f t="shared" si="13"/>
        <v>34.339999999999996</v>
      </c>
      <c r="AY21" s="19">
        <v>26.19</v>
      </c>
      <c r="AZ21" s="19">
        <v>32.69</v>
      </c>
      <c r="BA21" s="19">
        <v>6.18</v>
      </c>
      <c r="BB21" s="19">
        <f t="shared" si="14"/>
        <v>65.06</v>
      </c>
    </row>
    <row r="22" spans="1:55" x14ac:dyDescent="0.3">
      <c r="A22" s="7">
        <v>16</v>
      </c>
      <c r="B22" s="2" t="s">
        <v>20</v>
      </c>
      <c r="C22" s="18">
        <f t="shared" si="0"/>
        <v>484.98</v>
      </c>
      <c r="D22" s="18">
        <f t="shared" si="1"/>
        <v>644.27</v>
      </c>
      <c r="E22" s="18">
        <f t="shared" si="2"/>
        <v>180.15</v>
      </c>
      <c r="F22" s="18">
        <f t="shared" si="15"/>
        <v>1309.3999999999999</v>
      </c>
      <c r="G22" s="19">
        <v>57.58</v>
      </c>
      <c r="H22" s="19">
        <v>74.72</v>
      </c>
      <c r="I22" s="19">
        <v>16.809999999999999</v>
      </c>
      <c r="J22" s="19">
        <f t="shared" si="3"/>
        <v>149.11000000000001</v>
      </c>
      <c r="K22" s="19">
        <v>32.5</v>
      </c>
      <c r="L22" s="19">
        <v>44.38</v>
      </c>
      <c r="M22" s="19">
        <v>15.19</v>
      </c>
      <c r="N22" s="19">
        <f t="shared" si="4"/>
        <v>92.07</v>
      </c>
      <c r="O22" s="19">
        <v>32.51</v>
      </c>
      <c r="P22" s="19">
        <v>43.41</v>
      </c>
      <c r="Q22" s="19">
        <v>11.3</v>
      </c>
      <c r="R22" s="19">
        <f t="shared" si="5"/>
        <v>87.219999999999985</v>
      </c>
      <c r="S22" s="19">
        <v>37.96</v>
      </c>
      <c r="T22" s="19">
        <v>46.72</v>
      </c>
      <c r="U22" s="19">
        <v>16.47</v>
      </c>
      <c r="V22" s="19">
        <f t="shared" si="6"/>
        <v>101.15</v>
      </c>
      <c r="W22" s="19">
        <v>32.74</v>
      </c>
      <c r="X22" s="19">
        <v>40.42</v>
      </c>
      <c r="Y22" s="19">
        <v>13.3</v>
      </c>
      <c r="Z22" s="19">
        <f t="shared" si="7"/>
        <v>86.46</v>
      </c>
      <c r="AA22" s="19">
        <v>32.24</v>
      </c>
      <c r="AB22" s="19">
        <v>40.07</v>
      </c>
      <c r="AC22" s="19">
        <v>17.12</v>
      </c>
      <c r="AD22" s="19">
        <f t="shared" si="8"/>
        <v>89.43</v>
      </c>
      <c r="AE22" s="19">
        <v>38.58</v>
      </c>
      <c r="AF22" s="19">
        <v>48.5</v>
      </c>
      <c r="AG22" s="19">
        <v>11.84</v>
      </c>
      <c r="AH22" s="19">
        <f t="shared" si="9"/>
        <v>98.92</v>
      </c>
      <c r="AI22" s="19">
        <v>29.8</v>
      </c>
      <c r="AJ22" s="19">
        <v>39.020000000000003</v>
      </c>
      <c r="AK22" s="19">
        <v>15.25</v>
      </c>
      <c r="AL22" s="19">
        <f t="shared" si="10"/>
        <v>84.070000000000007</v>
      </c>
      <c r="AM22" s="19">
        <v>37.28</v>
      </c>
      <c r="AN22" s="19">
        <v>46.63</v>
      </c>
      <c r="AO22" s="19">
        <v>14.89</v>
      </c>
      <c r="AP22" s="19">
        <f t="shared" si="11"/>
        <v>98.8</v>
      </c>
      <c r="AQ22" s="19">
        <v>41.25</v>
      </c>
      <c r="AR22" s="19">
        <v>55.09</v>
      </c>
      <c r="AS22" s="19">
        <v>16.78</v>
      </c>
      <c r="AT22" s="19">
        <f t="shared" si="12"/>
        <v>113.12</v>
      </c>
      <c r="AU22" s="19">
        <v>42.27</v>
      </c>
      <c r="AV22" s="19">
        <v>55.7</v>
      </c>
      <c r="AW22" s="19">
        <v>13.76</v>
      </c>
      <c r="AX22" s="19">
        <f t="shared" si="13"/>
        <v>111.73</v>
      </c>
      <c r="AY22" s="19">
        <v>70.27</v>
      </c>
      <c r="AZ22" s="19">
        <v>109.61</v>
      </c>
      <c r="BA22" s="19">
        <v>17.440000000000001</v>
      </c>
      <c r="BB22" s="19">
        <f t="shared" si="14"/>
        <v>197.32</v>
      </c>
    </row>
    <row r="23" spans="1:55" x14ac:dyDescent="0.3">
      <c r="A23" s="7">
        <v>17</v>
      </c>
      <c r="B23" s="2" t="s">
        <v>21</v>
      </c>
      <c r="C23" s="18">
        <f t="shared" si="0"/>
        <v>570.66</v>
      </c>
      <c r="D23" s="18">
        <f t="shared" si="1"/>
        <v>706.54</v>
      </c>
      <c r="E23" s="18">
        <f t="shared" si="2"/>
        <v>1053.1299999999999</v>
      </c>
      <c r="F23" s="18">
        <f t="shared" si="15"/>
        <v>2330.33</v>
      </c>
      <c r="G23" s="19">
        <v>100.3</v>
      </c>
      <c r="H23" s="19">
        <v>118.41</v>
      </c>
      <c r="I23" s="19">
        <v>130.97999999999999</v>
      </c>
      <c r="J23" s="19">
        <f t="shared" si="3"/>
        <v>349.68999999999994</v>
      </c>
      <c r="K23" s="19">
        <v>39.57</v>
      </c>
      <c r="L23" s="19">
        <v>49.24</v>
      </c>
      <c r="M23" s="19">
        <v>120.84</v>
      </c>
      <c r="N23" s="19">
        <f t="shared" si="4"/>
        <v>209.65</v>
      </c>
      <c r="O23" s="19">
        <v>28.06</v>
      </c>
      <c r="P23" s="19">
        <v>35.729999999999997</v>
      </c>
      <c r="Q23" s="19">
        <v>106.01</v>
      </c>
      <c r="R23" s="19">
        <f t="shared" si="5"/>
        <v>169.8</v>
      </c>
      <c r="S23" s="19">
        <v>43.22</v>
      </c>
      <c r="T23" s="19">
        <v>51.41</v>
      </c>
      <c r="U23" s="19">
        <v>78.16</v>
      </c>
      <c r="V23" s="19">
        <f t="shared" si="6"/>
        <v>172.79</v>
      </c>
      <c r="W23" s="19">
        <v>39.75</v>
      </c>
      <c r="X23" s="19">
        <v>47.21</v>
      </c>
      <c r="Y23" s="19">
        <v>119.82</v>
      </c>
      <c r="Z23" s="19">
        <f t="shared" si="7"/>
        <v>206.78</v>
      </c>
      <c r="AA23" s="19">
        <v>40.729999999999997</v>
      </c>
      <c r="AB23" s="19">
        <v>51.11</v>
      </c>
      <c r="AC23" s="19">
        <v>99.18</v>
      </c>
      <c r="AD23" s="19">
        <f t="shared" si="8"/>
        <v>191.02</v>
      </c>
      <c r="AE23" s="19">
        <v>37.770000000000003</v>
      </c>
      <c r="AF23" s="19">
        <v>46.52</v>
      </c>
      <c r="AG23" s="19">
        <v>75.41</v>
      </c>
      <c r="AH23" s="19">
        <f t="shared" si="9"/>
        <v>159.69999999999999</v>
      </c>
      <c r="AI23" s="19">
        <v>39.159999999999997</v>
      </c>
      <c r="AJ23" s="19">
        <v>48.57</v>
      </c>
      <c r="AK23" s="19">
        <v>47.03</v>
      </c>
      <c r="AL23" s="19">
        <f t="shared" si="10"/>
        <v>134.76</v>
      </c>
      <c r="AM23" s="19">
        <v>34.54</v>
      </c>
      <c r="AN23" s="19">
        <v>52.74</v>
      </c>
      <c r="AO23" s="19">
        <v>58.64</v>
      </c>
      <c r="AP23" s="19">
        <f t="shared" si="11"/>
        <v>145.92000000000002</v>
      </c>
      <c r="AQ23" s="19">
        <v>54.06</v>
      </c>
      <c r="AR23" s="19">
        <v>69.599999999999994</v>
      </c>
      <c r="AS23" s="19">
        <v>70.67</v>
      </c>
      <c r="AT23" s="19">
        <f t="shared" si="12"/>
        <v>194.32999999999998</v>
      </c>
      <c r="AU23" s="19">
        <v>61.89</v>
      </c>
      <c r="AV23" s="19">
        <v>71.849999999999994</v>
      </c>
      <c r="AW23" s="19">
        <v>74.36</v>
      </c>
      <c r="AX23" s="19">
        <f t="shared" si="13"/>
        <v>208.10000000000002</v>
      </c>
      <c r="AY23" s="19">
        <v>51.61</v>
      </c>
      <c r="AZ23" s="19">
        <v>64.150000000000006</v>
      </c>
      <c r="BA23" s="19">
        <v>72.03</v>
      </c>
      <c r="BB23" s="19">
        <f t="shared" si="14"/>
        <v>187.79000000000002</v>
      </c>
    </row>
    <row r="24" spans="1:55" x14ac:dyDescent="0.3">
      <c r="A24" s="7">
        <v>18</v>
      </c>
      <c r="B24" s="2" t="s">
        <v>22</v>
      </c>
      <c r="C24" s="18">
        <f t="shared" si="0"/>
        <v>5202.4699999999993</v>
      </c>
      <c r="D24" s="18">
        <f t="shared" si="1"/>
        <v>6790.4</v>
      </c>
      <c r="E24" s="18">
        <f t="shared" si="2"/>
        <v>4724.43</v>
      </c>
      <c r="F24" s="18">
        <f t="shared" si="15"/>
        <v>16717.300000000003</v>
      </c>
      <c r="G24" s="19">
        <v>652.46</v>
      </c>
      <c r="H24" s="19">
        <v>828.44</v>
      </c>
      <c r="I24" s="19">
        <v>498.86</v>
      </c>
      <c r="J24" s="19">
        <f t="shared" si="3"/>
        <v>1979.7600000000002</v>
      </c>
      <c r="K24" s="19">
        <v>403.73</v>
      </c>
      <c r="L24" s="19">
        <v>545.44000000000005</v>
      </c>
      <c r="M24" s="19">
        <v>553.29</v>
      </c>
      <c r="N24" s="19">
        <f t="shared" si="4"/>
        <v>1502.46</v>
      </c>
      <c r="O24" s="19">
        <v>392.15</v>
      </c>
      <c r="P24" s="19">
        <v>522.15</v>
      </c>
      <c r="Q24" s="19">
        <v>358.18</v>
      </c>
      <c r="R24" s="19">
        <f t="shared" si="5"/>
        <v>1272.48</v>
      </c>
      <c r="S24" s="19">
        <v>423.83</v>
      </c>
      <c r="T24" s="19">
        <v>565.66999999999996</v>
      </c>
      <c r="U24" s="19">
        <v>365.94</v>
      </c>
      <c r="V24" s="19">
        <f t="shared" si="6"/>
        <v>1355.44</v>
      </c>
      <c r="W24" s="19">
        <v>444.29</v>
      </c>
      <c r="X24" s="19">
        <v>562.42999999999995</v>
      </c>
      <c r="Y24" s="19">
        <v>396.72</v>
      </c>
      <c r="Z24" s="19">
        <f t="shared" si="7"/>
        <v>1403.44</v>
      </c>
      <c r="AA24" s="19">
        <v>376.84</v>
      </c>
      <c r="AB24" s="19">
        <v>477.36</v>
      </c>
      <c r="AC24" s="19">
        <v>432.64</v>
      </c>
      <c r="AD24" s="19">
        <f t="shared" si="8"/>
        <v>1286.8400000000001</v>
      </c>
      <c r="AE24" s="19">
        <v>437.09</v>
      </c>
      <c r="AF24" s="19">
        <v>541.88</v>
      </c>
      <c r="AG24" s="19">
        <v>336.21</v>
      </c>
      <c r="AH24" s="19">
        <f t="shared" si="9"/>
        <v>1315.18</v>
      </c>
      <c r="AI24" s="19">
        <v>391.35</v>
      </c>
      <c r="AJ24" s="19">
        <v>517.76</v>
      </c>
      <c r="AK24" s="19">
        <v>423.31</v>
      </c>
      <c r="AL24" s="19">
        <f t="shared" si="10"/>
        <v>1332.42</v>
      </c>
      <c r="AM24" s="19">
        <v>394.14</v>
      </c>
      <c r="AN24" s="19">
        <v>505.65</v>
      </c>
      <c r="AO24" s="19">
        <v>352.15</v>
      </c>
      <c r="AP24" s="19">
        <f t="shared" si="11"/>
        <v>1251.94</v>
      </c>
      <c r="AQ24" s="19">
        <v>414.71</v>
      </c>
      <c r="AR24" s="19">
        <v>571.9</v>
      </c>
      <c r="AS24" s="19">
        <v>298</v>
      </c>
      <c r="AT24" s="19">
        <f t="shared" si="12"/>
        <v>1284.6099999999999</v>
      </c>
      <c r="AU24" s="19">
        <v>421.15</v>
      </c>
      <c r="AV24" s="19">
        <v>559.41</v>
      </c>
      <c r="AW24" s="19">
        <v>302.13</v>
      </c>
      <c r="AX24" s="19">
        <f t="shared" si="13"/>
        <v>1282.69</v>
      </c>
      <c r="AY24" s="19">
        <v>450.73</v>
      </c>
      <c r="AZ24" s="19">
        <v>592.30999999999995</v>
      </c>
      <c r="BA24" s="19">
        <v>407</v>
      </c>
      <c r="BB24" s="19">
        <f t="shared" si="14"/>
        <v>1450.04</v>
      </c>
    </row>
    <row r="25" spans="1:55" x14ac:dyDescent="0.3">
      <c r="A25" s="7">
        <v>19</v>
      </c>
      <c r="B25" s="2" t="s">
        <v>23</v>
      </c>
      <c r="C25" s="18">
        <f t="shared" si="0"/>
        <v>21013.21</v>
      </c>
      <c r="D25" s="18">
        <f t="shared" si="1"/>
        <v>24939.34</v>
      </c>
      <c r="E25" s="18">
        <f t="shared" si="2"/>
        <v>19277.009999999998</v>
      </c>
      <c r="F25" s="18">
        <f t="shared" si="15"/>
        <v>65229.55999999999</v>
      </c>
      <c r="G25" s="19">
        <v>2384.62</v>
      </c>
      <c r="H25" s="19">
        <v>2860.33</v>
      </c>
      <c r="I25" s="19">
        <v>2370.73</v>
      </c>
      <c r="J25" s="19">
        <f t="shared" si="3"/>
        <v>7615.68</v>
      </c>
      <c r="K25" s="19">
        <v>1580.91</v>
      </c>
      <c r="L25" s="19">
        <v>1970.12</v>
      </c>
      <c r="M25" s="19">
        <v>2319.6999999999998</v>
      </c>
      <c r="N25" s="19">
        <f t="shared" si="4"/>
        <v>5870.73</v>
      </c>
      <c r="O25" s="19">
        <v>1564.6</v>
      </c>
      <c r="P25" s="19">
        <v>1969.88</v>
      </c>
      <c r="Q25" s="19">
        <v>1496.09</v>
      </c>
      <c r="R25" s="19">
        <f t="shared" si="5"/>
        <v>5030.57</v>
      </c>
      <c r="S25" s="19">
        <v>1727.71</v>
      </c>
      <c r="T25" s="19">
        <v>2070.0500000000002</v>
      </c>
      <c r="U25" s="19">
        <v>1673.26</v>
      </c>
      <c r="V25" s="19">
        <f t="shared" si="6"/>
        <v>5471.02</v>
      </c>
      <c r="W25" s="19">
        <v>1615.47</v>
      </c>
      <c r="X25" s="19">
        <v>1931</v>
      </c>
      <c r="Y25" s="19">
        <v>1491</v>
      </c>
      <c r="Z25" s="19">
        <f t="shared" si="7"/>
        <v>5037.47</v>
      </c>
      <c r="AA25" s="19">
        <v>1658.43</v>
      </c>
      <c r="AB25" s="19">
        <v>1979.02</v>
      </c>
      <c r="AC25" s="19">
        <v>1591.26</v>
      </c>
      <c r="AD25" s="19">
        <f t="shared" si="8"/>
        <v>5228.71</v>
      </c>
      <c r="AE25" s="19">
        <v>1759.31</v>
      </c>
      <c r="AF25" s="19">
        <v>2076.85</v>
      </c>
      <c r="AG25" s="19">
        <v>1338.97</v>
      </c>
      <c r="AH25" s="19">
        <f t="shared" si="9"/>
        <v>5175.13</v>
      </c>
      <c r="AI25" s="19">
        <v>1512.18</v>
      </c>
      <c r="AJ25" s="19">
        <v>1837.39</v>
      </c>
      <c r="AK25" s="19">
        <v>1268.3499999999999</v>
      </c>
      <c r="AL25" s="19">
        <f t="shared" si="10"/>
        <v>4617.92</v>
      </c>
      <c r="AM25" s="19">
        <v>1618.68</v>
      </c>
      <c r="AN25" s="19">
        <v>1847.28</v>
      </c>
      <c r="AO25" s="19">
        <v>1314.57</v>
      </c>
      <c r="AP25" s="19">
        <f t="shared" si="11"/>
        <v>4780.53</v>
      </c>
      <c r="AQ25" s="19">
        <v>1872.17</v>
      </c>
      <c r="AR25" s="19">
        <v>2150.6</v>
      </c>
      <c r="AS25" s="19">
        <v>1482.96</v>
      </c>
      <c r="AT25" s="19">
        <f t="shared" si="12"/>
        <v>5505.73</v>
      </c>
      <c r="AU25" s="19">
        <v>1787.67</v>
      </c>
      <c r="AV25" s="19">
        <v>2045.43</v>
      </c>
      <c r="AW25" s="19">
        <v>1388.05</v>
      </c>
      <c r="AX25" s="19">
        <f t="shared" si="13"/>
        <v>5221.1500000000005</v>
      </c>
      <c r="AY25" s="19">
        <v>1931.46</v>
      </c>
      <c r="AZ25" s="19">
        <v>2201.39</v>
      </c>
      <c r="BA25" s="19">
        <v>1542.07</v>
      </c>
      <c r="BB25" s="19">
        <f t="shared" si="14"/>
        <v>5674.92</v>
      </c>
    </row>
    <row r="26" spans="1:55" x14ac:dyDescent="0.3">
      <c r="A26" s="7">
        <v>20</v>
      </c>
      <c r="B26" s="2" t="s">
        <v>24</v>
      </c>
      <c r="C26" s="18">
        <f t="shared" si="0"/>
        <v>7362.52</v>
      </c>
      <c r="D26" s="18">
        <f t="shared" si="1"/>
        <v>9536.880000000001</v>
      </c>
      <c r="E26" s="18">
        <f t="shared" si="2"/>
        <v>12481.149999999998</v>
      </c>
      <c r="F26" s="18">
        <f t="shared" si="15"/>
        <v>29380.55</v>
      </c>
      <c r="G26" s="19">
        <v>846.8</v>
      </c>
      <c r="H26" s="19">
        <v>1085.76</v>
      </c>
      <c r="I26" s="19">
        <v>1524.99</v>
      </c>
      <c r="J26" s="19">
        <f t="shared" si="3"/>
        <v>3457.55</v>
      </c>
      <c r="K26" s="19">
        <v>537.96</v>
      </c>
      <c r="L26" s="19">
        <v>744.42</v>
      </c>
      <c r="M26" s="19">
        <v>958.46</v>
      </c>
      <c r="N26" s="19">
        <f t="shared" si="4"/>
        <v>2240.84</v>
      </c>
      <c r="O26" s="19">
        <v>610.29</v>
      </c>
      <c r="P26" s="19">
        <v>781.24</v>
      </c>
      <c r="Q26" s="19">
        <v>1036.73</v>
      </c>
      <c r="R26" s="19">
        <f t="shared" si="5"/>
        <v>2428.2600000000002</v>
      </c>
      <c r="S26" s="19">
        <v>570.41</v>
      </c>
      <c r="T26" s="19">
        <v>752.18</v>
      </c>
      <c r="U26" s="19">
        <v>1183.97</v>
      </c>
      <c r="V26" s="19">
        <f t="shared" si="6"/>
        <v>2506.56</v>
      </c>
      <c r="W26" s="19">
        <v>586.84</v>
      </c>
      <c r="X26" s="19">
        <v>751.67</v>
      </c>
      <c r="Y26" s="19">
        <v>1005.1</v>
      </c>
      <c r="Z26" s="19">
        <f t="shared" si="7"/>
        <v>2343.61</v>
      </c>
      <c r="AA26" s="19">
        <v>561.09</v>
      </c>
      <c r="AB26" s="19">
        <v>701.01</v>
      </c>
      <c r="AC26" s="19">
        <v>1097.79</v>
      </c>
      <c r="AD26" s="19">
        <f t="shared" si="8"/>
        <v>2359.89</v>
      </c>
      <c r="AE26" s="19">
        <v>567.25</v>
      </c>
      <c r="AF26" s="19">
        <v>736.6</v>
      </c>
      <c r="AG26" s="19">
        <v>845.64</v>
      </c>
      <c r="AH26" s="19">
        <f t="shared" si="9"/>
        <v>2149.4899999999998</v>
      </c>
      <c r="AI26" s="19">
        <v>534.20000000000005</v>
      </c>
      <c r="AJ26" s="19">
        <v>685.92</v>
      </c>
      <c r="AK26" s="19">
        <v>888.46</v>
      </c>
      <c r="AL26" s="19">
        <f t="shared" si="10"/>
        <v>2108.58</v>
      </c>
      <c r="AM26" s="19">
        <v>617.75</v>
      </c>
      <c r="AN26" s="19">
        <v>770.1</v>
      </c>
      <c r="AO26" s="19">
        <v>982.63</v>
      </c>
      <c r="AP26" s="19">
        <f t="shared" si="11"/>
        <v>2370.48</v>
      </c>
      <c r="AQ26" s="19">
        <v>602.52</v>
      </c>
      <c r="AR26" s="19">
        <v>766.37</v>
      </c>
      <c r="AS26" s="19">
        <v>1056.8</v>
      </c>
      <c r="AT26" s="19">
        <f t="shared" si="12"/>
        <v>2425.6899999999996</v>
      </c>
      <c r="AU26" s="19">
        <v>603.82000000000005</v>
      </c>
      <c r="AV26" s="19">
        <v>774.57</v>
      </c>
      <c r="AW26" s="19">
        <v>959.26</v>
      </c>
      <c r="AX26" s="19">
        <f t="shared" si="13"/>
        <v>2337.65</v>
      </c>
      <c r="AY26" s="19">
        <v>723.59</v>
      </c>
      <c r="AZ26" s="19">
        <v>987.04</v>
      </c>
      <c r="BA26" s="19">
        <v>941.32</v>
      </c>
      <c r="BB26" s="19">
        <f t="shared" si="14"/>
        <v>2651.9500000000003</v>
      </c>
      <c r="BC26" t="s">
        <v>72</v>
      </c>
    </row>
    <row r="27" spans="1:55" x14ac:dyDescent="0.3">
      <c r="A27" s="7">
        <v>21</v>
      </c>
      <c r="B27" s="2" t="s">
        <v>25</v>
      </c>
      <c r="C27" s="18">
        <f t="shared" si="0"/>
        <v>14808.43</v>
      </c>
      <c r="D27" s="18">
        <f t="shared" si="1"/>
        <v>19262.090000000004</v>
      </c>
      <c r="E27" s="18">
        <f t="shared" si="2"/>
        <v>17349.690000000002</v>
      </c>
      <c r="F27" s="18">
        <f t="shared" si="15"/>
        <v>51420.210000000006</v>
      </c>
      <c r="G27" s="19">
        <v>1547.68</v>
      </c>
      <c r="H27" s="19">
        <v>1931.2</v>
      </c>
      <c r="I27" s="19">
        <v>1793.59</v>
      </c>
      <c r="J27" s="19">
        <f t="shared" si="3"/>
        <v>5272.47</v>
      </c>
      <c r="K27" s="19">
        <v>1139.1199999999999</v>
      </c>
      <c r="L27" s="19">
        <v>1462.36</v>
      </c>
      <c r="M27" s="19">
        <v>1662.26</v>
      </c>
      <c r="N27" s="19">
        <f t="shared" si="4"/>
        <v>4263.74</v>
      </c>
      <c r="O27" s="19">
        <v>1198.32</v>
      </c>
      <c r="P27" s="19">
        <v>1506.2</v>
      </c>
      <c r="Q27" s="19">
        <v>1497.86</v>
      </c>
      <c r="R27" s="19">
        <f t="shared" si="5"/>
        <v>4202.38</v>
      </c>
      <c r="S27" s="19">
        <v>1192.5999999999999</v>
      </c>
      <c r="T27" s="19">
        <v>1527.45</v>
      </c>
      <c r="U27" s="19">
        <v>1428.68</v>
      </c>
      <c r="V27" s="19">
        <f t="shared" si="6"/>
        <v>4148.7300000000005</v>
      </c>
      <c r="W27" s="19">
        <v>1095.8399999999999</v>
      </c>
      <c r="X27" s="19">
        <v>1452.2</v>
      </c>
      <c r="Y27" s="19">
        <v>1658.54</v>
      </c>
      <c r="Z27" s="19">
        <f t="shared" si="7"/>
        <v>4206.58</v>
      </c>
      <c r="AA27" s="19">
        <v>1040.77</v>
      </c>
      <c r="AB27" s="19">
        <v>1340.61</v>
      </c>
      <c r="AC27" s="19">
        <v>1582.38</v>
      </c>
      <c r="AD27" s="19">
        <f t="shared" si="8"/>
        <v>3963.76</v>
      </c>
      <c r="AE27" s="19">
        <v>1187.05</v>
      </c>
      <c r="AF27" s="19">
        <v>1548.27</v>
      </c>
      <c r="AG27" s="19">
        <v>1558.46</v>
      </c>
      <c r="AH27" s="19">
        <f t="shared" si="9"/>
        <v>4293.78</v>
      </c>
      <c r="AI27" s="19">
        <v>1074.67</v>
      </c>
      <c r="AJ27" s="19">
        <v>1416.25</v>
      </c>
      <c r="AK27" s="19">
        <v>1333.99</v>
      </c>
      <c r="AL27" s="19">
        <f t="shared" si="10"/>
        <v>3824.91</v>
      </c>
      <c r="AM27" s="19">
        <v>1213.8399999999999</v>
      </c>
      <c r="AN27" s="19">
        <v>1485.35</v>
      </c>
      <c r="AO27" s="19">
        <v>1008.46</v>
      </c>
      <c r="AP27" s="19">
        <f t="shared" si="11"/>
        <v>3707.6499999999996</v>
      </c>
      <c r="AQ27" s="19">
        <v>1313.93</v>
      </c>
      <c r="AR27" s="19">
        <v>1668.52</v>
      </c>
      <c r="AS27" s="19">
        <v>1157.08</v>
      </c>
      <c r="AT27" s="19">
        <f t="shared" si="12"/>
        <v>4139.53</v>
      </c>
      <c r="AU27" s="19">
        <v>1336.57</v>
      </c>
      <c r="AV27" s="19">
        <v>1749.19</v>
      </c>
      <c r="AW27" s="19">
        <v>1260.8399999999999</v>
      </c>
      <c r="AX27" s="19">
        <f t="shared" si="13"/>
        <v>4346.6000000000004</v>
      </c>
      <c r="AY27" s="19">
        <v>1468.04</v>
      </c>
      <c r="AZ27" s="19">
        <v>2174.4899999999998</v>
      </c>
      <c r="BA27" s="19">
        <v>1407.55</v>
      </c>
      <c r="BB27" s="19">
        <f t="shared" si="14"/>
        <v>5050.08</v>
      </c>
    </row>
    <row r="28" spans="1:55" x14ac:dyDescent="0.3">
      <c r="A28" s="7">
        <v>22</v>
      </c>
      <c r="B28" s="2" t="s">
        <v>39</v>
      </c>
      <c r="C28" s="18">
        <f t="shared" si="0"/>
        <v>7950.1</v>
      </c>
      <c r="D28" s="18">
        <f t="shared" si="1"/>
        <v>9546.41</v>
      </c>
      <c r="E28" s="18">
        <f t="shared" si="2"/>
        <v>12611.95</v>
      </c>
      <c r="F28" s="18">
        <f t="shared" si="15"/>
        <v>30108.46</v>
      </c>
      <c r="G28" s="19">
        <v>888.58</v>
      </c>
      <c r="H28" s="19">
        <v>944.83</v>
      </c>
      <c r="I28" s="19">
        <v>1602.95</v>
      </c>
      <c r="J28" s="19">
        <f t="shared" si="3"/>
        <v>3436.36</v>
      </c>
      <c r="K28" s="19">
        <v>537.13</v>
      </c>
      <c r="L28" s="19">
        <v>714.08</v>
      </c>
      <c r="M28" s="19">
        <v>972.45</v>
      </c>
      <c r="N28" s="19">
        <f t="shared" si="4"/>
        <v>2223.66</v>
      </c>
      <c r="O28" s="19">
        <v>640.33000000000004</v>
      </c>
      <c r="P28" s="19">
        <v>746.47</v>
      </c>
      <c r="Q28" s="19">
        <v>1204.06</v>
      </c>
      <c r="R28" s="19">
        <f t="shared" si="5"/>
        <v>2590.86</v>
      </c>
      <c r="S28" s="19">
        <v>635.89</v>
      </c>
      <c r="T28" s="19">
        <v>774.08</v>
      </c>
      <c r="U28" s="19">
        <v>1064.78</v>
      </c>
      <c r="V28" s="19">
        <f t="shared" si="6"/>
        <v>2474.75</v>
      </c>
      <c r="W28" s="19">
        <v>573.78</v>
      </c>
      <c r="X28" s="19">
        <v>720.33</v>
      </c>
      <c r="Y28" s="19">
        <v>943.6</v>
      </c>
      <c r="Z28" s="19">
        <f t="shared" si="7"/>
        <v>2237.71</v>
      </c>
      <c r="AA28" s="19">
        <v>569.57000000000005</v>
      </c>
      <c r="AB28" s="19">
        <v>681.29</v>
      </c>
      <c r="AC28" s="19">
        <v>1095.6500000000001</v>
      </c>
      <c r="AD28" s="19">
        <f t="shared" si="8"/>
        <v>2346.5100000000002</v>
      </c>
      <c r="AE28" s="19">
        <v>593.04999999999995</v>
      </c>
      <c r="AF28" s="19">
        <v>712.88</v>
      </c>
      <c r="AG28" s="19">
        <v>894.88</v>
      </c>
      <c r="AH28" s="19">
        <f t="shared" si="9"/>
        <v>2200.81</v>
      </c>
      <c r="AI28" s="19">
        <v>567.44000000000005</v>
      </c>
      <c r="AJ28" s="19">
        <v>713.74</v>
      </c>
      <c r="AK28" s="19">
        <v>834.83</v>
      </c>
      <c r="AL28" s="19">
        <f t="shared" si="10"/>
        <v>2116.0100000000002</v>
      </c>
      <c r="AM28" s="19">
        <v>687.19</v>
      </c>
      <c r="AN28" s="19">
        <v>755.13</v>
      </c>
      <c r="AO28" s="19">
        <v>944.58</v>
      </c>
      <c r="AP28" s="19">
        <f t="shared" si="11"/>
        <v>2386.9</v>
      </c>
      <c r="AQ28" s="19">
        <v>706.66</v>
      </c>
      <c r="AR28" s="19">
        <v>815.18</v>
      </c>
      <c r="AS28" s="19">
        <v>897.08</v>
      </c>
      <c r="AT28" s="19">
        <f t="shared" si="12"/>
        <v>2418.92</v>
      </c>
      <c r="AU28" s="19">
        <v>763.83</v>
      </c>
      <c r="AV28" s="19">
        <v>895.24</v>
      </c>
      <c r="AW28" s="19">
        <v>1198.31</v>
      </c>
      <c r="AX28" s="19">
        <f t="shared" si="13"/>
        <v>2857.38</v>
      </c>
      <c r="AY28" s="19">
        <v>786.65</v>
      </c>
      <c r="AZ28" s="19">
        <v>1073.1600000000001</v>
      </c>
      <c r="BA28" s="19">
        <v>958.78</v>
      </c>
      <c r="BB28" s="19">
        <f t="shared" si="14"/>
        <v>2818.59</v>
      </c>
    </row>
    <row r="29" spans="1:55" x14ac:dyDescent="0.3">
      <c r="A29" s="7">
        <v>23</v>
      </c>
      <c r="B29" s="2" t="s">
        <v>26</v>
      </c>
      <c r="C29" s="18">
        <f t="shared" si="0"/>
        <v>11856.06</v>
      </c>
      <c r="D29" s="18">
        <f t="shared" si="1"/>
        <v>14641.689999999999</v>
      </c>
      <c r="E29" s="18">
        <f t="shared" si="2"/>
        <v>12506.469999999998</v>
      </c>
      <c r="F29" s="18">
        <f t="shared" si="15"/>
        <v>39004.22</v>
      </c>
      <c r="G29" s="19">
        <v>1378.22</v>
      </c>
      <c r="H29" s="19">
        <v>1682.49</v>
      </c>
      <c r="I29" s="19">
        <v>1508.13</v>
      </c>
      <c r="J29" s="19">
        <f t="shared" si="3"/>
        <v>4568.84</v>
      </c>
      <c r="K29" s="19">
        <v>866.81</v>
      </c>
      <c r="L29" s="19">
        <v>1101.58</v>
      </c>
      <c r="M29" s="19">
        <v>1051.49</v>
      </c>
      <c r="N29" s="19">
        <f t="shared" si="4"/>
        <v>3019.88</v>
      </c>
      <c r="O29" s="19">
        <v>927.69</v>
      </c>
      <c r="P29" s="19">
        <v>1167.6199999999999</v>
      </c>
      <c r="Q29" s="19">
        <v>1078.32</v>
      </c>
      <c r="R29" s="19">
        <f t="shared" si="5"/>
        <v>3173.63</v>
      </c>
      <c r="S29" s="19">
        <v>1105.8399999999999</v>
      </c>
      <c r="T29" s="19">
        <v>1362.49</v>
      </c>
      <c r="U29" s="19">
        <v>1171.1400000000001</v>
      </c>
      <c r="V29" s="19">
        <f t="shared" si="6"/>
        <v>3639.4700000000003</v>
      </c>
      <c r="W29" s="19">
        <v>904.58</v>
      </c>
      <c r="X29" s="19">
        <v>1129.1300000000001</v>
      </c>
      <c r="Y29" s="19">
        <v>1052.99</v>
      </c>
      <c r="Z29" s="19">
        <f t="shared" si="7"/>
        <v>3086.7</v>
      </c>
      <c r="AA29" s="19">
        <v>847.53</v>
      </c>
      <c r="AB29" s="19">
        <v>1057.81</v>
      </c>
      <c r="AC29" s="19">
        <v>1135.81</v>
      </c>
      <c r="AD29" s="19">
        <f t="shared" si="8"/>
        <v>3041.1499999999996</v>
      </c>
      <c r="AE29" s="19">
        <v>878.56</v>
      </c>
      <c r="AF29" s="19">
        <v>1079.3900000000001</v>
      </c>
      <c r="AG29" s="19">
        <v>952.89</v>
      </c>
      <c r="AH29" s="19">
        <f t="shared" si="9"/>
        <v>2910.84</v>
      </c>
      <c r="AI29" s="19">
        <v>904.18</v>
      </c>
      <c r="AJ29" s="19">
        <v>1120.9000000000001</v>
      </c>
      <c r="AK29" s="19">
        <v>750.85</v>
      </c>
      <c r="AL29" s="19">
        <f t="shared" si="10"/>
        <v>2775.93</v>
      </c>
      <c r="AM29" s="19">
        <v>872.77</v>
      </c>
      <c r="AN29" s="19">
        <v>1057.3699999999999</v>
      </c>
      <c r="AO29" s="19">
        <v>844.98</v>
      </c>
      <c r="AP29" s="19">
        <f t="shared" si="11"/>
        <v>2775.12</v>
      </c>
      <c r="AQ29" s="19">
        <v>1039.48</v>
      </c>
      <c r="AR29" s="19">
        <v>1280.19</v>
      </c>
      <c r="AS29" s="19">
        <v>920.09</v>
      </c>
      <c r="AT29" s="19">
        <f t="shared" si="12"/>
        <v>3239.76</v>
      </c>
      <c r="AU29" s="19">
        <v>978.65</v>
      </c>
      <c r="AV29" s="19">
        <v>1181.72</v>
      </c>
      <c r="AW29" s="19">
        <v>954.22</v>
      </c>
      <c r="AX29" s="19">
        <f t="shared" si="13"/>
        <v>3114.59</v>
      </c>
      <c r="AY29" s="19">
        <v>1151.75</v>
      </c>
      <c r="AZ29" s="19">
        <v>1421</v>
      </c>
      <c r="BA29" s="19">
        <v>1085.56</v>
      </c>
      <c r="BB29" s="19">
        <f t="shared" si="14"/>
        <v>3658.31</v>
      </c>
    </row>
    <row r="30" spans="1:55" x14ac:dyDescent="0.3">
      <c r="A30" s="7">
        <v>24</v>
      </c>
      <c r="B30" s="2" t="s">
        <v>40</v>
      </c>
      <c r="C30" s="18">
        <f t="shared" si="0"/>
        <v>41483.279999999999</v>
      </c>
      <c r="D30" s="18">
        <f t="shared" si="1"/>
        <v>49127.900000000009</v>
      </c>
      <c r="E30" s="18">
        <f t="shared" si="2"/>
        <v>44804.01</v>
      </c>
      <c r="F30" s="18">
        <f t="shared" si="15"/>
        <v>135415.19</v>
      </c>
      <c r="G30" s="19">
        <v>4581.6899999999996</v>
      </c>
      <c r="H30" s="19">
        <v>5280.76</v>
      </c>
      <c r="I30" s="19">
        <v>4524.95</v>
      </c>
      <c r="J30" s="19">
        <f t="shared" si="3"/>
        <v>14387.400000000001</v>
      </c>
      <c r="K30" s="19">
        <v>3199.58</v>
      </c>
      <c r="L30" s="19">
        <v>3897.65</v>
      </c>
      <c r="M30" s="19">
        <v>4015.84</v>
      </c>
      <c r="N30" s="19">
        <f t="shared" si="4"/>
        <v>11113.07</v>
      </c>
      <c r="O30" s="19">
        <v>3141.5</v>
      </c>
      <c r="P30" s="19">
        <v>3790.78</v>
      </c>
      <c r="Q30" s="19">
        <v>3558.62</v>
      </c>
      <c r="R30" s="19">
        <f t="shared" si="5"/>
        <v>10490.900000000001</v>
      </c>
      <c r="S30" s="19">
        <v>3333.67</v>
      </c>
      <c r="T30" s="19">
        <v>4005.93</v>
      </c>
      <c r="U30" s="19">
        <v>3500.79</v>
      </c>
      <c r="V30" s="19">
        <f t="shared" si="6"/>
        <v>10840.39</v>
      </c>
      <c r="W30" s="19">
        <v>3130.42</v>
      </c>
      <c r="X30" s="19">
        <v>3881.59</v>
      </c>
      <c r="Y30" s="19">
        <v>3470.11</v>
      </c>
      <c r="Z30" s="19">
        <f t="shared" si="7"/>
        <v>10482.120000000001</v>
      </c>
      <c r="AA30" s="19">
        <v>3058</v>
      </c>
      <c r="AB30" s="19">
        <v>3693.41</v>
      </c>
      <c r="AC30" s="19">
        <v>3667.77</v>
      </c>
      <c r="AD30" s="19">
        <f t="shared" si="8"/>
        <v>10419.18</v>
      </c>
      <c r="AE30" s="19">
        <v>3475.86</v>
      </c>
      <c r="AF30" s="19">
        <v>4139.42</v>
      </c>
      <c r="AG30" s="19">
        <v>3997.57</v>
      </c>
      <c r="AH30" s="19">
        <f t="shared" si="9"/>
        <v>11612.85</v>
      </c>
      <c r="AI30" s="19">
        <v>3337.99</v>
      </c>
      <c r="AJ30" s="19">
        <v>3824.79</v>
      </c>
      <c r="AK30" s="19">
        <v>3118.43</v>
      </c>
      <c r="AL30" s="19">
        <f t="shared" si="10"/>
        <v>10281.209999999999</v>
      </c>
      <c r="AM30" s="19">
        <v>3070.28</v>
      </c>
      <c r="AN30" s="19">
        <v>3549.36</v>
      </c>
      <c r="AO30" s="19">
        <v>3302.02</v>
      </c>
      <c r="AP30" s="19">
        <f t="shared" si="11"/>
        <v>9921.66</v>
      </c>
      <c r="AQ30" s="19">
        <v>3682.32</v>
      </c>
      <c r="AR30" s="19">
        <v>4338.1099999999997</v>
      </c>
      <c r="AS30" s="19">
        <v>3965.65</v>
      </c>
      <c r="AT30" s="19">
        <f t="shared" si="12"/>
        <v>11986.08</v>
      </c>
      <c r="AU30" s="19">
        <v>3730.13</v>
      </c>
      <c r="AV30" s="19">
        <v>4276.12</v>
      </c>
      <c r="AW30" s="19">
        <v>3694.68</v>
      </c>
      <c r="AX30" s="19">
        <f t="shared" si="13"/>
        <v>11700.93</v>
      </c>
      <c r="AY30" s="19">
        <v>3741.84</v>
      </c>
      <c r="AZ30" s="19">
        <v>4449.9799999999996</v>
      </c>
      <c r="BA30" s="19">
        <v>3987.58</v>
      </c>
      <c r="BB30" s="19">
        <f t="shared" si="14"/>
        <v>12179.4</v>
      </c>
    </row>
    <row r="31" spans="1:55" x14ac:dyDescent="0.3">
      <c r="A31" s="7">
        <v>25</v>
      </c>
      <c r="B31" s="2" t="s">
        <v>27</v>
      </c>
      <c r="C31" s="18">
        <f t="shared" si="0"/>
        <v>0.08</v>
      </c>
      <c r="D31" s="18">
        <f t="shared" si="1"/>
        <v>0.08</v>
      </c>
      <c r="E31" s="18">
        <f t="shared" si="2"/>
        <v>0.15</v>
      </c>
      <c r="F31" s="18">
        <f t="shared" si="15"/>
        <v>0.31</v>
      </c>
      <c r="G31" s="19">
        <v>0</v>
      </c>
      <c r="H31" s="19">
        <v>0</v>
      </c>
      <c r="I31" s="19">
        <v>0.08</v>
      </c>
      <c r="J31" s="19">
        <f t="shared" si="3"/>
        <v>0.08</v>
      </c>
      <c r="K31" s="19">
        <v>0</v>
      </c>
      <c r="L31" s="19">
        <v>0</v>
      </c>
      <c r="M31" s="19">
        <v>0</v>
      </c>
      <c r="N31" s="19">
        <f t="shared" si="4"/>
        <v>0</v>
      </c>
      <c r="O31" s="19">
        <v>0</v>
      </c>
      <c r="P31" s="19">
        <v>0</v>
      </c>
      <c r="Q31" s="19">
        <v>0</v>
      </c>
      <c r="R31" s="19">
        <f t="shared" si="5"/>
        <v>0</v>
      </c>
      <c r="S31" s="19">
        <v>0.01</v>
      </c>
      <c r="T31" s="19">
        <v>0.01</v>
      </c>
      <c r="U31" s="19">
        <v>0</v>
      </c>
      <c r="V31" s="19">
        <f t="shared" si="6"/>
        <v>0.02</v>
      </c>
      <c r="W31" s="19">
        <v>0.01</v>
      </c>
      <c r="X31" s="19">
        <v>0.01</v>
      </c>
      <c r="Y31" s="19">
        <v>0</v>
      </c>
      <c r="Z31" s="19">
        <f t="shared" si="7"/>
        <v>0.02</v>
      </c>
      <c r="AA31" s="19">
        <v>0</v>
      </c>
      <c r="AB31" s="19">
        <v>0</v>
      </c>
      <c r="AC31" s="19">
        <v>0.02</v>
      </c>
      <c r="AD31" s="19">
        <f t="shared" si="8"/>
        <v>0.02</v>
      </c>
      <c r="AE31" s="19">
        <v>0</v>
      </c>
      <c r="AF31" s="19">
        <v>0</v>
      </c>
      <c r="AG31" s="19">
        <v>0.01</v>
      </c>
      <c r="AH31" s="19">
        <f t="shared" si="9"/>
        <v>0.01</v>
      </c>
      <c r="AI31" s="19">
        <v>0</v>
      </c>
      <c r="AJ31" s="19">
        <v>0</v>
      </c>
      <c r="AK31" s="19">
        <v>0</v>
      </c>
      <c r="AL31" s="19">
        <f t="shared" si="10"/>
        <v>0</v>
      </c>
      <c r="AM31" s="19">
        <v>0</v>
      </c>
      <c r="AN31" s="19">
        <v>0</v>
      </c>
      <c r="AO31" s="19">
        <v>0</v>
      </c>
      <c r="AP31" s="19">
        <f t="shared" si="11"/>
        <v>0</v>
      </c>
      <c r="AQ31" s="19">
        <v>0</v>
      </c>
      <c r="AR31" s="19">
        <v>0</v>
      </c>
      <c r="AS31" s="19">
        <v>0</v>
      </c>
      <c r="AT31" s="19">
        <f t="shared" si="12"/>
        <v>0</v>
      </c>
      <c r="AU31" s="19">
        <v>0</v>
      </c>
      <c r="AV31" s="19">
        <v>0</v>
      </c>
      <c r="AW31" s="19">
        <v>0.02</v>
      </c>
      <c r="AX31" s="19">
        <f t="shared" si="13"/>
        <v>0.02</v>
      </c>
      <c r="AY31" s="19">
        <v>0.06</v>
      </c>
      <c r="AZ31" s="19">
        <v>0.06</v>
      </c>
      <c r="BA31" s="19">
        <v>0.02</v>
      </c>
      <c r="BB31" s="19">
        <f t="shared" si="14"/>
        <v>0.13999999999999999</v>
      </c>
    </row>
    <row r="32" spans="1:55" x14ac:dyDescent="0.3">
      <c r="A32" s="7">
        <v>26</v>
      </c>
      <c r="B32" s="2" t="s">
        <v>28</v>
      </c>
      <c r="C32" s="18">
        <f t="shared" si="0"/>
        <v>639.94000000000005</v>
      </c>
      <c r="D32" s="18">
        <f t="shared" si="1"/>
        <v>791.39999999999986</v>
      </c>
      <c r="E32" s="18">
        <f t="shared" si="2"/>
        <v>3140.99</v>
      </c>
      <c r="F32" s="18">
        <f t="shared" si="15"/>
        <v>4572.33</v>
      </c>
      <c r="G32" s="19">
        <v>71.5</v>
      </c>
      <c r="H32" s="19">
        <v>85.31</v>
      </c>
      <c r="I32" s="19">
        <v>338.45</v>
      </c>
      <c r="J32" s="19">
        <f t="shared" si="3"/>
        <v>495.26</v>
      </c>
      <c r="K32" s="19">
        <v>44.9</v>
      </c>
      <c r="L32" s="19">
        <v>56.12</v>
      </c>
      <c r="M32" s="19">
        <v>249.71</v>
      </c>
      <c r="N32" s="19">
        <f t="shared" si="4"/>
        <v>350.73</v>
      </c>
      <c r="O32" s="19">
        <v>48.53</v>
      </c>
      <c r="P32" s="19">
        <v>59.03</v>
      </c>
      <c r="Q32" s="19">
        <v>302.68</v>
      </c>
      <c r="R32" s="19">
        <f t="shared" si="5"/>
        <v>410.24</v>
      </c>
      <c r="S32" s="19">
        <v>58.45</v>
      </c>
      <c r="T32" s="19">
        <v>64.03</v>
      </c>
      <c r="U32" s="19">
        <v>271.86</v>
      </c>
      <c r="V32" s="19">
        <f t="shared" si="6"/>
        <v>394.34000000000003</v>
      </c>
      <c r="W32" s="19">
        <v>49.69</v>
      </c>
      <c r="X32" s="19">
        <v>61.65</v>
      </c>
      <c r="Y32" s="19">
        <v>251.13</v>
      </c>
      <c r="Z32" s="19">
        <f t="shared" si="7"/>
        <v>362.47</v>
      </c>
      <c r="AA32" s="19">
        <v>52.5</v>
      </c>
      <c r="AB32" s="19">
        <v>63.82</v>
      </c>
      <c r="AC32" s="19">
        <v>250.04</v>
      </c>
      <c r="AD32" s="19">
        <f t="shared" si="8"/>
        <v>366.36</v>
      </c>
      <c r="AE32" s="19">
        <v>47.08</v>
      </c>
      <c r="AF32" s="19">
        <v>58.21</v>
      </c>
      <c r="AG32" s="19">
        <v>297.52</v>
      </c>
      <c r="AH32" s="19">
        <f t="shared" si="9"/>
        <v>402.80999999999995</v>
      </c>
      <c r="AI32" s="19">
        <v>56.07</v>
      </c>
      <c r="AJ32" s="19">
        <v>66.62</v>
      </c>
      <c r="AK32" s="19">
        <v>200.6</v>
      </c>
      <c r="AL32" s="19">
        <f t="shared" si="10"/>
        <v>323.28999999999996</v>
      </c>
      <c r="AM32" s="19">
        <v>51.78</v>
      </c>
      <c r="AN32" s="19">
        <v>65.78</v>
      </c>
      <c r="AO32" s="19">
        <v>211.93</v>
      </c>
      <c r="AP32" s="19">
        <f t="shared" si="11"/>
        <v>329.49</v>
      </c>
      <c r="AQ32" s="19">
        <v>53.07</v>
      </c>
      <c r="AR32" s="19">
        <v>67.63</v>
      </c>
      <c r="AS32" s="19">
        <v>306.58</v>
      </c>
      <c r="AT32" s="19">
        <f t="shared" si="12"/>
        <v>427.28</v>
      </c>
      <c r="AU32" s="19">
        <v>51.06</v>
      </c>
      <c r="AV32" s="19">
        <v>73.010000000000005</v>
      </c>
      <c r="AW32" s="19">
        <v>223.53</v>
      </c>
      <c r="AX32" s="19">
        <f t="shared" si="13"/>
        <v>347.6</v>
      </c>
      <c r="AY32" s="19">
        <v>55.31</v>
      </c>
      <c r="AZ32" s="19">
        <v>70.19</v>
      </c>
      <c r="BA32" s="19">
        <v>236.96</v>
      </c>
      <c r="BB32" s="19">
        <f t="shared" si="14"/>
        <v>362.46000000000004</v>
      </c>
    </row>
    <row r="33" spans="1:56" x14ac:dyDescent="0.3">
      <c r="A33" s="7">
        <v>27</v>
      </c>
      <c r="B33" s="2" t="s">
        <v>41</v>
      </c>
      <c r="C33" s="18">
        <f t="shared" si="0"/>
        <v>107179.46999999999</v>
      </c>
      <c r="D33" s="18">
        <f t="shared" si="1"/>
        <v>124159.81</v>
      </c>
      <c r="E33" s="18">
        <f t="shared" si="2"/>
        <v>130438.36999999998</v>
      </c>
      <c r="F33" s="18">
        <f t="shared" si="15"/>
        <v>361777.64999999997</v>
      </c>
      <c r="G33" s="19">
        <v>11610.13</v>
      </c>
      <c r="H33" s="19">
        <v>13176.54</v>
      </c>
      <c r="I33" s="19">
        <v>14489.93</v>
      </c>
      <c r="J33" s="19">
        <f t="shared" si="3"/>
        <v>39276.6</v>
      </c>
      <c r="K33" s="19">
        <v>8232.6</v>
      </c>
      <c r="L33" s="19">
        <v>9357.24</v>
      </c>
      <c r="M33" s="19">
        <v>11646.26</v>
      </c>
      <c r="N33" s="19">
        <f t="shared" si="4"/>
        <v>29236.1</v>
      </c>
      <c r="O33" s="19">
        <v>8477.11</v>
      </c>
      <c r="P33" s="19">
        <v>9839.2099999999991</v>
      </c>
      <c r="Q33" s="19">
        <v>9931.64</v>
      </c>
      <c r="R33" s="19">
        <f t="shared" si="5"/>
        <v>28247.96</v>
      </c>
      <c r="S33" s="19">
        <v>8265.51</v>
      </c>
      <c r="T33" s="19">
        <v>9415.67</v>
      </c>
      <c r="U33" s="19">
        <v>10869.94</v>
      </c>
      <c r="V33" s="19">
        <f t="shared" si="6"/>
        <v>28551.120000000003</v>
      </c>
      <c r="W33" s="19">
        <v>7840.27</v>
      </c>
      <c r="X33" s="19">
        <v>9400</v>
      </c>
      <c r="Y33" s="19">
        <v>9505.44</v>
      </c>
      <c r="Z33" s="19">
        <f t="shared" si="7"/>
        <v>26745.71</v>
      </c>
      <c r="AA33" s="19">
        <v>7965.73</v>
      </c>
      <c r="AB33" s="19">
        <v>9239.64</v>
      </c>
      <c r="AC33" s="19">
        <v>8767.6299999999992</v>
      </c>
      <c r="AD33" s="19">
        <f t="shared" si="8"/>
        <v>25973</v>
      </c>
      <c r="AE33" s="19">
        <v>8877.77</v>
      </c>
      <c r="AF33" s="19">
        <v>10347.02</v>
      </c>
      <c r="AG33" s="19">
        <v>11788.47</v>
      </c>
      <c r="AH33" s="19">
        <f t="shared" si="9"/>
        <v>31013.260000000002</v>
      </c>
      <c r="AI33" s="19">
        <v>8863.39</v>
      </c>
      <c r="AJ33" s="19">
        <v>9923.24</v>
      </c>
      <c r="AK33" s="19">
        <v>9818.9</v>
      </c>
      <c r="AL33" s="19">
        <f t="shared" si="10"/>
        <v>28605.53</v>
      </c>
      <c r="AM33" s="19">
        <v>8763.9500000000007</v>
      </c>
      <c r="AN33" s="19">
        <v>9851.5</v>
      </c>
      <c r="AO33" s="19">
        <v>10461.620000000001</v>
      </c>
      <c r="AP33" s="19">
        <f t="shared" si="11"/>
        <v>29077.07</v>
      </c>
      <c r="AQ33" s="19">
        <v>9353.92</v>
      </c>
      <c r="AR33" s="19">
        <v>10571.83</v>
      </c>
      <c r="AS33" s="19">
        <v>12902.61</v>
      </c>
      <c r="AT33" s="19">
        <f t="shared" si="12"/>
        <v>32828.36</v>
      </c>
      <c r="AU33" s="19">
        <v>8967.14</v>
      </c>
      <c r="AV33" s="19">
        <v>10286.34</v>
      </c>
      <c r="AW33" s="19">
        <v>10097.31</v>
      </c>
      <c r="AX33" s="19">
        <f t="shared" si="13"/>
        <v>29350.79</v>
      </c>
      <c r="AY33" s="19">
        <v>9961.9500000000007</v>
      </c>
      <c r="AZ33" s="19">
        <v>12751.58</v>
      </c>
      <c r="BA33" s="19">
        <v>10158.620000000001</v>
      </c>
      <c r="BB33" s="19">
        <f t="shared" si="14"/>
        <v>32872.15</v>
      </c>
    </row>
    <row r="34" spans="1:56" x14ac:dyDescent="0.3">
      <c r="A34" s="7">
        <v>29</v>
      </c>
      <c r="B34" s="2" t="s">
        <v>29</v>
      </c>
      <c r="C34" s="18">
        <f t="shared" si="0"/>
        <v>40621.449999999997</v>
      </c>
      <c r="D34" s="18">
        <f t="shared" si="1"/>
        <v>50244.58</v>
      </c>
      <c r="E34" s="18">
        <f t="shared" si="2"/>
        <v>67351.27</v>
      </c>
      <c r="F34" s="18">
        <f t="shared" si="15"/>
        <v>158217.29999999999</v>
      </c>
      <c r="G34" s="19">
        <v>4281.24</v>
      </c>
      <c r="H34" s="19">
        <v>5569.77</v>
      </c>
      <c r="I34" s="19">
        <v>6696.87</v>
      </c>
      <c r="J34" s="19">
        <f t="shared" si="3"/>
        <v>16547.88</v>
      </c>
      <c r="K34" s="19">
        <v>3121</v>
      </c>
      <c r="L34" s="19">
        <v>3792.1</v>
      </c>
      <c r="M34" s="19">
        <v>6039.23</v>
      </c>
      <c r="N34" s="19">
        <f t="shared" si="4"/>
        <v>12952.33</v>
      </c>
      <c r="O34" s="19">
        <v>3182.2</v>
      </c>
      <c r="P34" s="19">
        <v>3854.8</v>
      </c>
      <c r="Q34" s="19">
        <v>4747.49</v>
      </c>
      <c r="R34" s="19">
        <f t="shared" si="5"/>
        <v>11784.49</v>
      </c>
      <c r="S34" s="19">
        <v>3211.58</v>
      </c>
      <c r="T34" s="19">
        <v>3908.7</v>
      </c>
      <c r="U34" s="19">
        <v>5288.05</v>
      </c>
      <c r="V34" s="19">
        <f t="shared" si="6"/>
        <v>12408.33</v>
      </c>
      <c r="W34" s="19">
        <v>3308.49</v>
      </c>
      <c r="X34" s="19">
        <v>3958.77</v>
      </c>
      <c r="Y34" s="19">
        <v>5244.97</v>
      </c>
      <c r="Z34" s="19">
        <f t="shared" si="7"/>
        <v>12512.23</v>
      </c>
      <c r="AA34" s="19">
        <v>3154.49</v>
      </c>
      <c r="AB34" s="19">
        <v>3887.33</v>
      </c>
      <c r="AC34" s="19">
        <v>4959.3</v>
      </c>
      <c r="AD34" s="19">
        <f t="shared" si="8"/>
        <v>12001.119999999999</v>
      </c>
      <c r="AE34" s="19">
        <v>3308.58</v>
      </c>
      <c r="AF34" s="19">
        <v>4053.84</v>
      </c>
      <c r="AG34" s="19">
        <v>6083.89</v>
      </c>
      <c r="AH34" s="19">
        <f t="shared" si="9"/>
        <v>13446.310000000001</v>
      </c>
      <c r="AI34" s="19">
        <v>3151.61</v>
      </c>
      <c r="AJ34" s="19">
        <v>3877.95</v>
      </c>
      <c r="AK34" s="19">
        <v>5828.03</v>
      </c>
      <c r="AL34" s="19">
        <f t="shared" si="10"/>
        <v>12857.59</v>
      </c>
      <c r="AM34" s="19">
        <v>3122.37</v>
      </c>
      <c r="AN34" s="19">
        <v>3816.4</v>
      </c>
      <c r="AO34" s="19">
        <v>5045.8900000000003</v>
      </c>
      <c r="AP34" s="19">
        <f t="shared" si="11"/>
        <v>11984.66</v>
      </c>
      <c r="AQ34" s="19">
        <v>3656.2</v>
      </c>
      <c r="AR34" s="19">
        <v>4425.49</v>
      </c>
      <c r="AS34" s="19">
        <v>6094.15</v>
      </c>
      <c r="AT34" s="19">
        <f t="shared" si="12"/>
        <v>14175.84</v>
      </c>
      <c r="AU34" s="19">
        <v>3492.03</v>
      </c>
      <c r="AV34" s="19">
        <v>4353.21</v>
      </c>
      <c r="AW34" s="19">
        <v>6169.27</v>
      </c>
      <c r="AX34" s="19">
        <f t="shared" si="13"/>
        <v>14014.51</v>
      </c>
      <c r="AY34" s="19">
        <v>3631.66</v>
      </c>
      <c r="AZ34" s="19">
        <v>4746.22</v>
      </c>
      <c r="BA34" s="19">
        <v>5154.13</v>
      </c>
      <c r="BB34" s="19">
        <f t="shared" si="14"/>
        <v>13532.010000000002</v>
      </c>
    </row>
    <row r="35" spans="1:56" x14ac:dyDescent="0.3">
      <c r="A35" s="7">
        <v>30</v>
      </c>
      <c r="B35" s="2" t="s">
        <v>30</v>
      </c>
      <c r="C35" s="18">
        <f t="shared" si="0"/>
        <v>2157.4100000000003</v>
      </c>
      <c r="D35" s="18">
        <f t="shared" si="1"/>
        <v>2676.4199999999996</v>
      </c>
      <c r="E35" s="18">
        <f t="shared" si="2"/>
        <v>2116.7300000000005</v>
      </c>
      <c r="F35" s="18">
        <f t="shared" si="15"/>
        <v>6950.5599999999995</v>
      </c>
      <c r="G35" s="19">
        <v>238.28</v>
      </c>
      <c r="H35" s="19">
        <v>297.57</v>
      </c>
      <c r="I35" s="19">
        <v>263.73</v>
      </c>
      <c r="J35" s="19">
        <f t="shared" si="3"/>
        <v>799.58</v>
      </c>
      <c r="K35" s="19">
        <v>146.86000000000001</v>
      </c>
      <c r="L35" s="19">
        <v>191.6</v>
      </c>
      <c r="M35" s="19">
        <v>243.74</v>
      </c>
      <c r="N35" s="19">
        <f t="shared" si="4"/>
        <v>582.20000000000005</v>
      </c>
      <c r="O35" s="19">
        <v>153.78</v>
      </c>
      <c r="P35" s="19">
        <v>193.12</v>
      </c>
      <c r="Q35" s="19">
        <v>199.84</v>
      </c>
      <c r="R35" s="19">
        <f t="shared" si="5"/>
        <v>546.74</v>
      </c>
      <c r="S35" s="19">
        <v>169.3</v>
      </c>
      <c r="T35" s="19">
        <v>209.39</v>
      </c>
      <c r="U35" s="19">
        <v>205.05</v>
      </c>
      <c r="V35" s="19">
        <f t="shared" si="6"/>
        <v>583.74</v>
      </c>
      <c r="W35" s="19">
        <v>158.44</v>
      </c>
      <c r="X35" s="19">
        <v>193.19</v>
      </c>
      <c r="Y35" s="19">
        <v>191.61</v>
      </c>
      <c r="Z35" s="19">
        <f t="shared" si="7"/>
        <v>543.24</v>
      </c>
      <c r="AA35" s="19">
        <v>153.54</v>
      </c>
      <c r="AB35" s="19">
        <v>193.05</v>
      </c>
      <c r="AC35" s="19">
        <v>186.3</v>
      </c>
      <c r="AD35" s="19">
        <f t="shared" si="8"/>
        <v>532.8900000000001</v>
      </c>
      <c r="AE35" s="19">
        <v>175.47</v>
      </c>
      <c r="AF35" s="19">
        <v>214.68</v>
      </c>
      <c r="AG35" s="19">
        <v>152.49</v>
      </c>
      <c r="AH35" s="19">
        <f t="shared" si="9"/>
        <v>542.64</v>
      </c>
      <c r="AI35" s="19">
        <v>174.41</v>
      </c>
      <c r="AJ35" s="19">
        <v>213.81</v>
      </c>
      <c r="AK35" s="19">
        <v>128.05000000000001</v>
      </c>
      <c r="AL35" s="19">
        <f t="shared" si="10"/>
        <v>516.27</v>
      </c>
      <c r="AM35" s="19">
        <v>176.35</v>
      </c>
      <c r="AN35" s="19">
        <v>214.48</v>
      </c>
      <c r="AO35" s="19">
        <v>123.7</v>
      </c>
      <c r="AP35" s="19">
        <f t="shared" si="11"/>
        <v>514.53</v>
      </c>
      <c r="AQ35" s="19">
        <v>205.66</v>
      </c>
      <c r="AR35" s="19">
        <v>261.25</v>
      </c>
      <c r="AS35" s="19">
        <v>150.11000000000001</v>
      </c>
      <c r="AT35" s="19">
        <f t="shared" si="12"/>
        <v>617.02</v>
      </c>
      <c r="AU35" s="19">
        <v>205.5</v>
      </c>
      <c r="AV35" s="19">
        <v>251.56</v>
      </c>
      <c r="AW35" s="19">
        <v>132.75</v>
      </c>
      <c r="AX35" s="19">
        <f t="shared" si="13"/>
        <v>589.80999999999995</v>
      </c>
      <c r="AY35" s="19">
        <v>199.82</v>
      </c>
      <c r="AZ35" s="19">
        <v>242.72</v>
      </c>
      <c r="BA35" s="19">
        <v>139.36000000000001</v>
      </c>
      <c r="BB35" s="19">
        <f t="shared" si="14"/>
        <v>581.9</v>
      </c>
    </row>
    <row r="36" spans="1:56" x14ac:dyDescent="0.3">
      <c r="A36" s="7">
        <v>31</v>
      </c>
      <c r="B36" s="2" t="s">
        <v>31</v>
      </c>
      <c r="C36" s="18">
        <f t="shared" si="0"/>
        <v>5.5400000000000009</v>
      </c>
      <c r="D36" s="18">
        <f t="shared" si="1"/>
        <v>8.5500000000000007</v>
      </c>
      <c r="E36" s="18">
        <f t="shared" si="2"/>
        <v>11.35</v>
      </c>
      <c r="F36" s="18">
        <f t="shared" si="15"/>
        <v>25.44</v>
      </c>
      <c r="G36" s="19">
        <v>0.6</v>
      </c>
      <c r="H36" s="19">
        <v>1.47</v>
      </c>
      <c r="I36" s="19">
        <v>2.61</v>
      </c>
      <c r="J36" s="19">
        <f t="shared" si="3"/>
        <v>4.68</v>
      </c>
      <c r="K36" s="19">
        <v>0.84</v>
      </c>
      <c r="L36" s="19">
        <v>1.1100000000000001</v>
      </c>
      <c r="M36" s="19">
        <v>4.97</v>
      </c>
      <c r="N36" s="19">
        <f t="shared" si="4"/>
        <v>6.92</v>
      </c>
      <c r="O36" s="19">
        <v>0.5</v>
      </c>
      <c r="P36" s="19">
        <v>0.49</v>
      </c>
      <c r="Q36" s="19">
        <v>0.09</v>
      </c>
      <c r="R36" s="19">
        <f t="shared" si="5"/>
        <v>1.08</v>
      </c>
      <c r="S36" s="19">
        <v>0.13</v>
      </c>
      <c r="T36" s="19">
        <v>0.17</v>
      </c>
      <c r="U36" s="19">
        <v>0.26</v>
      </c>
      <c r="V36" s="19">
        <f t="shared" si="6"/>
        <v>0.56000000000000005</v>
      </c>
      <c r="W36" s="19">
        <v>0.17</v>
      </c>
      <c r="X36" s="19">
        <v>0.27</v>
      </c>
      <c r="Y36" s="19">
        <v>0.21</v>
      </c>
      <c r="Z36" s="19">
        <f t="shared" si="7"/>
        <v>0.65</v>
      </c>
      <c r="AA36" s="19">
        <v>0.2</v>
      </c>
      <c r="AB36" s="19">
        <v>0.21</v>
      </c>
      <c r="AC36" s="19">
        <v>1.17</v>
      </c>
      <c r="AD36" s="19">
        <f t="shared" si="8"/>
        <v>1.58</v>
      </c>
      <c r="AE36" s="19">
        <v>0.31</v>
      </c>
      <c r="AF36" s="19">
        <v>0.93</v>
      </c>
      <c r="AG36" s="19">
        <v>0.55000000000000004</v>
      </c>
      <c r="AH36" s="19">
        <f t="shared" si="9"/>
        <v>1.79</v>
      </c>
      <c r="AI36" s="19">
        <v>0.16</v>
      </c>
      <c r="AJ36" s="19">
        <v>0.37</v>
      </c>
      <c r="AK36" s="19">
        <v>0.1</v>
      </c>
      <c r="AL36" s="19">
        <f t="shared" si="10"/>
        <v>0.63</v>
      </c>
      <c r="AM36" s="19">
        <v>0.22</v>
      </c>
      <c r="AN36" s="19">
        <v>0.89</v>
      </c>
      <c r="AO36" s="19">
        <v>0.24</v>
      </c>
      <c r="AP36" s="19">
        <f t="shared" si="11"/>
        <v>1.35</v>
      </c>
      <c r="AQ36" s="19">
        <v>0.38</v>
      </c>
      <c r="AR36" s="19">
        <v>0.5</v>
      </c>
      <c r="AS36" s="19">
        <v>0.62</v>
      </c>
      <c r="AT36" s="19">
        <f t="shared" si="12"/>
        <v>1.5</v>
      </c>
      <c r="AU36" s="19">
        <v>0.43</v>
      </c>
      <c r="AV36" s="19">
        <v>0.44</v>
      </c>
      <c r="AW36" s="19">
        <v>0.11</v>
      </c>
      <c r="AX36" s="19">
        <f t="shared" si="13"/>
        <v>0.98</v>
      </c>
      <c r="AY36" s="19">
        <v>1.6</v>
      </c>
      <c r="AZ36" s="19">
        <v>1.7</v>
      </c>
      <c r="BA36" s="19">
        <v>0.42</v>
      </c>
      <c r="BB36" s="19">
        <f t="shared" si="14"/>
        <v>3.7199999999999998</v>
      </c>
    </row>
    <row r="37" spans="1:56" x14ac:dyDescent="0.3">
      <c r="A37" s="7">
        <v>32</v>
      </c>
      <c r="B37" s="2" t="s">
        <v>32</v>
      </c>
      <c r="C37" s="18">
        <f t="shared" si="0"/>
        <v>13168.84</v>
      </c>
      <c r="D37" s="18">
        <f t="shared" si="1"/>
        <v>16002.96</v>
      </c>
      <c r="E37" s="18">
        <f t="shared" si="2"/>
        <v>6773.33</v>
      </c>
      <c r="F37" s="18">
        <f t="shared" si="15"/>
        <v>35945.130000000005</v>
      </c>
      <c r="G37" s="19">
        <v>1228.6199999999999</v>
      </c>
      <c r="H37" s="19">
        <v>1517.54</v>
      </c>
      <c r="I37" s="19">
        <v>674.29</v>
      </c>
      <c r="J37" s="19">
        <f t="shared" si="3"/>
        <v>3420.45</v>
      </c>
      <c r="K37" s="19">
        <v>1007.61</v>
      </c>
      <c r="L37" s="19">
        <v>1265.26</v>
      </c>
      <c r="M37" s="19">
        <v>932.01</v>
      </c>
      <c r="N37" s="19">
        <f t="shared" si="4"/>
        <v>3204.88</v>
      </c>
      <c r="O37" s="19">
        <v>1055.46</v>
      </c>
      <c r="P37" s="19">
        <v>1304.5999999999999</v>
      </c>
      <c r="Q37" s="19">
        <v>489.64</v>
      </c>
      <c r="R37" s="19">
        <f t="shared" si="5"/>
        <v>2849.7</v>
      </c>
      <c r="S37" s="19">
        <v>998.2</v>
      </c>
      <c r="T37" s="19">
        <v>1203.01</v>
      </c>
      <c r="U37" s="19">
        <v>509.74</v>
      </c>
      <c r="V37" s="19">
        <f t="shared" si="6"/>
        <v>2710.95</v>
      </c>
      <c r="W37" s="19">
        <v>991.22</v>
      </c>
      <c r="X37" s="19">
        <v>1220.93</v>
      </c>
      <c r="Y37" s="19">
        <v>504.63</v>
      </c>
      <c r="Z37" s="19">
        <f t="shared" si="7"/>
        <v>2716.78</v>
      </c>
      <c r="AA37" s="19">
        <v>1058.05</v>
      </c>
      <c r="AB37" s="19">
        <v>1371.62</v>
      </c>
      <c r="AC37" s="19">
        <v>579.88</v>
      </c>
      <c r="AD37" s="19">
        <f t="shared" si="8"/>
        <v>3009.55</v>
      </c>
      <c r="AE37" s="19">
        <v>1060.6500000000001</v>
      </c>
      <c r="AF37" s="19">
        <v>1280.81</v>
      </c>
      <c r="AG37" s="19">
        <v>487.66</v>
      </c>
      <c r="AH37" s="19">
        <f t="shared" si="9"/>
        <v>2829.12</v>
      </c>
      <c r="AI37" s="19">
        <v>1097.56</v>
      </c>
      <c r="AJ37" s="19">
        <v>1304.25</v>
      </c>
      <c r="AK37" s="19">
        <v>498.53</v>
      </c>
      <c r="AL37" s="19">
        <f t="shared" si="10"/>
        <v>2900.34</v>
      </c>
      <c r="AM37" s="19">
        <v>1038.4100000000001</v>
      </c>
      <c r="AN37" s="19">
        <v>1235.9100000000001</v>
      </c>
      <c r="AO37" s="19">
        <v>477.7</v>
      </c>
      <c r="AP37" s="19">
        <f t="shared" si="11"/>
        <v>2752.02</v>
      </c>
      <c r="AQ37" s="19">
        <v>1239.28</v>
      </c>
      <c r="AR37" s="19">
        <v>1488.5</v>
      </c>
      <c r="AS37" s="19">
        <v>532.61</v>
      </c>
      <c r="AT37" s="19">
        <f t="shared" si="12"/>
        <v>3260.39</v>
      </c>
      <c r="AU37" s="19">
        <v>1220.6400000000001</v>
      </c>
      <c r="AV37" s="19">
        <v>1437.55</v>
      </c>
      <c r="AW37" s="19">
        <v>561.89</v>
      </c>
      <c r="AX37" s="19">
        <f t="shared" si="13"/>
        <v>3220.08</v>
      </c>
      <c r="AY37" s="19">
        <v>1173.1400000000001</v>
      </c>
      <c r="AZ37" s="19">
        <v>1372.98</v>
      </c>
      <c r="BA37" s="19">
        <v>524.75</v>
      </c>
      <c r="BB37" s="19">
        <f t="shared" si="14"/>
        <v>3070.87</v>
      </c>
    </row>
    <row r="38" spans="1:56" x14ac:dyDescent="0.3">
      <c r="A38" s="7">
        <v>33</v>
      </c>
      <c r="B38" s="2" t="s">
        <v>33</v>
      </c>
      <c r="C38" s="18">
        <f t="shared" si="0"/>
        <v>36968.18</v>
      </c>
      <c r="D38" s="18">
        <f t="shared" si="1"/>
        <v>47618.560000000005</v>
      </c>
      <c r="E38" s="18">
        <f t="shared" si="2"/>
        <v>45661.34</v>
      </c>
      <c r="F38" s="18">
        <f t="shared" si="15"/>
        <v>130248.08</v>
      </c>
      <c r="G38" s="20">
        <v>3815.04</v>
      </c>
      <c r="H38" s="20">
        <v>4848.4399999999996</v>
      </c>
      <c r="I38" s="20">
        <v>4332.3100000000004</v>
      </c>
      <c r="J38" s="20">
        <f t="shared" si="3"/>
        <v>12995.79</v>
      </c>
      <c r="K38" s="20">
        <v>2983.15</v>
      </c>
      <c r="L38" s="20">
        <v>3909.9</v>
      </c>
      <c r="M38" s="20">
        <v>4688.57</v>
      </c>
      <c r="N38" s="20">
        <f t="shared" si="4"/>
        <v>11581.619999999999</v>
      </c>
      <c r="O38" s="20">
        <v>2886.21</v>
      </c>
      <c r="P38" s="20">
        <v>3727.98</v>
      </c>
      <c r="Q38" s="20">
        <v>3348.63</v>
      </c>
      <c r="R38" s="20">
        <f t="shared" si="5"/>
        <v>9962.82</v>
      </c>
      <c r="S38" s="20">
        <v>2987.26</v>
      </c>
      <c r="T38" s="20">
        <v>3819.54</v>
      </c>
      <c r="U38" s="20">
        <v>3729.51</v>
      </c>
      <c r="V38" s="20">
        <f t="shared" si="6"/>
        <v>10536.310000000001</v>
      </c>
      <c r="W38" s="20">
        <v>3105.19</v>
      </c>
      <c r="X38" s="20">
        <v>4038.01</v>
      </c>
      <c r="Y38" s="20">
        <v>3185.78</v>
      </c>
      <c r="Z38" s="20">
        <f t="shared" si="7"/>
        <v>10328.980000000001</v>
      </c>
      <c r="AA38" s="20">
        <v>3069.98</v>
      </c>
      <c r="AB38" s="20">
        <v>4018.26</v>
      </c>
      <c r="AC38" s="20">
        <v>3581.41</v>
      </c>
      <c r="AD38" s="20">
        <f t="shared" si="8"/>
        <v>10669.65</v>
      </c>
      <c r="AE38" s="20">
        <v>3108.62</v>
      </c>
      <c r="AF38" s="20">
        <v>4038.98</v>
      </c>
      <c r="AG38" s="20">
        <v>4150.0200000000004</v>
      </c>
      <c r="AH38" s="20">
        <f t="shared" si="9"/>
        <v>11297.62</v>
      </c>
      <c r="AI38" s="20">
        <v>3009.29</v>
      </c>
      <c r="AJ38" s="20">
        <v>3763.78</v>
      </c>
      <c r="AK38" s="20">
        <v>3442.15</v>
      </c>
      <c r="AL38" s="20">
        <f t="shared" si="10"/>
        <v>10215.219999999999</v>
      </c>
      <c r="AM38" s="20">
        <v>2723.31</v>
      </c>
      <c r="AN38" s="20">
        <v>3598.48</v>
      </c>
      <c r="AO38" s="20">
        <v>3454.14</v>
      </c>
      <c r="AP38" s="20">
        <f t="shared" si="11"/>
        <v>9775.93</v>
      </c>
      <c r="AQ38" s="20">
        <v>3066.33</v>
      </c>
      <c r="AR38" s="20">
        <v>3947.34</v>
      </c>
      <c r="AS38" s="20">
        <v>3893.34</v>
      </c>
      <c r="AT38" s="20">
        <f t="shared" si="12"/>
        <v>10907.01</v>
      </c>
      <c r="AU38" s="20">
        <v>2960.59</v>
      </c>
      <c r="AV38" s="20">
        <v>3713.25</v>
      </c>
      <c r="AW38" s="20">
        <v>4335.3500000000004</v>
      </c>
      <c r="AX38" s="20">
        <f t="shared" si="13"/>
        <v>11009.19</v>
      </c>
      <c r="AY38" s="20">
        <v>3253.21</v>
      </c>
      <c r="AZ38" s="20">
        <v>4194.6000000000004</v>
      </c>
      <c r="BA38" s="20">
        <v>3520.13</v>
      </c>
      <c r="BB38" s="20">
        <f t="shared" si="14"/>
        <v>10967.94</v>
      </c>
    </row>
    <row r="39" spans="1:56" x14ac:dyDescent="0.3">
      <c r="A39" s="7">
        <v>34</v>
      </c>
      <c r="B39" s="2" t="s">
        <v>34</v>
      </c>
      <c r="C39" s="18">
        <f t="shared" si="0"/>
        <v>403.81999999999988</v>
      </c>
      <c r="D39" s="18">
        <f t="shared" si="1"/>
        <v>578.34</v>
      </c>
      <c r="E39" s="18">
        <f t="shared" si="2"/>
        <v>1676.69</v>
      </c>
      <c r="F39" s="18">
        <f t="shared" si="15"/>
        <v>2658.8500000000004</v>
      </c>
      <c r="G39" s="20">
        <v>37.81</v>
      </c>
      <c r="H39" s="20">
        <v>57.07</v>
      </c>
      <c r="I39" s="20">
        <v>170.97</v>
      </c>
      <c r="J39" s="20">
        <f t="shared" si="3"/>
        <v>265.85000000000002</v>
      </c>
      <c r="K39" s="20">
        <v>29.92</v>
      </c>
      <c r="L39" s="20">
        <v>45.01</v>
      </c>
      <c r="M39" s="20">
        <v>198.85</v>
      </c>
      <c r="N39" s="20">
        <f t="shared" si="4"/>
        <v>273.77999999999997</v>
      </c>
      <c r="O39" s="20">
        <v>31.38</v>
      </c>
      <c r="P39" s="20">
        <v>47.54</v>
      </c>
      <c r="Q39" s="20">
        <v>161.15</v>
      </c>
      <c r="R39" s="20">
        <f t="shared" si="5"/>
        <v>240.07</v>
      </c>
      <c r="S39" s="20">
        <v>32.97</v>
      </c>
      <c r="T39" s="20">
        <v>46.59</v>
      </c>
      <c r="U39" s="20">
        <v>164.74</v>
      </c>
      <c r="V39" s="20">
        <f t="shared" si="6"/>
        <v>244.3</v>
      </c>
      <c r="W39" s="20">
        <v>31.16</v>
      </c>
      <c r="X39" s="20">
        <v>46.8</v>
      </c>
      <c r="Y39" s="20">
        <v>147.1</v>
      </c>
      <c r="Z39" s="20">
        <f t="shared" si="7"/>
        <v>225.06</v>
      </c>
      <c r="AA39" s="20">
        <v>34.75</v>
      </c>
      <c r="AB39" s="20">
        <v>47.67</v>
      </c>
      <c r="AC39" s="20">
        <v>177.04</v>
      </c>
      <c r="AD39" s="20">
        <f t="shared" si="8"/>
        <v>259.45999999999998</v>
      </c>
      <c r="AE39" s="20">
        <v>35.01</v>
      </c>
      <c r="AF39" s="20">
        <v>46.58</v>
      </c>
      <c r="AG39" s="20">
        <v>109.78</v>
      </c>
      <c r="AH39" s="20">
        <f t="shared" si="9"/>
        <v>191.37</v>
      </c>
      <c r="AI39" s="20">
        <v>31.49</v>
      </c>
      <c r="AJ39" s="20">
        <v>44.86</v>
      </c>
      <c r="AK39" s="20">
        <v>91.82</v>
      </c>
      <c r="AL39" s="20">
        <f t="shared" si="10"/>
        <v>168.17</v>
      </c>
      <c r="AM39" s="20">
        <v>32.64</v>
      </c>
      <c r="AN39" s="20">
        <v>43.87</v>
      </c>
      <c r="AO39" s="20">
        <v>93.36</v>
      </c>
      <c r="AP39" s="20">
        <f t="shared" si="11"/>
        <v>169.87</v>
      </c>
      <c r="AQ39" s="20">
        <v>38.33</v>
      </c>
      <c r="AR39" s="20">
        <v>59.36</v>
      </c>
      <c r="AS39" s="20">
        <v>119.46</v>
      </c>
      <c r="AT39" s="20">
        <f t="shared" si="12"/>
        <v>217.14999999999998</v>
      </c>
      <c r="AU39" s="20">
        <v>32.909999999999997</v>
      </c>
      <c r="AV39" s="20">
        <v>45.09</v>
      </c>
      <c r="AW39" s="20">
        <v>114.01</v>
      </c>
      <c r="AX39" s="20">
        <f t="shared" si="13"/>
        <v>192.01</v>
      </c>
      <c r="AY39" s="20">
        <v>35.450000000000003</v>
      </c>
      <c r="AZ39" s="20">
        <v>47.9</v>
      </c>
      <c r="BA39" s="20">
        <v>128.41</v>
      </c>
      <c r="BB39" s="20">
        <f t="shared" si="14"/>
        <v>211.76</v>
      </c>
    </row>
    <row r="40" spans="1:56" x14ac:dyDescent="0.3">
      <c r="A40" s="7">
        <v>35</v>
      </c>
      <c r="B40" s="3" t="s">
        <v>42</v>
      </c>
      <c r="C40" s="18">
        <f t="shared" si="0"/>
        <v>196.25</v>
      </c>
      <c r="D40" s="18">
        <f t="shared" si="1"/>
        <v>245.31</v>
      </c>
      <c r="E40" s="18">
        <f t="shared" si="2"/>
        <v>130.66</v>
      </c>
      <c r="F40" s="18">
        <f t="shared" si="15"/>
        <v>572.22</v>
      </c>
      <c r="G40" s="19">
        <v>23.83</v>
      </c>
      <c r="H40" s="19">
        <v>30.13</v>
      </c>
      <c r="I40" s="19">
        <v>24.03</v>
      </c>
      <c r="J40" s="19">
        <f t="shared" si="3"/>
        <v>77.989999999999995</v>
      </c>
      <c r="K40" s="19">
        <v>14.71</v>
      </c>
      <c r="L40" s="19">
        <v>18.63</v>
      </c>
      <c r="M40" s="19">
        <v>19.52</v>
      </c>
      <c r="N40" s="19">
        <f t="shared" si="4"/>
        <v>52.86</v>
      </c>
      <c r="O40" s="19">
        <v>12.59</v>
      </c>
      <c r="P40" s="19">
        <v>15.28</v>
      </c>
      <c r="Q40" s="19">
        <v>4.12</v>
      </c>
      <c r="R40" s="19">
        <f t="shared" si="5"/>
        <v>31.99</v>
      </c>
      <c r="S40" s="19">
        <v>16.93</v>
      </c>
      <c r="T40" s="19">
        <v>20.7</v>
      </c>
      <c r="U40" s="19">
        <v>13.76</v>
      </c>
      <c r="V40" s="19">
        <f t="shared" si="6"/>
        <v>51.389999999999993</v>
      </c>
      <c r="W40" s="19">
        <v>12.28</v>
      </c>
      <c r="X40" s="19">
        <v>15.08</v>
      </c>
      <c r="Y40" s="19">
        <v>9.44</v>
      </c>
      <c r="Z40" s="19">
        <f t="shared" si="7"/>
        <v>36.799999999999997</v>
      </c>
      <c r="AA40" s="19">
        <v>12.05</v>
      </c>
      <c r="AB40" s="19">
        <v>15.03</v>
      </c>
      <c r="AC40" s="19">
        <v>7.77</v>
      </c>
      <c r="AD40" s="19">
        <f t="shared" si="8"/>
        <v>34.849999999999994</v>
      </c>
      <c r="AE40" s="19">
        <v>12.87</v>
      </c>
      <c r="AF40" s="19">
        <v>16.18</v>
      </c>
      <c r="AG40" s="19">
        <v>6.9</v>
      </c>
      <c r="AH40" s="19">
        <f t="shared" si="9"/>
        <v>35.949999999999996</v>
      </c>
      <c r="AI40" s="19">
        <v>13.32</v>
      </c>
      <c r="AJ40" s="19">
        <v>18.07</v>
      </c>
      <c r="AK40" s="19">
        <v>9.3000000000000007</v>
      </c>
      <c r="AL40" s="19">
        <f t="shared" si="10"/>
        <v>40.69</v>
      </c>
      <c r="AM40" s="19">
        <v>15.3</v>
      </c>
      <c r="AN40" s="19">
        <v>18.82</v>
      </c>
      <c r="AO40" s="19">
        <v>10.029999999999999</v>
      </c>
      <c r="AP40" s="19">
        <f t="shared" si="11"/>
        <v>44.150000000000006</v>
      </c>
      <c r="AQ40" s="19">
        <v>17.100000000000001</v>
      </c>
      <c r="AR40" s="19">
        <v>20.54</v>
      </c>
      <c r="AS40" s="19">
        <v>8.9700000000000006</v>
      </c>
      <c r="AT40" s="19">
        <f t="shared" si="12"/>
        <v>46.61</v>
      </c>
      <c r="AU40" s="19">
        <v>21.39</v>
      </c>
      <c r="AV40" s="19">
        <v>24.49</v>
      </c>
      <c r="AW40" s="19">
        <v>8.48</v>
      </c>
      <c r="AX40" s="19">
        <f t="shared" si="13"/>
        <v>54.36</v>
      </c>
      <c r="AY40" s="19">
        <v>23.88</v>
      </c>
      <c r="AZ40" s="19">
        <v>32.36</v>
      </c>
      <c r="BA40" s="19">
        <v>8.34</v>
      </c>
      <c r="BB40" s="19">
        <f t="shared" si="14"/>
        <v>64.58</v>
      </c>
    </row>
    <row r="41" spans="1:56" x14ac:dyDescent="0.3">
      <c r="A41" s="7">
        <v>36</v>
      </c>
      <c r="B41" s="2" t="s">
        <v>35</v>
      </c>
      <c r="C41" s="18">
        <f t="shared" si="0"/>
        <v>18212.419999999998</v>
      </c>
      <c r="D41" s="18">
        <f t="shared" si="1"/>
        <v>22684.720000000001</v>
      </c>
      <c r="E41" s="18">
        <f t="shared" si="2"/>
        <v>19942.53</v>
      </c>
      <c r="F41" s="18">
        <f t="shared" si="15"/>
        <v>60839.669999999991</v>
      </c>
      <c r="G41" s="19">
        <v>1776.04</v>
      </c>
      <c r="H41" s="19">
        <v>2230.13</v>
      </c>
      <c r="I41" s="19">
        <v>2369.83</v>
      </c>
      <c r="J41" s="19">
        <f t="shared" si="3"/>
        <v>6376</v>
      </c>
      <c r="K41" s="19">
        <v>1363.47</v>
      </c>
      <c r="L41" s="19">
        <v>1715.08</v>
      </c>
      <c r="M41" s="19">
        <v>1671.51</v>
      </c>
      <c r="N41" s="19">
        <f t="shared" si="4"/>
        <v>4750.0600000000004</v>
      </c>
      <c r="O41" s="19">
        <v>1335.65</v>
      </c>
      <c r="P41" s="19">
        <v>1707.52</v>
      </c>
      <c r="Q41" s="19">
        <v>1504.51</v>
      </c>
      <c r="R41" s="19">
        <f t="shared" si="5"/>
        <v>4547.68</v>
      </c>
      <c r="S41" s="19">
        <v>1404.33</v>
      </c>
      <c r="T41" s="19">
        <v>1824.02</v>
      </c>
      <c r="U41" s="19">
        <v>1642.73</v>
      </c>
      <c r="V41" s="19">
        <f t="shared" si="6"/>
        <v>4871.08</v>
      </c>
      <c r="W41" s="19">
        <v>1335.67</v>
      </c>
      <c r="X41" s="19">
        <v>1688.75</v>
      </c>
      <c r="Y41" s="19">
        <v>1587.69</v>
      </c>
      <c r="Z41" s="19">
        <f t="shared" si="7"/>
        <v>4612.1100000000006</v>
      </c>
      <c r="AA41" s="19">
        <v>1326.65</v>
      </c>
      <c r="AB41" s="19">
        <v>1693.06</v>
      </c>
      <c r="AC41" s="19">
        <v>1492.46</v>
      </c>
      <c r="AD41" s="19">
        <f t="shared" si="8"/>
        <v>4512.17</v>
      </c>
      <c r="AE41" s="19">
        <v>1567.25</v>
      </c>
      <c r="AF41" s="19">
        <v>1939.53</v>
      </c>
      <c r="AG41" s="19">
        <v>1737.26</v>
      </c>
      <c r="AH41" s="19">
        <f t="shared" si="9"/>
        <v>5244.04</v>
      </c>
      <c r="AI41" s="19">
        <v>1432.55</v>
      </c>
      <c r="AJ41" s="19">
        <v>1808.9</v>
      </c>
      <c r="AK41" s="19">
        <v>1369.44</v>
      </c>
      <c r="AL41" s="19">
        <f t="shared" si="10"/>
        <v>4610.8899999999994</v>
      </c>
      <c r="AM41" s="19">
        <v>1498.72</v>
      </c>
      <c r="AN41" s="19">
        <v>1761.64</v>
      </c>
      <c r="AO41" s="19">
        <v>1262.52</v>
      </c>
      <c r="AP41" s="19">
        <f t="shared" si="11"/>
        <v>4522.88</v>
      </c>
      <c r="AQ41" s="19">
        <v>1760.95</v>
      </c>
      <c r="AR41" s="19">
        <v>2189.96</v>
      </c>
      <c r="AS41" s="19">
        <v>1753.26</v>
      </c>
      <c r="AT41" s="19">
        <f t="shared" si="12"/>
        <v>5704.17</v>
      </c>
      <c r="AU41" s="19">
        <v>1609.18</v>
      </c>
      <c r="AV41" s="19">
        <v>1958.29</v>
      </c>
      <c r="AW41" s="19">
        <v>1699.7</v>
      </c>
      <c r="AX41" s="19">
        <f t="shared" si="13"/>
        <v>5267.17</v>
      </c>
      <c r="AY41" s="19">
        <v>1801.96</v>
      </c>
      <c r="AZ41" s="19">
        <v>2167.84</v>
      </c>
      <c r="BA41" s="19">
        <v>1851.62</v>
      </c>
      <c r="BB41" s="19">
        <f t="shared" si="14"/>
        <v>5821.42</v>
      </c>
    </row>
    <row r="42" spans="1:56" x14ac:dyDescent="0.3">
      <c r="A42" s="7">
        <v>37</v>
      </c>
      <c r="B42" s="2" t="s">
        <v>36</v>
      </c>
      <c r="C42" s="18">
        <f t="shared" si="0"/>
        <v>11718.839999999998</v>
      </c>
      <c r="D42" s="18">
        <f t="shared" si="1"/>
        <v>15211.460000000001</v>
      </c>
      <c r="E42" s="18">
        <f t="shared" si="2"/>
        <v>15466.89</v>
      </c>
      <c r="F42" s="18">
        <f t="shared" si="15"/>
        <v>42397.189999999995</v>
      </c>
      <c r="G42" s="19">
        <v>1253.56</v>
      </c>
      <c r="H42" s="19">
        <v>1611.43</v>
      </c>
      <c r="I42" s="19">
        <v>1578.92</v>
      </c>
      <c r="J42" s="19">
        <f t="shared" si="3"/>
        <v>4443.91</v>
      </c>
      <c r="K42" s="19">
        <v>941.23</v>
      </c>
      <c r="L42" s="19">
        <v>1189.75</v>
      </c>
      <c r="M42" s="19">
        <v>1464.68</v>
      </c>
      <c r="N42" s="19">
        <f t="shared" si="4"/>
        <v>3595.66</v>
      </c>
      <c r="O42" s="19">
        <v>924.15</v>
      </c>
      <c r="P42" s="19">
        <v>1225.4000000000001</v>
      </c>
      <c r="Q42" s="19">
        <v>1228.5899999999999</v>
      </c>
      <c r="R42" s="19">
        <f t="shared" si="5"/>
        <v>3378.1400000000003</v>
      </c>
      <c r="S42" s="19">
        <v>957.52</v>
      </c>
      <c r="T42" s="19">
        <v>1226.3499999999999</v>
      </c>
      <c r="U42" s="19">
        <v>1348.39</v>
      </c>
      <c r="V42" s="19">
        <f t="shared" si="6"/>
        <v>3532.26</v>
      </c>
      <c r="W42" s="19">
        <v>1048.75</v>
      </c>
      <c r="X42" s="19">
        <v>1364.26</v>
      </c>
      <c r="Y42" s="19">
        <v>1297.05</v>
      </c>
      <c r="Z42" s="19">
        <f t="shared" si="7"/>
        <v>3710.0600000000004</v>
      </c>
      <c r="AA42" s="19">
        <v>934.79</v>
      </c>
      <c r="AB42" s="19">
        <v>1184.4000000000001</v>
      </c>
      <c r="AC42" s="19">
        <v>1265.3</v>
      </c>
      <c r="AD42" s="19">
        <f t="shared" si="8"/>
        <v>3384.49</v>
      </c>
      <c r="AE42" s="19">
        <v>966.13</v>
      </c>
      <c r="AF42" s="19">
        <v>1247.25</v>
      </c>
      <c r="AG42" s="19">
        <v>1249.45</v>
      </c>
      <c r="AH42" s="19">
        <f t="shared" si="9"/>
        <v>3462.83</v>
      </c>
      <c r="AI42" s="19">
        <v>872.4</v>
      </c>
      <c r="AJ42" s="19">
        <v>1109.17</v>
      </c>
      <c r="AK42" s="19">
        <v>997.88</v>
      </c>
      <c r="AL42" s="19">
        <f t="shared" si="10"/>
        <v>2979.4500000000003</v>
      </c>
      <c r="AM42" s="19">
        <v>873.5</v>
      </c>
      <c r="AN42" s="19">
        <v>1102.44</v>
      </c>
      <c r="AO42" s="19">
        <v>1123.5</v>
      </c>
      <c r="AP42" s="19">
        <f t="shared" si="11"/>
        <v>3099.44</v>
      </c>
      <c r="AQ42" s="19">
        <v>1007.68</v>
      </c>
      <c r="AR42" s="19">
        <v>1283.73</v>
      </c>
      <c r="AS42" s="19">
        <v>1183.23</v>
      </c>
      <c r="AT42" s="19">
        <f t="shared" si="12"/>
        <v>3474.64</v>
      </c>
      <c r="AU42" s="19">
        <v>983.06</v>
      </c>
      <c r="AV42" s="19">
        <v>1251.44</v>
      </c>
      <c r="AW42" s="19">
        <v>1328.5</v>
      </c>
      <c r="AX42" s="19">
        <f t="shared" si="13"/>
        <v>3563</v>
      </c>
      <c r="AY42" s="19">
        <v>956.07</v>
      </c>
      <c r="AZ42" s="19">
        <v>1415.84</v>
      </c>
      <c r="BA42" s="19">
        <v>1401.4</v>
      </c>
      <c r="BB42" s="19">
        <f t="shared" si="14"/>
        <v>3773.31</v>
      </c>
    </row>
    <row r="43" spans="1:56" x14ac:dyDescent="0.3">
      <c r="A43" s="7">
        <v>38</v>
      </c>
      <c r="B43" s="2" t="s">
        <v>37</v>
      </c>
      <c r="C43" s="18">
        <f t="shared" si="0"/>
        <v>204.01</v>
      </c>
      <c r="D43" s="18">
        <f t="shared" si="1"/>
        <v>272.94</v>
      </c>
      <c r="E43" s="18">
        <f t="shared" si="2"/>
        <v>62.280000000000008</v>
      </c>
      <c r="F43" s="18">
        <f t="shared" si="15"/>
        <v>539.23</v>
      </c>
      <c r="G43" s="19">
        <v>29.65</v>
      </c>
      <c r="H43" s="19">
        <v>37.08</v>
      </c>
      <c r="I43" s="19">
        <v>4.84</v>
      </c>
      <c r="J43" s="19">
        <f t="shared" si="3"/>
        <v>71.569999999999993</v>
      </c>
      <c r="K43" s="19">
        <v>8.58</v>
      </c>
      <c r="L43" s="19">
        <v>11.35</v>
      </c>
      <c r="M43" s="19">
        <v>9.35</v>
      </c>
      <c r="N43" s="19">
        <f t="shared" si="4"/>
        <v>29.28</v>
      </c>
      <c r="O43" s="19">
        <v>11.07</v>
      </c>
      <c r="P43" s="19">
        <v>13.76</v>
      </c>
      <c r="Q43" s="19">
        <v>3.14</v>
      </c>
      <c r="R43" s="19">
        <f t="shared" si="5"/>
        <v>27.97</v>
      </c>
      <c r="S43" s="19">
        <v>16.14</v>
      </c>
      <c r="T43" s="19">
        <v>22.23</v>
      </c>
      <c r="U43" s="19">
        <v>3.53</v>
      </c>
      <c r="V43" s="19">
        <f t="shared" si="6"/>
        <v>41.900000000000006</v>
      </c>
      <c r="W43" s="19">
        <v>13.25</v>
      </c>
      <c r="X43" s="19">
        <v>18.11</v>
      </c>
      <c r="Y43" s="19">
        <v>3.58</v>
      </c>
      <c r="Z43" s="19">
        <f t="shared" si="7"/>
        <v>34.94</v>
      </c>
      <c r="AA43" s="19">
        <v>15.78</v>
      </c>
      <c r="AB43" s="19">
        <v>22.97</v>
      </c>
      <c r="AC43" s="19">
        <v>4.7699999999999996</v>
      </c>
      <c r="AD43" s="19">
        <f t="shared" si="8"/>
        <v>43.519999999999996</v>
      </c>
      <c r="AE43" s="19">
        <v>29.94</v>
      </c>
      <c r="AF43" s="19">
        <v>42.79</v>
      </c>
      <c r="AG43" s="19">
        <v>5.68</v>
      </c>
      <c r="AH43" s="19">
        <f t="shared" si="9"/>
        <v>78.41</v>
      </c>
      <c r="AI43" s="19">
        <v>16.16</v>
      </c>
      <c r="AJ43" s="19">
        <v>24.7</v>
      </c>
      <c r="AK43" s="19">
        <v>4.8899999999999997</v>
      </c>
      <c r="AL43" s="19">
        <f t="shared" si="10"/>
        <v>45.75</v>
      </c>
      <c r="AM43" s="19">
        <v>14.1</v>
      </c>
      <c r="AN43" s="19">
        <v>18.14</v>
      </c>
      <c r="AO43" s="19">
        <v>6.09</v>
      </c>
      <c r="AP43" s="19">
        <f t="shared" si="11"/>
        <v>38.33</v>
      </c>
      <c r="AQ43" s="19">
        <v>24.04</v>
      </c>
      <c r="AR43" s="19">
        <v>30.94</v>
      </c>
      <c r="AS43" s="19">
        <v>8.25</v>
      </c>
      <c r="AT43" s="19">
        <f t="shared" si="12"/>
        <v>63.230000000000004</v>
      </c>
      <c r="AU43" s="19">
        <v>10.119999999999999</v>
      </c>
      <c r="AV43" s="19">
        <v>12.49</v>
      </c>
      <c r="AW43" s="19">
        <v>3.49</v>
      </c>
      <c r="AX43" s="19">
        <f t="shared" si="13"/>
        <v>26.1</v>
      </c>
      <c r="AY43" s="19">
        <v>15.18</v>
      </c>
      <c r="AZ43" s="19">
        <v>18.38</v>
      </c>
      <c r="BA43" s="19">
        <v>4.67</v>
      </c>
      <c r="BB43" s="19">
        <f t="shared" si="14"/>
        <v>38.230000000000004</v>
      </c>
    </row>
    <row r="44" spans="1:56" x14ac:dyDescent="0.3">
      <c r="A44" s="7">
        <v>97</v>
      </c>
      <c r="B44" s="4" t="s">
        <v>38</v>
      </c>
      <c r="C44" s="18">
        <f t="shared" si="0"/>
        <v>296.37</v>
      </c>
      <c r="D44" s="18">
        <f t="shared" si="1"/>
        <v>403.87</v>
      </c>
      <c r="E44" s="18">
        <f t="shared" si="2"/>
        <v>2070.5299999999997</v>
      </c>
      <c r="F44" s="18">
        <f t="shared" si="15"/>
        <v>2770.77</v>
      </c>
      <c r="G44" s="19">
        <v>19.809999999999999</v>
      </c>
      <c r="H44" s="19">
        <v>23.8</v>
      </c>
      <c r="I44" s="19">
        <v>217.74</v>
      </c>
      <c r="J44" s="19">
        <f t="shared" si="3"/>
        <v>261.35000000000002</v>
      </c>
      <c r="K44" s="19">
        <v>22.51</v>
      </c>
      <c r="L44" s="19">
        <v>26.91</v>
      </c>
      <c r="M44" s="19">
        <v>162.63</v>
      </c>
      <c r="N44" s="19">
        <f t="shared" si="4"/>
        <v>212.05</v>
      </c>
      <c r="O44" s="19">
        <v>29.63</v>
      </c>
      <c r="P44" s="19">
        <v>40.74</v>
      </c>
      <c r="Q44" s="19">
        <v>157.44999999999999</v>
      </c>
      <c r="R44" s="19">
        <f t="shared" si="5"/>
        <v>227.82</v>
      </c>
      <c r="S44" s="19">
        <v>22.22</v>
      </c>
      <c r="T44" s="19">
        <v>33.28</v>
      </c>
      <c r="U44" s="19">
        <v>156.82</v>
      </c>
      <c r="V44" s="19">
        <f t="shared" si="6"/>
        <v>212.32</v>
      </c>
      <c r="W44" s="19">
        <v>17.170000000000002</v>
      </c>
      <c r="X44" s="19">
        <v>23.92</v>
      </c>
      <c r="Y44" s="19">
        <v>158.44999999999999</v>
      </c>
      <c r="Z44" s="19">
        <f t="shared" si="7"/>
        <v>199.54</v>
      </c>
      <c r="AA44" s="19">
        <v>14.34</v>
      </c>
      <c r="AB44" s="19">
        <v>19.100000000000001</v>
      </c>
      <c r="AC44" s="19">
        <v>172.97</v>
      </c>
      <c r="AD44" s="19">
        <f t="shared" si="8"/>
        <v>206.41</v>
      </c>
      <c r="AE44" s="19">
        <v>28.76</v>
      </c>
      <c r="AF44" s="19">
        <v>39.14</v>
      </c>
      <c r="AG44" s="19">
        <v>178.65</v>
      </c>
      <c r="AH44" s="19">
        <f t="shared" si="9"/>
        <v>246.55</v>
      </c>
      <c r="AI44" s="19">
        <v>10.130000000000001</v>
      </c>
      <c r="AJ44" s="19">
        <v>16.2</v>
      </c>
      <c r="AK44" s="19">
        <v>172.19</v>
      </c>
      <c r="AL44" s="19">
        <f t="shared" si="10"/>
        <v>198.51999999999998</v>
      </c>
      <c r="AM44" s="19">
        <v>24.35</v>
      </c>
      <c r="AN44" s="19">
        <v>33.840000000000003</v>
      </c>
      <c r="AO44" s="19">
        <v>168.87</v>
      </c>
      <c r="AP44" s="19">
        <f t="shared" si="11"/>
        <v>227.06</v>
      </c>
      <c r="AQ44" s="19">
        <v>33.4</v>
      </c>
      <c r="AR44" s="19">
        <v>49.25</v>
      </c>
      <c r="AS44" s="19">
        <v>176.77</v>
      </c>
      <c r="AT44" s="19">
        <f t="shared" si="12"/>
        <v>259.42</v>
      </c>
      <c r="AU44" s="19">
        <v>33.47</v>
      </c>
      <c r="AV44" s="19">
        <v>40.6</v>
      </c>
      <c r="AW44" s="19">
        <v>176.75</v>
      </c>
      <c r="AX44" s="19">
        <f t="shared" si="13"/>
        <v>250.82</v>
      </c>
      <c r="AY44" s="19">
        <v>40.58</v>
      </c>
      <c r="AZ44" s="19">
        <v>57.09</v>
      </c>
      <c r="BA44" s="19">
        <v>171.24</v>
      </c>
      <c r="BB44" s="19">
        <f t="shared" si="14"/>
        <v>268.91000000000003</v>
      </c>
    </row>
    <row r="45" spans="1:56" x14ac:dyDescent="0.3">
      <c r="A45" s="7">
        <v>99</v>
      </c>
      <c r="B45" s="4" t="s">
        <v>63</v>
      </c>
      <c r="C45" s="18">
        <f t="shared" si="0"/>
        <v>0</v>
      </c>
      <c r="D45" s="18">
        <f t="shared" si="1"/>
        <v>0</v>
      </c>
      <c r="E45" s="18">
        <f t="shared" si="2"/>
        <v>4487.79</v>
      </c>
      <c r="F45" s="18">
        <f t="shared" si="15"/>
        <v>4487.79</v>
      </c>
      <c r="G45" s="21">
        <v>0</v>
      </c>
      <c r="H45" s="21">
        <v>0</v>
      </c>
      <c r="I45" s="21">
        <v>299.58</v>
      </c>
      <c r="J45" s="21">
        <f t="shared" si="3"/>
        <v>299.58</v>
      </c>
      <c r="K45" s="21">
        <v>0</v>
      </c>
      <c r="L45" s="21">
        <v>0</v>
      </c>
      <c r="M45" s="21">
        <v>323.77999999999997</v>
      </c>
      <c r="N45" s="21">
        <f t="shared" si="4"/>
        <v>323.77999999999997</v>
      </c>
      <c r="O45" s="21">
        <v>0</v>
      </c>
      <c r="P45" s="21">
        <v>0</v>
      </c>
      <c r="Q45" s="21">
        <v>317.08999999999997</v>
      </c>
      <c r="R45" s="21">
        <f t="shared" si="5"/>
        <v>317.08999999999997</v>
      </c>
      <c r="S45" s="21">
        <v>0</v>
      </c>
      <c r="T45" s="21">
        <v>0</v>
      </c>
      <c r="U45" s="21">
        <v>310.98</v>
      </c>
      <c r="V45" s="21">
        <f t="shared" si="6"/>
        <v>310.98</v>
      </c>
      <c r="W45" s="21">
        <v>0</v>
      </c>
      <c r="X45" s="21">
        <v>0</v>
      </c>
      <c r="Y45" s="21">
        <v>396.32</v>
      </c>
      <c r="Z45" s="21">
        <f t="shared" si="7"/>
        <v>396.32</v>
      </c>
      <c r="AA45" s="21">
        <v>0</v>
      </c>
      <c r="AB45" s="21">
        <v>0</v>
      </c>
      <c r="AC45" s="21">
        <v>391.55</v>
      </c>
      <c r="AD45" s="21">
        <f t="shared" si="8"/>
        <v>391.55</v>
      </c>
      <c r="AE45" s="21">
        <v>0</v>
      </c>
      <c r="AF45" s="21">
        <v>0</v>
      </c>
      <c r="AG45" s="21">
        <v>365.78</v>
      </c>
      <c r="AH45" s="21">
        <f t="shared" si="9"/>
        <v>365.78</v>
      </c>
      <c r="AI45" s="21">
        <v>0</v>
      </c>
      <c r="AJ45" s="21">
        <v>0</v>
      </c>
      <c r="AK45" s="21">
        <v>438.12</v>
      </c>
      <c r="AL45" s="21">
        <f t="shared" si="10"/>
        <v>438.12</v>
      </c>
      <c r="AM45" s="21">
        <v>0</v>
      </c>
      <c r="AN45" s="21">
        <v>0</v>
      </c>
      <c r="AO45" s="21">
        <v>390.88</v>
      </c>
      <c r="AP45" s="21">
        <f t="shared" si="11"/>
        <v>390.88</v>
      </c>
      <c r="AQ45" s="21">
        <v>0</v>
      </c>
      <c r="AR45" s="21">
        <v>0</v>
      </c>
      <c r="AS45" s="21">
        <v>389.69</v>
      </c>
      <c r="AT45" s="21">
        <f t="shared" si="12"/>
        <v>389.69</v>
      </c>
      <c r="AU45" s="21">
        <v>0</v>
      </c>
      <c r="AV45" s="21">
        <v>0</v>
      </c>
      <c r="AW45" s="21">
        <v>466.31</v>
      </c>
      <c r="AX45" s="21">
        <f t="shared" si="13"/>
        <v>466.31</v>
      </c>
      <c r="AY45" s="21">
        <v>0</v>
      </c>
      <c r="AZ45" s="21">
        <v>0</v>
      </c>
      <c r="BA45" s="21">
        <v>397.71</v>
      </c>
      <c r="BB45" s="21">
        <f t="shared" si="14"/>
        <v>397.71</v>
      </c>
    </row>
    <row r="46" spans="1:56" s="11" customFormat="1" x14ac:dyDescent="0.3">
      <c r="A46" s="77" t="s">
        <v>57</v>
      </c>
      <c r="B46" s="77"/>
      <c r="C46" s="25">
        <f t="shared" ref="C46:E46" si="16">SUM(C7:C45)</f>
        <v>444309.47999999992</v>
      </c>
      <c r="D46" s="25">
        <f t="shared" si="16"/>
        <v>551301.6</v>
      </c>
      <c r="E46" s="25">
        <f t="shared" si="16"/>
        <v>636158.29999999993</v>
      </c>
      <c r="F46" s="25">
        <f>SUM(F7:F45)</f>
        <v>1631769.3800000001</v>
      </c>
      <c r="G46" s="13">
        <f t="shared" ref="G46:I46" si="17">SUM(G7:G45)</f>
        <v>48633.729999999996</v>
      </c>
      <c r="H46" s="13">
        <f t="shared" si="17"/>
        <v>59372.430000000008</v>
      </c>
      <c r="I46" s="13">
        <f t="shared" si="17"/>
        <v>69504.38</v>
      </c>
      <c r="J46" s="13">
        <f>SUM(J7:J45)</f>
        <v>177510.54</v>
      </c>
      <c r="K46" s="13">
        <f t="shared" ref="K46:M46" si="18">SUM(K7:K45)</f>
        <v>35433.75</v>
      </c>
      <c r="L46" s="13">
        <f t="shared" si="18"/>
        <v>43901.590000000011</v>
      </c>
      <c r="M46" s="13">
        <f t="shared" si="18"/>
        <v>58766.679999999986</v>
      </c>
      <c r="N46" s="13">
        <f>SUM(N7:N45)</f>
        <v>138102.01999999996</v>
      </c>
      <c r="O46" s="13">
        <f t="shared" ref="O46:Q46" si="19">SUM(O7:O45)</f>
        <v>34557.629999999997</v>
      </c>
      <c r="P46" s="13">
        <f t="shared" si="19"/>
        <v>43267.869999999995</v>
      </c>
      <c r="Q46" s="13">
        <f t="shared" si="19"/>
        <v>48680.179999999986</v>
      </c>
      <c r="R46" s="13">
        <f>SUM(R7:R45)</f>
        <v>126505.68000000004</v>
      </c>
      <c r="S46" s="13">
        <f t="shared" ref="S46:U46" si="20">SUM(S7:S45)</f>
        <v>35470.01</v>
      </c>
      <c r="T46" s="13">
        <f t="shared" si="20"/>
        <v>44059.169999999991</v>
      </c>
      <c r="U46" s="13">
        <f t="shared" si="20"/>
        <v>51910.210000000014</v>
      </c>
      <c r="V46" s="13">
        <f>SUM(V7:V45)</f>
        <v>131439.39000000001</v>
      </c>
      <c r="W46" s="13">
        <f t="shared" ref="W46:Y46" si="21">SUM(W7:W45)</f>
        <v>34076.089999999997</v>
      </c>
      <c r="X46" s="13">
        <f t="shared" si="21"/>
        <v>42854.490000000005</v>
      </c>
      <c r="Y46" s="13">
        <f t="shared" si="21"/>
        <v>48639.280000000006</v>
      </c>
      <c r="Z46" s="13">
        <f>SUM(Z7:Z45)</f>
        <v>125569.86</v>
      </c>
      <c r="AA46" s="13">
        <f t="shared" ref="AA46:AC46" si="22">SUM(AA7:AA45)</f>
        <v>33645.53</v>
      </c>
      <c r="AB46" s="13">
        <f t="shared" si="22"/>
        <v>41835.650000000009</v>
      </c>
      <c r="AC46" s="13">
        <f t="shared" si="22"/>
        <v>49852.89</v>
      </c>
      <c r="AD46" s="13">
        <f>SUM(AD7:AD45)</f>
        <v>125334.07000000002</v>
      </c>
      <c r="AE46" s="13">
        <f t="shared" ref="AE46:AG46" si="23">SUM(AE7:AE45)</f>
        <v>36547.30000000001</v>
      </c>
      <c r="AF46" s="13">
        <f t="shared" si="23"/>
        <v>45134.090000000004</v>
      </c>
      <c r="AG46" s="13">
        <f t="shared" si="23"/>
        <v>55646.84</v>
      </c>
      <c r="AH46" s="13">
        <f>SUM(AH7:AH45)</f>
        <v>137328.22999999992</v>
      </c>
      <c r="AI46" s="13">
        <f t="shared" ref="AI46:AK46" si="24">SUM(AI7:AI45)</f>
        <v>34843.30000000001</v>
      </c>
      <c r="AJ46" s="13">
        <f t="shared" si="24"/>
        <v>42522.419999999991</v>
      </c>
      <c r="AK46" s="13">
        <f t="shared" si="24"/>
        <v>46933.87000000001</v>
      </c>
      <c r="AL46" s="13">
        <f>SUM(AL7:AL45)</f>
        <v>124299.59</v>
      </c>
      <c r="AM46" s="13">
        <f t="shared" ref="AM46:AO46" si="25">SUM(AM7:AM45)</f>
        <v>34288.74</v>
      </c>
      <c r="AN46" s="13">
        <f t="shared" si="25"/>
        <v>41367.700000000012</v>
      </c>
      <c r="AO46" s="13">
        <f t="shared" si="25"/>
        <v>46917.269999999982</v>
      </c>
      <c r="AP46" s="13">
        <f>SUM(AP7:AP45)</f>
        <v>122573.71</v>
      </c>
      <c r="AQ46" s="13">
        <f t="shared" ref="AQ46:AS46" si="26">SUM(AQ7:AQ45)</f>
        <v>38791.830000000009</v>
      </c>
      <c r="AR46" s="13">
        <f t="shared" si="26"/>
        <v>47817.46</v>
      </c>
      <c r="AS46" s="13">
        <f t="shared" si="26"/>
        <v>54522.47</v>
      </c>
      <c r="AT46" s="13">
        <f>SUM(AT7:AT45)</f>
        <v>141131.76000000004</v>
      </c>
      <c r="AU46" s="13">
        <f t="shared" ref="AU46:AW46" si="27">SUM(AU7:AU45)</f>
        <v>37472.479999999996</v>
      </c>
      <c r="AV46" s="13">
        <f t="shared" si="27"/>
        <v>45900.409999999996</v>
      </c>
      <c r="AW46" s="13">
        <f t="shared" si="27"/>
        <v>52399.369999999995</v>
      </c>
      <c r="AX46" s="13">
        <f>SUM(AX7:AX45)</f>
        <v>135772.26</v>
      </c>
      <c r="AY46" s="13">
        <f t="shared" ref="AY46:BA46" si="28">SUM(AY7:AY45)</f>
        <v>40549.089999999997</v>
      </c>
      <c r="AZ46" s="13">
        <f t="shared" si="28"/>
        <v>53268.32</v>
      </c>
      <c r="BA46" s="13">
        <f t="shared" si="28"/>
        <v>52384.859999999986</v>
      </c>
      <c r="BB46" s="13">
        <f>SUM(BB7:BB45)</f>
        <v>146202.27000000002</v>
      </c>
      <c r="BC46"/>
    </row>
    <row r="47" spans="1:56" x14ac:dyDescent="0.3"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</row>
    <row r="48" spans="1:56" s="1" customFormat="1" x14ac:dyDescent="0.3">
      <c r="A48" s="76" t="s">
        <v>53</v>
      </c>
      <c r="B48" s="76"/>
      <c r="C48" s="25">
        <f>G48+K48+O48+S48+W48+AA48+AE48+AI48+AM48+AQ48+AU48+AY48</f>
        <v>0</v>
      </c>
      <c r="D48" s="25">
        <f>H48+L48+P48+T48+X48+AB48+AF48+AJ48+AN48+AR48+AV48+AZ48</f>
        <v>0</v>
      </c>
      <c r="E48" s="25">
        <f>I48+M48+Q48+U48+Y48+AC48+AG48+AK48+AO48+AS48+AW48+BA48</f>
        <v>595326.34841653903</v>
      </c>
      <c r="F48" s="25">
        <f>J48+N48+R48+V48+Z48+AD48+AH48+AL48+AP48+AT48+AX48+BB48</f>
        <v>595326.34841653903</v>
      </c>
      <c r="G48" s="13">
        <v>0</v>
      </c>
      <c r="H48" s="13">
        <v>0</v>
      </c>
      <c r="I48" s="13">
        <v>45754</v>
      </c>
      <c r="J48" s="13">
        <v>45754</v>
      </c>
      <c r="K48" s="13">
        <v>0</v>
      </c>
      <c r="L48" s="13">
        <v>0</v>
      </c>
      <c r="M48" s="13">
        <v>50069.711089299999</v>
      </c>
      <c r="N48" s="13">
        <v>50069.711089299999</v>
      </c>
      <c r="O48" s="13">
        <v>0</v>
      </c>
      <c r="P48" s="13">
        <v>0</v>
      </c>
      <c r="Q48" s="13">
        <v>44599.516060327005</v>
      </c>
      <c r="R48" s="13">
        <v>44599.516060327005</v>
      </c>
      <c r="S48" s="13">
        <v>0</v>
      </c>
      <c r="T48" s="13">
        <v>0</v>
      </c>
      <c r="U48" s="13">
        <v>51625.849254180001</v>
      </c>
      <c r="V48" s="13">
        <v>51625.849254180001</v>
      </c>
      <c r="W48" s="13">
        <v>0</v>
      </c>
      <c r="X48" s="13">
        <v>0</v>
      </c>
      <c r="Y48" s="13">
        <v>48546.490319204</v>
      </c>
      <c r="Z48" s="13">
        <v>48546.490319204</v>
      </c>
      <c r="AA48" s="13">
        <v>0</v>
      </c>
      <c r="AB48" s="13">
        <v>0</v>
      </c>
      <c r="AC48" s="13">
        <v>52030.524295490999</v>
      </c>
      <c r="AD48" s="13">
        <v>52030.524295490999</v>
      </c>
      <c r="AE48" s="13">
        <v>0</v>
      </c>
      <c r="AF48" s="13">
        <v>0</v>
      </c>
      <c r="AG48" s="13">
        <v>50796.394906130998</v>
      </c>
      <c r="AH48" s="13">
        <v>50796.394906130998</v>
      </c>
      <c r="AI48" s="13">
        <v>0</v>
      </c>
      <c r="AJ48" s="13">
        <v>0</v>
      </c>
      <c r="AK48" s="13">
        <v>45976.177108200005</v>
      </c>
      <c r="AL48" s="13">
        <v>45976.177108200005</v>
      </c>
      <c r="AM48" s="13">
        <v>0</v>
      </c>
      <c r="AN48" s="13">
        <v>0</v>
      </c>
      <c r="AO48" s="13">
        <v>51976.579736380001</v>
      </c>
      <c r="AP48" s="13">
        <v>51976.579736380001</v>
      </c>
      <c r="AQ48" s="13">
        <v>0</v>
      </c>
      <c r="AR48" s="13">
        <v>0</v>
      </c>
      <c r="AS48" s="13">
        <v>52252.656265150996</v>
      </c>
      <c r="AT48" s="13">
        <v>52252.656265150996</v>
      </c>
      <c r="AU48" s="13">
        <v>0</v>
      </c>
      <c r="AV48" s="13">
        <v>0</v>
      </c>
      <c r="AW48" s="13">
        <v>47837.016739724997</v>
      </c>
      <c r="AX48" s="13">
        <v>47837.016739724997</v>
      </c>
      <c r="AY48" s="13">
        <v>0</v>
      </c>
      <c r="AZ48" s="13">
        <v>0</v>
      </c>
      <c r="BA48" s="13">
        <v>53861.432642450003</v>
      </c>
      <c r="BB48" s="13">
        <v>53861.432642450003</v>
      </c>
      <c r="BC48" s="15"/>
      <c r="BD48"/>
    </row>
    <row r="49" spans="1:55" x14ac:dyDescent="0.3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</row>
    <row r="50" spans="1:55" x14ac:dyDescent="0.3">
      <c r="A50" s="75" t="s">
        <v>45</v>
      </c>
      <c r="B50" s="75"/>
      <c r="C50" s="16">
        <f>C48+C46</f>
        <v>444309.47999999992</v>
      </c>
      <c r="D50" s="16">
        <f>D48+D46</f>
        <v>551301.6</v>
      </c>
      <c r="E50" s="16">
        <f>E48+E46</f>
        <v>1231484.648416539</v>
      </c>
      <c r="F50" s="16">
        <f>F48+F46</f>
        <v>2227095.7284165393</v>
      </c>
      <c r="G50" s="16">
        <f t="shared" ref="G50:J50" si="29">G48+G46</f>
        <v>48633.729999999996</v>
      </c>
      <c r="H50" s="16">
        <f t="shared" si="29"/>
        <v>59372.430000000008</v>
      </c>
      <c r="I50" s="16">
        <f t="shared" si="29"/>
        <v>115258.38</v>
      </c>
      <c r="J50" s="16">
        <f t="shared" si="29"/>
        <v>223264.54</v>
      </c>
      <c r="K50" s="16">
        <f t="shared" ref="K50:N50" si="30">K48+K46</f>
        <v>35433.75</v>
      </c>
      <c r="L50" s="16">
        <f t="shared" si="30"/>
        <v>43901.590000000011</v>
      </c>
      <c r="M50" s="16">
        <f t="shared" si="30"/>
        <v>108836.39108929998</v>
      </c>
      <c r="N50" s="16">
        <f t="shared" si="30"/>
        <v>188171.73108929995</v>
      </c>
      <c r="O50" s="16">
        <f t="shared" ref="O50:R50" si="31">O48+O46</f>
        <v>34557.629999999997</v>
      </c>
      <c r="P50" s="16">
        <f t="shared" si="31"/>
        <v>43267.869999999995</v>
      </c>
      <c r="Q50" s="16">
        <f t="shared" si="31"/>
        <v>93279.696060326998</v>
      </c>
      <c r="R50" s="16">
        <f t="shared" si="31"/>
        <v>171105.19606032706</v>
      </c>
      <c r="S50" s="16">
        <f t="shared" ref="S50:V50" si="32">S48+S46</f>
        <v>35470.01</v>
      </c>
      <c r="T50" s="16">
        <f t="shared" si="32"/>
        <v>44059.169999999991</v>
      </c>
      <c r="U50" s="16">
        <f t="shared" si="32"/>
        <v>103536.05925418001</v>
      </c>
      <c r="V50" s="16">
        <f t="shared" si="32"/>
        <v>183065.23925418002</v>
      </c>
      <c r="W50" s="16">
        <f t="shared" ref="W50:Z50" si="33">W48+W46</f>
        <v>34076.089999999997</v>
      </c>
      <c r="X50" s="16">
        <f t="shared" si="33"/>
        <v>42854.490000000005</v>
      </c>
      <c r="Y50" s="16">
        <f t="shared" si="33"/>
        <v>97185.770319204006</v>
      </c>
      <c r="Z50" s="16">
        <f t="shared" si="33"/>
        <v>174116.35031920401</v>
      </c>
      <c r="AA50" s="16">
        <f t="shared" ref="AA50:AD50" si="34">AA48+AA46</f>
        <v>33645.53</v>
      </c>
      <c r="AB50" s="16">
        <f t="shared" si="34"/>
        <v>41835.650000000009</v>
      </c>
      <c r="AC50" s="16">
        <f t="shared" si="34"/>
        <v>101883.41429549101</v>
      </c>
      <c r="AD50" s="16">
        <f t="shared" si="34"/>
        <v>177364.59429549103</v>
      </c>
      <c r="AE50" s="16">
        <f t="shared" ref="AE50:AH50" si="35">AE48+AE46</f>
        <v>36547.30000000001</v>
      </c>
      <c r="AF50" s="16">
        <f t="shared" si="35"/>
        <v>45134.090000000004</v>
      </c>
      <c r="AG50" s="16">
        <f t="shared" si="35"/>
        <v>106443.23490613099</v>
      </c>
      <c r="AH50" s="16">
        <f t="shared" si="35"/>
        <v>188124.62490613092</v>
      </c>
      <c r="AI50" s="16">
        <f t="shared" ref="AI50:AL50" si="36">AI48+AI46</f>
        <v>34843.30000000001</v>
      </c>
      <c r="AJ50" s="16">
        <f t="shared" si="36"/>
        <v>42522.419999999991</v>
      </c>
      <c r="AK50" s="16">
        <f t="shared" si="36"/>
        <v>92910.047108200015</v>
      </c>
      <c r="AL50" s="16">
        <f t="shared" si="36"/>
        <v>170275.7671082</v>
      </c>
      <c r="AM50" s="16">
        <f t="shared" ref="AM50:AP50" si="37">AM48+AM46</f>
        <v>34288.74</v>
      </c>
      <c r="AN50" s="16">
        <f t="shared" si="37"/>
        <v>41367.700000000012</v>
      </c>
      <c r="AO50" s="16">
        <f t="shared" si="37"/>
        <v>98893.849736379983</v>
      </c>
      <c r="AP50" s="16">
        <f t="shared" si="37"/>
        <v>174550.28973638001</v>
      </c>
      <c r="AQ50" s="16">
        <f t="shared" ref="AQ50:AT50" si="38">AQ48+AQ46</f>
        <v>38791.830000000009</v>
      </c>
      <c r="AR50" s="16">
        <f t="shared" si="38"/>
        <v>47817.46</v>
      </c>
      <c r="AS50" s="16">
        <f t="shared" si="38"/>
        <v>106775.12626515099</v>
      </c>
      <c r="AT50" s="16">
        <f t="shared" si="38"/>
        <v>193384.41626515103</v>
      </c>
      <c r="AU50" s="16">
        <f t="shared" ref="AU50:AX50" si="39">AU48+AU46</f>
        <v>37472.479999999996</v>
      </c>
      <c r="AV50" s="16">
        <f t="shared" si="39"/>
        <v>45900.409999999996</v>
      </c>
      <c r="AW50" s="16">
        <f t="shared" si="39"/>
        <v>100236.38673972499</v>
      </c>
      <c r="AX50" s="16">
        <f t="shared" si="39"/>
        <v>183609.276739725</v>
      </c>
      <c r="AY50" s="16">
        <f t="shared" ref="AY50:BB50" si="40">AY48+AY46</f>
        <v>40549.089999999997</v>
      </c>
      <c r="AZ50" s="16">
        <f t="shared" si="40"/>
        <v>53268.32</v>
      </c>
      <c r="BA50" s="16">
        <f t="shared" si="40"/>
        <v>106246.29264244999</v>
      </c>
      <c r="BB50" s="16">
        <f t="shared" si="40"/>
        <v>200063.70264245002</v>
      </c>
      <c r="BC50" s="15"/>
    </row>
    <row r="51" spans="1:55" x14ac:dyDescent="0.3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</row>
    <row r="52" spans="1:55" x14ac:dyDescent="0.3">
      <c r="C52" s="34"/>
      <c r="D52" s="34"/>
      <c r="E52" s="34"/>
      <c r="F52" s="34"/>
    </row>
    <row r="53" spans="1:55" ht="15.6" x14ac:dyDescent="0.3">
      <c r="B53" s="24" t="s">
        <v>64</v>
      </c>
      <c r="C53" s="34"/>
      <c r="D53" s="34"/>
      <c r="E53" s="34"/>
      <c r="F53" s="34"/>
    </row>
    <row r="54" spans="1:55" x14ac:dyDescent="0.3">
      <c r="B54" s="45" t="s">
        <v>66</v>
      </c>
      <c r="C54" s="45"/>
      <c r="D54" s="45"/>
      <c r="E54" s="45"/>
      <c r="F54" s="45"/>
      <c r="G54" s="45"/>
      <c r="K54" s="45"/>
      <c r="O54" s="45"/>
      <c r="S54" s="45"/>
      <c r="W54" s="45"/>
      <c r="AA54" s="45"/>
      <c r="AE54" s="45"/>
    </row>
  </sheetData>
  <mergeCells count="20">
    <mergeCell ref="A2:B2"/>
    <mergeCell ref="A4:B4"/>
    <mergeCell ref="S5:V5"/>
    <mergeCell ref="O5:R5"/>
    <mergeCell ref="K5:N5"/>
    <mergeCell ref="G5:J5"/>
    <mergeCell ref="C5:F5"/>
    <mergeCell ref="AY5:BB5"/>
    <mergeCell ref="AU5:AX5"/>
    <mergeCell ref="A50:B50"/>
    <mergeCell ref="A48:B48"/>
    <mergeCell ref="A46:B46"/>
    <mergeCell ref="A5:A6"/>
    <mergeCell ref="B5:B6"/>
    <mergeCell ref="AQ5:AT5"/>
    <mergeCell ref="AM5:AP5"/>
    <mergeCell ref="AI5:AL5"/>
    <mergeCell ref="AE5:AH5"/>
    <mergeCell ref="AA5:AD5"/>
    <mergeCell ref="W5:Z5"/>
  </mergeCells>
  <pageMargins left="0.7" right="0.7" top="0.75" bottom="0.75" header="0.3" footer="0.3"/>
  <pageSetup scale="45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C56"/>
  <sheetViews>
    <sheetView zoomScale="70" zoomScaleNormal="70" workbookViewId="0">
      <pane xSplit="2" ySplit="8" topLeftCell="C35" activePane="bottomRight" state="frozen"/>
      <selection activeCell="AK39" sqref="AK39"/>
      <selection pane="topRight" activeCell="AK39" sqref="AK39"/>
      <selection pane="bottomLeft" activeCell="AK39" sqref="AK39"/>
      <selection pane="bottomRight" activeCell="G58" sqref="G58"/>
    </sheetView>
  </sheetViews>
  <sheetFormatPr defaultColWidth="11.44140625" defaultRowHeight="14.4" x14ac:dyDescent="0.3"/>
  <cols>
    <col min="1" max="1" width="10.33203125" style="26" customWidth="1"/>
    <col min="2" max="2" width="29.77734375" style="26" customWidth="1"/>
    <col min="3" max="3" width="13.6640625" style="26" bestFit="1" customWidth="1"/>
    <col min="4" max="4" width="14" style="26" bestFit="1" customWidth="1"/>
    <col min="5" max="5" width="15.77734375" style="26" bestFit="1" customWidth="1"/>
    <col min="6" max="6" width="16.109375" style="26" bestFit="1" customWidth="1"/>
    <col min="7" max="8" width="12.6640625" style="26" bestFit="1" customWidth="1"/>
    <col min="9" max="10" width="13.109375" style="26" bestFit="1" customWidth="1"/>
    <col min="11" max="12" width="12.6640625" style="26" bestFit="1" customWidth="1"/>
    <col min="13" max="14" width="13.109375" style="26" bestFit="1" customWidth="1"/>
    <col min="15" max="16" width="12.6640625" style="26" bestFit="1" customWidth="1"/>
    <col min="17" max="18" width="13.109375" style="26" bestFit="1" customWidth="1"/>
    <col min="19" max="20" width="12.6640625" style="26" bestFit="1" customWidth="1"/>
    <col min="21" max="22" width="13.109375" style="26" bestFit="1" customWidth="1"/>
    <col min="23" max="24" width="12.6640625" style="26" bestFit="1" customWidth="1"/>
    <col min="25" max="26" width="13.109375" style="26" bestFit="1" customWidth="1"/>
    <col min="27" max="28" width="12.6640625" style="26" bestFit="1" customWidth="1"/>
    <col min="29" max="30" width="13.109375" style="26" bestFit="1" customWidth="1"/>
    <col min="31" max="32" width="12.6640625" style="26" bestFit="1" customWidth="1"/>
    <col min="33" max="34" width="13.109375" style="26" bestFit="1" customWidth="1"/>
    <col min="35" max="55" width="13.33203125" style="26" customWidth="1"/>
    <col min="56" max="16384" width="11.44140625" style="26"/>
  </cols>
  <sheetData>
    <row r="1" spans="1:54" x14ac:dyDescent="0.3">
      <c r="A1" s="50" t="s">
        <v>69</v>
      </c>
      <c r="B1" s="50"/>
      <c r="C1" s="50"/>
      <c r="D1" s="50"/>
      <c r="E1" s="50"/>
    </row>
    <row r="2" spans="1:54" x14ac:dyDescent="0.3">
      <c r="A2" s="65" t="str">
        <f>'GST_Revenue-All_India'!A3</f>
        <v>Data upto : 31st Mar 2026</v>
      </c>
      <c r="B2" s="65"/>
      <c r="C2" s="65"/>
    </row>
    <row r="3" spans="1:54" ht="18" x14ac:dyDescent="0.35">
      <c r="C3" s="27" t="s">
        <v>0</v>
      </c>
      <c r="AI3" s="43"/>
      <c r="AM3" s="43"/>
      <c r="AQ3" s="43"/>
      <c r="AU3" s="43"/>
      <c r="AY3" s="43"/>
    </row>
    <row r="4" spans="1:54" x14ac:dyDescent="0.3">
      <c r="A4" s="66" t="s">
        <v>54</v>
      </c>
      <c r="B4" s="66"/>
      <c r="C4" s="66"/>
    </row>
    <row r="5" spans="1:54" x14ac:dyDescent="0.3">
      <c r="C5" s="27"/>
    </row>
    <row r="7" spans="1:54" x14ac:dyDescent="0.3">
      <c r="A7" s="64" t="s">
        <v>43</v>
      </c>
      <c r="B7" s="64" t="s">
        <v>1</v>
      </c>
      <c r="C7" s="67" t="str">
        <f>'GST_Revenue-All_India'!B7</f>
        <v>Financial Year (up to the Month - Mar 2026)</v>
      </c>
      <c r="D7" s="68"/>
      <c r="E7" s="68"/>
      <c r="F7" s="69"/>
      <c r="G7" s="58">
        <v>45748</v>
      </c>
      <c r="H7" s="59"/>
      <c r="I7" s="59"/>
      <c r="J7" s="60"/>
      <c r="K7" s="58">
        <v>45778</v>
      </c>
      <c r="L7" s="59"/>
      <c r="M7" s="59"/>
      <c r="N7" s="60"/>
      <c r="O7" s="58">
        <v>45809</v>
      </c>
      <c r="P7" s="59"/>
      <c r="Q7" s="59"/>
      <c r="R7" s="60"/>
      <c r="S7" s="58">
        <v>45839</v>
      </c>
      <c r="T7" s="59"/>
      <c r="U7" s="59"/>
      <c r="V7" s="60"/>
      <c r="W7" s="58">
        <v>45870</v>
      </c>
      <c r="X7" s="59"/>
      <c r="Y7" s="59"/>
      <c r="Z7" s="60"/>
      <c r="AA7" s="58">
        <v>45901</v>
      </c>
      <c r="AB7" s="59"/>
      <c r="AC7" s="59"/>
      <c r="AD7" s="60"/>
      <c r="AE7" s="58">
        <v>45931</v>
      </c>
      <c r="AF7" s="59"/>
      <c r="AG7" s="59"/>
      <c r="AH7" s="60"/>
      <c r="AI7" s="58">
        <v>45962</v>
      </c>
      <c r="AJ7" s="59"/>
      <c r="AK7" s="59"/>
      <c r="AL7" s="60"/>
      <c r="AM7" s="58">
        <v>45992</v>
      </c>
      <c r="AN7" s="59"/>
      <c r="AO7" s="59"/>
      <c r="AP7" s="60"/>
      <c r="AQ7" s="58">
        <v>46023</v>
      </c>
      <c r="AR7" s="59"/>
      <c r="AS7" s="59"/>
      <c r="AT7" s="60"/>
      <c r="AU7" s="58">
        <v>46054</v>
      </c>
      <c r="AV7" s="59"/>
      <c r="AW7" s="59"/>
      <c r="AX7" s="60"/>
      <c r="AY7" s="58">
        <v>46082</v>
      </c>
      <c r="AZ7" s="59"/>
      <c r="BA7" s="59"/>
      <c r="BB7" s="60"/>
    </row>
    <row r="8" spans="1:54" x14ac:dyDescent="0.3">
      <c r="A8" s="64"/>
      <c r="B8" s="64"/>
      <c r="C8" s="29" t="s">
        <v>2</v>
      </c>
      <c r="D8" s="29" t="s">
        <v>3</v>
      </c>
      <c r="E8" s="29" t="s">
        <v>4</v>
      </c>
      <c r="F8" s="29" t="s">
        <v>44</v>
      </c>
      <c r="G8" s="29" t="s">
        <v>2</v>
      </c>
      <c r="H8" s="29" t="s">
        <v>3</v>
      </c>
      <c r="I8" s="29" t="s">
        <v>4</v>
      </c>
      <c r="J8" s="29" t="s">
        <v>44</v>
      </c>
      <c r="K8" s="29" t="s">
        <v>2</v>
      </c>
      <c r="L8" s="29" t="s">
        <v>3</v>
      </c>
      <c r="M8" s="29" t="s">
        <v>4</v>
      </c>
      <c r="N8" s="29" t="s">
        <v>44</v>
      </c>
      <c r="O8" s="29" t="s">
        <v>2</v>
      </c>
      <c r="P8" s="29" t="s">
        <v>3</v>
      </c>
      <c r="Q8" s="29" t="s">
        <v>4</v>
      </c>
      <c r="R8" s="29" t="s">
        <v>44</v>
      </c>
      <c r="S8" s="29" t="s">
        <v>2</v>
      </c>
      <c r="T8" s="29" t="s">
        <v>3</v>
      </c>
      <c r="U8" s="29" t="s">
        <v>4</v>
      </c>
      <c r="V8" s="29" t="s">
        <v>44</v>
      </c>
      <c r="W8" s="29" t="s">
        <v>2</v>
      </c>
      <c r="X8" s="29" t="s">
        <v>3</v>
      </c>
      <c r="Y8" s="29" t="s">
        <v>4</v>
      </c>
      <c r="Z8" s="29" t="s">
        <v>44</v>
      </c>
      <c r="AA8" s="29" t="s">
        <v>2</v>
      </c>
      <c r="AB8" s="29" t="s">
        <v>3</v>
      </c>
      <c r="AC8" s="29" t="s">
        <v>4</v>
      </c>
      <c r="AD8" s="29" t="s">
        <v>44</v>
      </c>
      <c r="AE8" s="29" t="s">
        <v>2</v>
      </c>
      <c r="AF8" s="29" t="s">
        <v>3</v>
      </c>
      <c r="AG8" s="29" t="s">
        <v>4</v>
      </c>
      <c r="AH8" s="29" t="s">
        <v>44</v>
      </c>
      <c r="AI8" s="29" t="s">
        <v>2</v>
      </c>
      <c r="AJ8" s="29" t="s">
        <v>3</v>
      </c>
      <c r="AK8" s="29" t="s">
        <v>4</v>
      </c>
      <c r="AL8" s="29" t="s">
        <v>44</v>
      </c>
      <c r="AM8" s="29" t="s">
        <v>2</v>
      </c>
      <c r="AN8" s="29" t="s">
        <v>3</v>
      </c>
      <c r="AO8" s="29" t="s">
        <v>4</v>
      </c>
      <c r="AP8" s="29" t="s">
        <v>44</v>
      </c>
      <c r="AQ8" s="29" t="s">
        <v>2</v>
      </c>
      <c r="AR8" s="29" t="s">
        <v>3</v>
      </c>
      <c r="AS8" s="29" t="s">
        <v>4</v>
      </c>
      <c r="AT8" s="29" t="s">
        <v>44</v>
      </c>
      <c r="AU8" s="29" t="s">
        <v>2</v>
      </c>
      <c r="AV8" s="29" t="s">
        <v>3</v>
      </c>
      <c r="AW8" s="29" t="s">
        <v>4</v>
      </c>
      <c r="AX8" s="29" t="s">
        <v>44</v>
      </c>
      <c r="AY8" s="29" t="s">
        <v>2</v>
      </c>
      <c r="AZ8" s="29" t="s">
        <v>3</v>
      </c>
      <c r="BA8" s="29" t="s">
        <v>4</v>
      </c>
      <c r="BB8" s="29" t="s">
        <v>44</v>
      </c>
    </row>
    <row r="9" spans="1:54" x14ac:dyDescent="0.3">
      <c r="A9" s="7">
        <v>1</v>
      </c>
      <c r="B9" s="31" t="s">
        <v>5</v>
      </c>
      <c r="C9" s="48">
        <f>G9+K9+O9+S9+W9+AA9+AE9+AI9+AM9+AQ9+AU9+AY9</f>
        <v>72.790000000000006</v>
      </c>
      <c r="D9" s="48">
        <f>H9+L9+P9+T9+X9+AB9+AF9+AJ9+AN9+AR9+AV9+AZ9</f>
        <v>74.489999999999995</v>
      </c>
      <c r="E9" s="48">
        <f>I9+M9+Q9+U9+Y9+AC9+AG9+AK9+AO9+AS9+AW9+BA9</f>
        <v>137.62243599999999</v>
      </c>
      <c r="F9" s="48">
        <f>J9+N9+R9+V9+Z9+AD9+AH9+AL9+AP9+AT9+AX9+BB9</f>
        <v>284.90243600000002</v>
      </c>
      <c r="G9" s="35">
        <v>3.47</v>
      </c>
      <c r="H9" s="35">
        <v>3.4</v>
      </c>
      <c r="I9" s="35">
        <v>1.45</v>
      </c>
      <c r="J9" s="35">
        <f t="shared" ref="J9:J46" si="0">SUM(G9:I9)</f>
        <v>8.32</v>
      </c>
      <c r="K9" s="35">
        <v>1.9</v>
      </c>
      <c r="L9" s="35">
        <v>2.59</v>
      </c>
      <c r="M9" s="35">
        <v>6.3</v>
      </c>
      <c r="N9" s="35">
        <f t="shared" ref="N9:N46" si="1">SUM(K9:M9)</f>
        <v>10.79</v>
      </c>
      <c r="O9" s="35">
        <v>2.8</v>
      </c>
      <c r="P9" s="35">
        <v>1.94</v>
      </c>
      <c r="Q9" s="35">
        <v>2.93</v>
      </c>
      <c r="R9" s="35">
        <f t="shared" ref="R9:R46" si="2">SUM(O9:Q9)</f>
        <v>7.67</v>
      </c>
      <c r="S9" s="35">
        <v>1.42</v>
      </c>
      <c r="T9" s="35">
        <v>1.56</v>
      </c>
      <c r="U9" s="35">
        <v>4.58</v>
      </c>
      <c r="V9" s="35">
        <f t="shared" ref="V9:V46" si="3">SUM(S9:U9)</f>
        <v>7.5600000000000005</v>
      </c>
      <c r="W9" s="35">
        <v>1.48</v>
      </c>
      <c r="X9" s="35">
        <v>1.69</v>
      </c>
      <c r="Y9" s="35">
        <v>7.78</v>
      </c>
      <c r="Z9" s="35">
        <f t="shared" ref="Z9:Z46" si="4">SUM(W9:Y9)</f>
        <v>10.95</v>
      </c>
      <c r="AA9" s="35">
        <v>3.46</v>
      </c>
      <c r="AB9" s="35">
        <v>4.16</v>
      </c>
      <c r="AC9" s="35">
        <v>7.73</v>
      </c>
      <c r="AD9" s="35">
        <f t="shared" ref="AD9:AD46" si="5">SUM(AA9:AC9)</f>
        <v>15.350000000000001</v>
      </c>
      <c r="AE9" s="35">
        <v>8.7200000000000006</v>
      </c>
      <c r="AF9" s="35">
        <v>9.16</v>
      </c>
      <c r="AG9" s="35">
        <v>13.73</v>
      </c>
      <c r="AH9" s="35">
        <f t="shared" ref="AH9:AH46" si="6">SUM(AE9:AG9)</f>
        <v>31.610000000000003</v>
      </c>
      <c r="AI9" s="35">
        <v>8.02</v>
      </c>
      <c r="AJ9" s="35">
        <v>8.85</v>
      </c>
      <c r="AK9" s="35">
        <v>24.16</v>
      </c>
      <c r="AL9" s="35">
        <f t="shared" ref="AL9:AL46" si="7">SUM(AI9:AK9)</f>
        <v>41.03</v>
      </c>
      <c r="AM9" s="35">
        <v>9.0100000000000016</v>
      </c>
      <c r="AN9" s="35">
        <v>9.5</v>
      </c>
      <c r="AO9" s="35">
        <v>16.82</v>
      </c>
      <c r="AP9" s="35">
        <f t="shared" ref="AP9:AP46" si="8">SUM(AM9:AO9)</f>
        <v>35.33</v>
      </c>
      <c r="AQ9" s="35">
        <v>5.67</v>
      </c>
      <c r="AR9" s="35">
        <v>5.62</v>
      </c>
      <c r="AS9" s="35">
        <v>11.21</v>
      </c>
      <c r="AT9" s="35">
        <f t="shared" ref="AT9:AT46" si="9">SUM(AQ9:AS9)</f>
        <v>22.5</v>
      </c>
      <c r="AU9" s="35">
        <v>14.58</v>
      </c>
      <c r="AV9" s="35">
        <v>13.3</v>
      </c>
      <c r="AW9" s="35">
        <v>25.82</v>
      </c>
      <c r="AX9" s="35">
        <f t="shared" ref="AX9:AX46" si="10">SUM(AU9:AW9)</f>
        <v>53.7</v>
      </c>
      <c r="AY9" s="12">
        <v>12.26</v>
      </c>
      <c r="AZ9" s="12">
        <v>12.72</v>
      </c>
      <c r="BA9" s="12">
        <v>15.112435999999999</v>
      </c>
      <c r="BB9" s="35">
        <f t="shared" ref="BB9:BB46" si="11">SUM(AY9:BA9)</f>
        <v>40.092435999999999</v>
      </c>
    </row>
    <row r="10" spans="1:54" x14ac:dyDescent="0.3">
      <c r="A10" s="7">
        <v>2</v>
      </c>
      <c r="B10" s="31" t="s">
        <v>6</v>
      </c>
      <c r="C10" s="48">
        <f t="shared" ref="C10:C46" si="12">G10+K10+O10+S10+W10+AA10+AE10+AI10+AM10+AQ10+AU10+AY10</f>
        <v>292.10000000000002</v>
      </c>
      <c r="D10" s="48">
        <f t="shared" ref="D10:D46" si="13">H10+L10+P10+T10+X10+AB10+AF10+AJ10+AN10+AR10+AV10+AZ10</f>
        <v>454.1</v>
      </c>
      <c r="E10" s="48">
        <f t="shared" ref="E10:E46" si="14">I10+M10+Q10+U10+Y10+AC10+AG10+AK10+AO10+AS10+AW10+BA10</f>
        <v>990.18412709999996</v>
      </c>
      <c r="F10" s="48">
        <f t="shared" ref="F10:F46" si="15">J10+N10+R10+V10+Z10+AD10+AH10+AL10+AP10+AT10+AX10+BB10</f>
        <v>1736.3841271000001</v>
      </c>
      <c r="G10" s="35">
        <v>11.77</v>
      </c>
      <c r="H10" s="35">
        <v>23.87</v>
      </c>
      <c r="I10" s="35">
        <v>93.67</v>
      </c>
      <c r="J10" s="35">
        <f t="shared" si="0"/>
        <v>129.31</v>
      </c>
      <c r="K10" s="35">
        <v>14.89</v>
      </c>
      <c r="L10" s="35">
        <v>32.380000000000003</v>
      </c>
      <c r="M10" s="35">
        <v>33.869999999999997</v>
      </c>
      <c r="N10" s="35">
        <f t="shared" si="1"/>
        <v>81.14</v>
      </c>
      <c r="O10" s="35">
        <v>13.01</v>
      </c>
      <c r="P10" s="35">
        <v>27.21</v>
      </c>
      <c r="Q10" s="35">
        <v>27.28</v>
      </c>
      <c r="R10" s="35">
        <f t="shared" si="2"/>
        <v>67.5</v>
      </c>
      <c r="S10" s="35">
        <v>18.93</v>
      </c>
      <c r="T10" s="35">
        <v>29.95</v>
      </c>
      <c r="U10" s="35">
        <v>72.75</v>
      </c>
      <c r="V10" s="35">
        <f t="shared" si="3"/>
        <v>121.63</v>
      </c>
      <c r="W10" s="35">
        <v>11.07</v>
      </c>
      <c r="X10" s="35">
        <v>23.91</v>
      </c>
      <c r="Y10" s="35">
        <v>49.97</v>
      </c>
      <c r="Z10" s="35">
        <f t="shared" si="4"/>
        <v>84.95</v>
      </c>
      <c r="AA10" s="35">
        <v>20.8</v>
      </c>
      <c r="AB10" s="35">
        <v>25.69</v>
      </c>
      <c r="AC10" s="35">
        <v>66.13</v>
      </c>
      <c r="AD10" s="35">
        <f t="shared" si="5"/>
        <v>112.62</v>
      </c>
      <c r="AE10" s="35">
        <v>16.579999999999998</v>
      </c>
      <c r="AF10" s="35">
        <v>36.5</v>
      </c>
      <c r="AG10" s="35">
        <v>47.48</v>
      </c>
      <c r="AH10" s="35">
        <f t="shared" si="6"/>
        <v>100.56</v>
      </c>
      <c r="AI10" s="35">
        <v>25.6</v>
      </c>
      <c r="AJ10" s="35">
        <v>33.08</v>
      </c>
      <c r="AK10" s="35">
        <v>50.47</v>
      </c>
      <c r="AL10" s="35">
        <f t="shared" si="7"/>
        <v>109.15</v>
      </c>
      <c r="AM10" s="35">
        <v>32.879999999999995</v>
      </c>
      <c r="AN10" s="35">
        <v>56.949999999999996</v>
      </c>
      <c r="AO10" s="35">
        <v>89.539999999999992</v>
      </c>
      <c r="AP10" s="35">
        <f t="shared" si="8"/>
        <v>179.36999999999998</v>
      </c>
      <c r="AQ10" s="35">
        <v>27.13</v>
      </c>
      <c r="AR10" s="35">
        <v>40.49</v>
      </c>
      <c r="AS10" s="35">
        <v>141.91999999999999</v>
      </c>
      <c r="AT10" s="35">
        <f t="shared" si="9"/>
        <v>209.54</v>
      </c>
      <c r="AU10" s="35">
        <v>34.58</v>
      </c>
      <c r="AV10" s="35">
        <v>45.17</v>
      </c>
      <c r="AW10" s="35">
        <v>107.68</v>
      </c>
      <c r="AX10" s="35">
        <f t="shared" si="10"/>
        <v>187.43</v>
      </c>
      <c r="AY10" s="12">
        <v>64.86</v>
      </c>
      <c r="AZ10" s="12">
        <v>78.900000000000006</v>
      </c>
      <c r="BA10" s="12">
        <v>209.42412709999999</v>
      </c>
      <c r="BB10" s="35">
        <f t="shared" si="11"/>
        <v>353.18412709999996</v>
      </c>
    </row>
    <row r="11" spans="1:54" x14ac:dyDescent="0.3">
      <c r="A11" s="7">
        <v>3</v>
      </c>
      <c r="B11" s="31" t="s">
        <v>7</v>
      </c>
      <c r="C11" s="48">
        <f t="shared" si="12"/>
        <v>785.46</v>
      </c>
      <c r="D11" s="48">
        <f t="shared" si="13"/>
        <v>1485.17</v>
      </c>
      <c r="E11" s="48">
        <f t="shared" si="14"/>
        <v>576.17640490000008</v>
      </c>
      <c r="F11" s="48">
        <f t="shared" si="15"/>
        <v>2846.8064049</v>
      </c>
      <c r="G11" s="35">
        <v>122.23</v>
      </c>
      <c r="H11" s="35">
        <v>177.53</v>
      </c>
      <c r="I11" s="35">
        <v>59.56</v>
      </c>
      <c r="J11" s="35">
        <f t="shared" si="0"/>
        <v>359.32</v>
      </c>
      <c r="K11" s="35">
        <v>46.11</v>
      </c>
      <c r="L11" s="35">
        <v>75.099999999999994</v>
      </c>
      <c r="M11" s="35">
        <v>50.55</v>
      </c>
      <c r="N11" s="35">
        <f t="shared" si="1"/>
        <v>171.76</v>
      </c>
      <c r="O11" s="35">
        <v>20.78</v>
      </c>
      <c r="P11" s="35">
        <v>31.22</v>
      </c>
      <c r="Q11" s="35">
        <v>11.01</v>
      </c>
      <c r="R11" s="35">
        <f t="shared" si="2"/>
        <v>63.01</v>
      </c>
      <c r="S11" s="35">
        <v>41.03</v>
      </c>
      <c r="T11" s="35">
        <v>70.81</v>
      </c>
      <c r="U11" s="35">
        <v>28.32</v>
      </c>
      <c r="V11" s="35">
        <f t="shared" si="3"/>
        <v>140.16</v>
      </c>
      <c r="W11" s="35">
        <v>96.07</v>
      </c>
      <c r="X11" s="35">
        <v>155.58000000000001</v>
      </c>
      <c r="Y11" s="35">
        <v>74.59</v>
      </c>
      <c r="Z11" s="35">
        <f t="shared" si="4"/>
        <v>326.24</v>
      </c>
      <c r="AA11" s="35">
        <v>109.52</v>
      </c>
      <c r="AB11" s="35">
        <v>155.32</v>
      </c>
      <c r="AC11" s="35">
        <v>97.56</v>
      </c>
      <c r="AD11" s="35">
        <f t="shared" si="5"/>
        <v>362.4</v>
      </c>
      <c r="AE11" s="35">
        <v>21.67</v>
      </c>
      <c r="AF11" s="35">
        <v>40.880000000000003</v>
      </c>
      <c r="AG11" s="35">
        <v>15.9</v>
      </c>
      <c r="AH11" s="35">
        <f t="shared" si="6"/>
        <v>78.45</v>
      </c>
      <c r="AI11" s="35">
        <v>21.65</v>
      </c>
      <c r="AJ11" s="35">
        <v>37.68</v>
      </c>
      <c r="AK11" s="35">
        <v>9.8699999999999992</v>
      </c>
      <c r="AL11" s="35">
        <f t="shared" si="7"/>
        <v>69.2</v>
      </c>
      <c r="AM11" s="35">
        <v>92.800000000000011</v>
      </c>
      <c r="AN11" s="35">
        <v>199.94</v>
      </c>
      <c r="AO11" s="35">
        <v>37.18</v>
      </c>
      <c r="AP11" s="35">
        <f t="shared" si="8"/>
        <v>329.92</v>
      </c>
      <c r="AQ11" s="35">
        <v>68.72</v>
      </c>
      <c r="AR11" s="35">
        <v>192.5</v>
      </c>
      <c r="AS11" s="35">
        <v>31.74</v>
      </c>
      <c r="AT11" s="35">
        <f t="shared" si="9"/>
        <v>292.96000000000004</v>
      </c>
      <c r="AU11" s="35">
        <v>51.75</v>
      </c>
      <c r="AV11" s="35">
        <v>110.46</v>
      </c>
      <c r="AW11" s="35">
        <v>56.82</v>
      </c>
      <c r="AX11" s="35">
        <f t="shared" si="10"/>
        <v>219.02999999999997</v>
      </c>
      <c r="AY11" s="12">
        <v>93.13</v>
      </c>
      <c r="AZ11" s="12">
        <v>238.15</v>
      </c>
      <c r="BA11" s="12">
        <v>103.0764049</v>
      </c>
      <c r="BB11" s="35">
        <f t="shared" si="11"/>
        <v>434.35640489999997</v>
      </c>
    </row>
    <row r="12" spans="1:54" x14ac:dyDescent="0.3">
      <c r="A12" s="7">
        <v>4</v>
      </c>
      <c r="B12" s="31" t="s">
        <v>8</v>
      </c>
      <c r="C12" s="48">
        <f t="shared" si="12"/>
        <v>12.959999999999997</v>
      </c>
      <c r="D12" s="48">
        <f t="shared" si="13"/>
        <v>13.239999999999998</v>
      </c>
      <c r="E12" s="48">
        <f t="shared" si="14"/>
        <v>106.2462077</v>
      </c>
      <c r="F12" s="48">
        <f t="shared" si="15"/>
        <v>132.4462077</v>
      </c>
      <c r="G12" s="35">
        <v>0.36</v>
      </c>
      <c r="H12" s="35">
        <v>0.41</v>
      </c>
      <c r="I12" s="35">
        <v>2</v>
      </c>
      <c r="J12" s="35">
        <f t="shared" si="0"/>
        <v>2.77</v>
      </c>
      <c r="K12" s="35">
        <v>1.18</v>
      </c>
      <c r="L12" s="35">
        <v>1.1599999999999999</v>
      </c>
      <c r="M12" s="35">
        <v>23.75</v>
      </c>
      <c r="N12" s="35">
        <f t="shared" si="1"/>
        <v>26.09</v>
      </c>
      <c r="O12" s="35">
        <v>0.81</v>
      </c>
      <c r="P12" s="35">
        <v>0.86</v>
      </c>
      <c r="Q12" s="35">
        <v>5.64</v>
      </c>
      <c r="R12" s="35">
        <f t="shared" si="2"/>
        <v>7.31</v>
      </c>
      <c r="S12" s="35">
        <v>1.35</v>
      </c>
      <c r="T12" s="35">
        <v>1.35</v>
      </c>
      <c r="U12" s="35">
        <v>7.41</v>
      </c>
      <c r="V12" s="35">
        <f t="shared" si="3"/>
        <v>10.11</v>
      </c>
      <c r="W12" s="35">
        <v>1.86</v>
      </c>
      <c r="X12" s="35">
        <v>1.73</v>
      </c>
      <c r="Y12" s="35">
        <v>5.09</v>
      </c>
      <c r="Z12" s="35">
        <f t="shared" si="4"/>
        <v>8.68</v>
      </c>
      <c r="AA12" s="35">
        <v>0.69</v>
      </c>
      <c r="AB12" s="35">
        <v>0.97</v>
      </c>
      <c r="AC12" s="35">
        <v>3.7</v>
      </c>
      <c r="AD12" s="35">
        <f t="shared" si="5"/>
        <v>5.36</v>
      </c>
      <c r="AE12" s="35">
        <v>1.69</v>
      </c>
      <c r="AF12" s="35">
        <v>1.43</v>
      </c>
      <c r="AG12" s="35">
        <v>1.1200000000000001</v>
      </c>
      <c r="AH12" s="35">
        <f t="shared" si="6"/>
        <v>4.24</v>
      </c>
      <c r="AI12" s="35">
        <v>0.95</v>
      </c>
      <c r="AJ12" s="35">
        <v>0.95</v>
      </c>
      <c r="AK12" s="35">
        <v>0.75</v>
      </c>
      <c r="AL12" s="35">
        <f t="shared" si="7"/>
        <v>2.65</v>
      </c>
      <c r="AM12" s="35">
        <v>0.10999999999999999</v>
      </c>
      <c r="AN12" s="35">
        <v>0.27999999999999997</v>
      </c>
      <c r="AO12" s="35">
        <v>0.46</v>
      </c>
      <c r="AP12" s="35">
        <f t="shared" si="8"/>
        <v>0.85</v>
      </c>
      <c r="AQ12" s="35">
        <v>1.74</v>
      </c>
      <c r="AR12" s="35">
        <v>1.74</v>
      </c>
      <c r="AS12" s="35">
        <v>21.63</v>
      </c>
      <c r="AT12" s="35">
        <f t="shared" si="9"/>
        <v>25.11</v>
      </c>
      <c r="AU12" s="35">
        <v>0.28999999999999998</v>
      </c>
      <c r="AV12" s="35">
        <v>0.28999999999999998</v>
      </c>
      <c r="AW12" s="35">
        <v>2.83</v>
      </c>
      <c r="AX12" s="35">
        <f t="shared" si="10"/>
        <v>3.41</v>
      </c>
      <c r="AY12" s="12">
        <v>1.93</v>
      </c>
      <c r="AZ12" s="12">
        <v>2.0699999999999998</v>
      </c>
      <c r="BA12" s="12">
        <v>31.8662077</v>
      </c>
      <c r="BB12" s="35">
        <f t="shared" si="11"/>
        <v>35.866207700000004</v>
      </c>
    </row>
    <row r="13" spans="1:54" x14ac:dyDescent="0.3">
      <c r="A13" s="7">
        <v>5</v>
      </c>
      <c r="B13" s="31" t="s">
        <v>9</v>
      </c>
      <c r="C13" s="48">
        <f t="shared" si="12"/>
        <v>294.75935520000002</v>
      </c>
      <c r="D13" s="48">
        <f t="shared" si="13"/>
        <v>440.1099999999999</v>
      </c>
      <c r="E13" s="48">
        <f t="shared" si="14"/>
        <v>635.22893928000008</v>
      </c>
      <c r="F13" s="48">
        <f t="shared" si="15"/>
        <v>1370.0982944799998</v>
      </c>
      <c r="G13" s="35">
        <v>14.63</v>
      </c>
      <c r="H13" s="35">
        <v>29.31</v>
      </c>
      <c r="I13" s="35">
        <v>33.44</v>
      </c>
      <c r="J13" s="35">
        <f t="shared" si="0"/>
        <v>77.38</v>
      </c>
      <c r="K13" s="35">
        <v>32.03</v>
      </c>
      <c r="L13" s="35">
        <v>45.33</v>
      </c>
      <c r="M13" s="35">
        <v>57.66</v>
      </c>
      <c r="N13" s="35">
        <f t="shared" si="1"/>
        <v>135.01999999999998</v>
      </c>
      <c r="O13" s="35">
        <v>24.54</v>
      </c>
      <c r="P13" s="35">
        <v>36.21</v>
      </c>
      <c r="Q13" s="35">
        <v>65.760000000000005</v>
      </c>
      <c r="R13" s="35">
        <f t="shared" si="2"/>
        <v>126.51</v>
      </c>
      <c r="S13" s="35">
        <v>13.03</v>
      </c>
      <c r="T13" s="35">
        <v>20.010000000000002</v>
      </c>
      <c r="U13" s="35">
        <v>20.41</v>
      </c>
      <c r="V13" s="35">
        <f t="shared" si="3"/>
        <v>53.45</v>
      </c>
      <c r="W13" s="35">
        <v>10.92</v>
      </c>
      <c r="X13" s="35">
        <v>14.88</v>
      </c>
      <c r="Y13" s="35">
        <v>21.39</v>
      </c>
      <c r="Z13" s="35">
        <f t="shared" si="4"/>
        <v>47.19</v>
      </c>
      <c r="AA13" s="35">
        <v>17.45</v>
      </c>
      <c r="AB13" s="35">
        <v>25.11</v>
      </c>
      <c r="AC13" s="35">
        <v>57.54</v>
      </c>
      <c r="AD13" s="35">
        <f t="shared" si="5"/>
        <v>100.1</v>
      </c>
      <c r="AE13" s="35">
        <v>18.170000000000002</v>
      </c>
      <c r="AF13" s="35">
        <v>25.37</v>
      </c>
      <c r="AG13" s="35">
        <v>31.05</v>
      </c>
      <c r="AH13" s="35">
        <f t="shared" si="6"/>
        <v>74.59</v>
      </c>
      <c r="AI13" s="35">
        <v>18.18</v>
      </c>
      <c r="AJ13" s="35">
        <v>25.04</v>
      </c>
      <c r="AK13" s="35">
        <v>87.03</v>
      </c>
      <c r="AL13" s="35">
        <f t="shared" si="7"/>
        <v>130.25</v>
      </c>
      <c r="AM13" s="35">
        <v>33.25</v>
      </c>
      <c r="AN13" s="35">
        <v>53.180000000000007</v>
      </c>
      <c r="AO13" s="35">
        <v>51.809999999999995</v>
      </c>
      <c r="AP13" s="35">
        <f t="shared" si="8"/>
        <v>138.24</v>
      </c>
      <c r="AQ13" s="35">
        <v>48.59</v>
      </c>
      <c r="AR13" s="35">
        <v>77.12</v>
      </c>
      <c r="AS13" s="35">
        <v>69.37</v>
      </c>
      <c r="AT13" s="35">
        <f t="shared" si="9"/>
        <v>195.08</v>
      </c>
      <c r="AU13" s="35">
        <v>24.42</v>
      </c>
      <c r="AV13" s="35">
        <v>35.15</v>
      </c>
      <c r="AW13" s="35">
        <v>43.77</v>
      </c>
      <c r="AX13" s="35">
        <f t="shared" si="10"/>
        <v>103.34</v>
      </c>
      <c r="AY13" s="12">
        <v>39.549355200000001</v>
      </c>
      <c r="AZ13" s="12">
        <v>53.4</v>
      </c>
      <c r="BA13" s="12">
        <v>95.998939280000002</v>
      </c>
      <c r="BB13" s="35">
        <f t="shared" si="11"/>
        <v>188.94829448000002</v>
      </c>
    </row>
    <row r="14" spans="1:54" x14ac:dyDescent="0.3">
      <c r="A14" s="7">
        <v>6</v>
      </c>
      <c r="B14" s="31" t="s">
        <v>10</v>
      </c>
      <c r="C14" s="48">
        <f t="shared" si="12"/>
        <v>2238.4492633</v>
      </c>
      <c r="D14" s="48">
        <f t="shared" si="13"/>
        <v>2487.7600000000002</v>
      </c>
      <c r="E14" s="48">
        <f t="shared" si="14"/>
        <v>6352.7700548680004</v>
      </c>
      <c r="F14" s="48">
        <f t="shared" si="15"/>
        <v>11078.979318168</v>
      </c>
      <c r="G14" s="35">
        <v>133.77000000000001</v>
      </c>
      <c r="H14" s="35">
        <v>171.35</v>
      </c>
      <c r="I14" s="35">
        <v>310.24</v>
      </c>
      <c r="J14" s="35">
        <f t="shared" si="0"/>
        <v>615.36</v>
      </c>
      <c r="K14" s="35">
        <v>201.47</v>
      </c>
      <c r="L14" s="35">
        <v>226.7</v>
      </c>
      <c r="M14" s="35">
        <v>1551.64</v>
      </c>
      <c r="N14" s="35">
        <f t="shared" si="1"/>
        <v>1979.81</v>
      </c>
      <c r="O14" s="35">
        <v>213.48</v>
      </c>
      <c r="P14" s="35">
        <v>237.97</v>
      </c>
      <c r="Q14" s="35">
        <v>400.56</v>
      </c>
      <c r="R14" s="35">
        <f t="shared" si="2"/>
        <v>852.01</v>
      </c>
      <c r="S14" s="35">
        <v>261.02999999999997</v>
      </c>
      <c r="T14" s="35">
        <v>256.24</v>
      </c>
      <c r="U14" s="35">
        <v>448.03</v>
      </c>
      <c r="V14" s="35">
        <f t="shared" si="3"/>
        <v>965.3</v>
      </c>
      <c r="W14" s="35">
        <v>143.41</v>
      </c>
      <c r="X14" s="35">
        <v>154.81</v>
      </c>
      <c r="Y14" s="35">
        <v>289.08999999999997</v>
      </c>
      <c r="Z14" s="35">
        <f t="shared" si="4"/>
        <v>587.30999999999995</v>
      </c>
      <c r="AA14" s="35">
        <v>177.43</v>
      </c>
      <c r="AB14" s="35">
        <v>218.47</v>
      </c>
      <c r="AC14" s="35">
        <v>661.67</v>
      </c>
      <c r="AD14" s="35">
        <f t="shared" si="5"/>
        <v>1057.57</v>
      </c>
      <c r="AE14" s="35">
        <v>186.28</v>
      </c>
      <c r="AF14" s="35">
        <v>202.45</v>
      </c>
      <c r="AG14" s="35">
        <v>322.25</v>
      </c>
      <c r="AH14" s="35">
        <f t="shared" si="6"/>
        <v>710.98</v>
      </c>
      <c r="AI14" s="35">
        <v>118.82</v>
      </c>
      <c r="AJ14" s="35">
        <v>122.92</v>
      </c>
      <c r="AK14" s="35">
        <v>232.65</v>
      </c>
      <c r="AL14" s="35">
        <f t="shared" si="7"/>
        <v>474.39</v>
      </c>
      <c r="AM14" s="35">
        <v>199.15</v>
      </c>
      <c r="AN14" s="35">
        <v>213.07</v>
      </c>
      <c r="AO14" s="35">
        <v>956.35</v>
      </c>
      <c r="AP14" s="35">
        <f t="shared" si="8"/>
        <v>1368.5700000000002</v>
      </c>
      <c r="AQ14" s="35">
        <v>217.11</v>
      </c>
      <c r="AR14" s="35">
        <v>234.3</v>
      </c>
      <c r="AS14" s="35">
        <v>328.91</v>
      </c>
      <c r="AT14" s="35">
        <f t="shared" si="9"/>
        <v>780.32</v>
      </c>
      <c r="AU14" s="35">
        <v>139.19</v>
      </c>
      <c r="AV14" s="35">
        <v>163.37</v>
      </c>
      <c r="AW14" s="35">
        <v>295.10000000000002</v>
      </c>
      <c r="AX14" s="35">
        <f t="shared" si="10"/>
        <v>597.66000000000008</v>
      </c>
      <c r="AY14" s="12">
        <v>247.3092633</v>
      </c>
      <c r="AZ14" s="12">
        <v>286.11</v>
      </c>
      <c r="BA14" s="12">
        <v>556.28005486800009</v>
      </c>
      <c r="BB14" s="35">
        <f t="shared" si="11"/>
        <v>1089.699318168</v>
      </c>
    </row>
    <row r="15" spans="1:54" x14ac:dyDescent="0.3">
      <c r="A15" s="7">
        <v>7</v>
      </c>
      <c r="B15" s="31" t="s">
        <v>11</v>
      </c>
      <c r="C15" s="48">
        <f t="shared" si="12"/>
        <v>618.62803279999991</v>
      </c>
      <c r="D15" s="48">
        <f t="shared" si="13"/>
        <v>789.01999999999987</v>
      </c>
      <c r="E15" s="48">
        <f t="shared" si="14"/>
        <v>3991.2088763469997</v>
      </c>
      <c r="F15" s="48">
        <f t="shared" si="15"/>
        <v>5398.8569091469999</v>
      </c>
      <c r="G15" s="35">
        <v>44.93</v>
      </c>
      <c r="H15" s="35">
        <v>55.74</v>
      </c>
      <c r="I15" s="35">
        <v>65.97</v>
      </c>
      <c r="J15" s="35">
        <f t="shared" si="0"/>
        <v>166.64</v>
      </c>
      <c r="K15" s="35">
        <v>62.61</v>
      </c>
      <c r="L15" s="35">
        <v>80.22</v>
      </c>
      <c r="M15" s="35">
        <v>92.07</v>
      </c>
      <c r="N15" s="35">
        <f t="shared" si="1"/>
        <v>234.89999999999998</v>
      </c>
      <c r="O15" s="35">
        <v>52.4</v>
      </c>
      <c r="P15" s="35">
        <v>60.96</v>
      </c>
      <c r="Q15" s="35">
        <v>81.75</v>
      </c>
      <c r="R15" s="35">
        <f t="shared" si="2"/>
        <v>195.11</v>
      </c>
      <c r="S15" s="35">
        <v>73.53</v>
      </c>
      <c r="T15" s="35">
        <v>89.52</v>
      </c>
      <c r="U15" s="35">
        <v>117.7</v>
      </c>
      <c r="V15" s="35">
        <f t="shared" si="3"/>
        <v>280.75</v>
      </c>
      <c r="W15" s="35">
        <v>30.04</v>
      </c>
      <c r="X15" s="35">
        <v>39.22</v>
      </c>
      <c r="Y15" s="35">
        <v>49.04</v>
      </c>
      <c r="Z15" s="35">
        <f t="shared" si="4"/>
        <v>118.29999999999998</v>
      </c>
      <c r="AA15" s="35">
        <v>70.760000000000005</v>
      </c>
      <c r="AB15" s="35">
        <v>93</v>
      </c>
      <c r="AC15" s="35">
        <v>1705.35</v>
      </c>
      <c r="AD15" s="35">
        <f t="shared" si="5"/>
        <v>1869.11</v>
      </c>
      <c r="AE15" s="35">
        <v>75.41</v>
      </c>
      <c r="AF15" s="35">
        <v>91.22</v>
      </c>
      <c r="AG15" s="35">
        <v>159.72</v>
      </c>
      <c r="AH15" s="35">
        <f t="shared" si="6"/>
        <v>326.35000000000002</v>
      </c>
      <c r="AI15" s="35">
        <v>26.31</v>
      </c>
      <c r="AJ15" s="35">
        <v>33.03</v>
      </c>
      <c r="AK15" s="35">
        <v>52.02</v>
      </c>
      <c r="AL15" s="35">
        <f t="shared" si="7"/>
        <v>111.36000000000001</v>
      </c>
      <c r="AM15" s="35">
        <v>42.330000000000005</v>
      </c>
      <c r="AN15" s="35">
        <v>53.49</v>
      </c>
      <c r="AO15" s="35">
        <v>1436.83</v>
      </c>
      <c r="AP15" s="35">
        <f t="shared" si="8"/>
        <v>1532.6499999999999</v>
      </c>
      <c r="AQ15" s="35">
        <v>49.77</v>
      </c>
      <c r="AR15" s="35">
        <v>67.69</v>
      </c>
      <c r="AS15" s="35">
        <v>108.87</v>
      </c>
      <c r="AT15" s="35">
        <f t="shared" si="9"/>
        <v>226.33</v>
      </c>
      <c r="AU15" s="35">
        <v>48.92</v>
      </c>
      <c r="AV15" s="35">
        <v>68.38</v>
      </c>
      <c r="AW15" s="35">
        <v>63.45</v>
      </c>
      <c r="AX15" s="35">
        <f t="shared" si="10"/>
        <v>180.75</v>
      </c>
      <c r="AY15" s="12">
        <v>41.618032799999995</v>
      </c>
      <c r="AZ15" s="12">
        <v>56.55</v>
      </c>
      <c r="BA15" s="12">
        <v>58.438876346999997</v>
      </c>
      <c r="BB15" s="35">
        <f t="shared" si="11"/>
        <v>156.60690914699998</v>
      </c>
    </row>
    <row r="16" spans="1:54" x14ac:dyDescent="0.3">
      <c r="A16" s="7">
        <v>8</v>
      </c>
      <c r="B16" s="31" t="s">
        <v>12</v>
      </c>
      <c r="C16" s="48">
        <f t="shared" si="12"/>
        <v>1059.78</v>
      </c>
      <c r="D16" s="48">
        <f t="shared" si="13"/>
        <v>1370.9099999999999</v>
      </c>
      <c r="E16" s="48">
        <f t="shared" si="14"/>
        <v>1730.53</v>
      </c>
      <c r="F16" s="48">
        <f t="shared" si="15"/>
        <v>4161.22</v>
      </c>
      <c r="G16" s="35">
        <v>68.900000000000006</v>
      </c>
      <c r="H16" s="35">
        <v>80.09</v>
      </c>
      <c r="I16" s="35">
        <v>146.03</v>
      </c>
      <c r="J16" s="35">
        <f t="shared" si="0"/>
        <v>295.02</v>
      </c>
      <c r="K16" s="35">
        <v>119.86</v>
      </c>
      <c r="L16" s="35">
        <v>189.84</v>
      </c>
      <c r="M16" s="35">
        <v>249.86</v>
      </c>
      <c r="N16" s="35">
        <f t="shared" si="1"/>
        <v>559.55999999999995</v>
      </c>
      <c r="O16" s="35">
        <v>64.02</v>
      </c>
      <c r="P16" s="35">
        <v>91.16</v>
      </c>
      <c r="Q16" s="35">
        <v>107.99</v>
      </c>
      <c r="R16" s="35">
        <f t="shared" si="2"/>
        <v>263.17</v>
      </c>
      <c r="S16" s="35">
        <v>103.22</v>
      </c>
      <c r="T16" s="35">
        <v>122.28</v>
      </c>
      <c r="U16" s="35">
        <v>167.13</v>
      </c>
      <c r="V16" s="35">
        <f t="shared" si="3"/>
        <v>392.63</v>
      </c>
      <c r="W16" s="35">
        <v>82.02</v>
      </c>
      <c r="X16" s="35">
        <v>102.48</v>
      </c>
      <c r="Y16" s="35">
        <v>157.31</v>
      </c>
      <c r="Z16" s="35">
        <f t="shared" si="4"/>
        <v>341.81</v>
      </c>
      <c r="AA16" s="35">
        <v>113.36</v>
      </c>
      <c r="AB16" s="35">
        <v>136.51</v>
      </c>
      <c r="AC16" s="35">
        <v>202.87</v>
      </c>
      <c r="AD16" s="35">
        <f t="shared" si="5"/>
        <v>452.74</v>
      </c>
      <c r="AE16" s="35">
        <v>72.650000000000006</v>
      </c>
      <c r="AF16" s="35">
        <v>95.69</v>
      </c>
      <c r="AG16" s="35">
        <v>80.05</v>
      </c>
      <c r="AH16" s="35">
        <f t="shared" si="6"/>
        <v>248.39</v>
      </c>
      <c r="AI16" s="35">
        <v>44.01</v>
      </c>
      <c r="AJ16" s="35">
        <v>63.35</v>
      </c>
      <c r="AK16" s="35">
        <v>64.72</v>
      </c>
      <c r="AL16" s="35">
        <f t="shared" si="7"/>
        <v>172.07999999999998</v>
      </c>
      <c r="AM16" s="35">
        <v>127.30000000000001</v>
      </c>
      <c r="AN16" s="35">
        <v>159.22999999999999</v>
      </c>
      <c r="AO16" s="35">
        <v>163.74</v>
      </c>
      <c r="AP16" s="35">
        <f t="shared" si="8"/>
        <v>450.27</v>
      </c>
      <c r="AQ16" s="35">
        <v>80.760000000000005</v>
      </c>
      <c r="AR16" s="35">
        <v>97.51</v>
      </c>
      <c r="AS16" s="35">
        <v>124.59</v>
      </c>
      <c r="AT16" s="35">
        <f t="shared" si="9"/>
        <v>302.86</v>
      </c>
      <c r="AU16" s="35">
        <v>75.599999999999994</v>
      </c>
      <c r="AV16" s="35">
        <v>93.27</v>
      </c>
      <c r="AW16" s="35">
        <v>134.91999999999999</v>
      </c>
      <c r="AX16" s="35">
        <f t="shared" si="10"/>
        <v>303.78999999999996</v>
      </c>
      <c r="AY16" s="12">
        <v>108.08</v>
      </c>
      <c r="AZ16" s="12">
        <v>139.5</v>
      </c>
      <c r="BA16" s="12">
        <v>131.32</v>
      </c>
      <c r="BB16" s="35">
        <f t="shared" si="11"/>
        <v>378.9</v>
      </c>
    </row>
    <row r="17" spans="1:54" x14ac:dyDescent="0.3">
      <c r="A17" s="7">
        <v>9</v>
      </c>
      <c r="B17" s="31" t="s">
        <v>13</v>
      </c>
      <c r="C17" s="48">
        <f t="shared" si="12"/>
        <v>2444.6324961</v>
      </c>
      <c r="D17" s="48">
        <f t="shared" si="13"/>
        <v>2553.4399403999996</v>
      </c>
      <c r="E17" s="48">
        <f t="shared" si="14"/>
        <v>3829.9938841000003</v>
      </c>
      <c r="F17" s="48">
        <f t="shared" si="15"/>
        <v>8828.0663206000008</v>
      </c>
      <c r="G17" s="35">
        <v>183.68</v>
      </c>
      <c r="H17" s="35">
        <v>175.8</v>
      </c>
      <c r="I17" s="35">
        <v>249.23</v>
      </c>
      <c r="J17" s="35">
        <f t="shared" si="0"/>
        <v>608.71</v>
      </c>
      <c r="K17" s="35">
        <v>316.12</v>
      </c>
      <c r="L17" s="35">
        <v>293.18</v>
      </c>
      <c r="M17" s="35">
        <v>346.08</v>
      </c>
      <c r="N17" s="35">
        <f t="shared" si="1"/>
        <v>955.37999999999988</v>
      </c>
      <c r="O17" s="35">
        <v>168.47</v>
      </c>
      <c r="P17" s="35">
        <v>184.53</v>
      </c>
      <c r="Q17" s="35">
        <v>357.86</v>
      </c>
      <c r="R17" s="35">
        <f t="shared" si="2"/>
        <v>710.86</v>
      </c>
      <c r="S17" s="35">
        <v>197.04</v>
      </c>
      <c r="T17" s="35">
        <v>199.51</v>
      </c>
      <c r="U17" s="35">
        <v>232.71</v>
      </c>
      <c r="V17" s="35">
        <f t="shared" si="3"/>
        <v>629.26</v>
      </c>
      <c r="W17" s="35">
        <v>155.85</v>
      </c>
      <c r="X17" s="35">
        <v>147.77000000000001</v>
      </c>
      <c r="Y17" s="35">
        <v>486.1</v>
      </c>
      <c r="Z17" s="35">
        <f t="shared" si="4"/>
        <v>789.72</v>
      </c>
      <c r="AA17" s="35">
        <v>202.71</v>
      </c>
      <c r="AB17" s="35">
        <v>228.22</v>
      </c>
      <c r="AC17" s="35">
        <v>426.68</v>
      </c>
      <c r="AD17" s="35">
        <f t="shared" si="5"/>
        <v>857.61</v>
      </c>
      <c r="AE17" s="35">
        <v>182.39</v>
      </c>
      <c r="AF17" s="35">
        <v>179.5</v>
      </c>
      <c r="AG17" s="35">
        <v>189.09</v>
      </c>
      <c r="AH17" s="35">
        <f t="shared" si="6"/>
        <v>550.98</v>
      </c>
      <c r="AI17" s="35">
        <v>144.02000000000001</v>
      </c>
      <c r="AJ17" s="35">
        <v>154.15</v>
      </c>
      <c r="AK17" s="35">
        <v>205.03</v>
      </c>
      <c r="AL17" s="35">
        <f t="shared" si="7"/>
        <v>503.20000000000005</v>
      </c>
      <c r="AM17" s="35">
        <v>257.41999999999996</v>
      </c>
      <c r="AN17" s="35">
        <v>275.08</v>
      </c>
      <c r="AO17" s="35">
        <v>415.49</v>
      </c>
      <c r="AP17" s="35">
        <f t="shared" si="8"/>
        <v>947.99</v>
      </c>
      <c r="AQ17" s="35">
        <v>179.41</v>
      </c>
      <c r="AR17" s="35">
        <v>199.38</v>
      </c>
      <c r="AS17" s="35">
        <v>305.29000000000002</v>
      </c>
      <c r="AT17" s="35">
        <f t="shared" si="9"/>
        <v>684.07999999999993</v>
      </c>
      <c r="AU17" s="35">
        <v>182.16</v>
      </c>
      <c r="AV17" s="35">
        <v>210.62</v>
      </c>
      <c r="AW17" s="35">
        <v>267.73</v>
      </c>
      <c r="AX17" s="35">
        <f t="shared" si="10"/>
        <v>660.51</v>
      </c>
      <c r="AY17" s="12">
        <v>275.36249609999999</v>
      </c>
      <c r="AZ17" s="12">
        <v>305.6999404</v>
      </c>
      <c r="BA17" s="12">
        <v>348.70388409999998</v>
      </c>
      <c r="BB17" s="35">
        <f t="shared" si="11"/>
        <v>929.76632059999997</v>
      </c>
    </row>
    <row r="18" spans="1:54" x14ac:dyDescent="0.3">
      <c r="A18" s="7">
        <v>10</v>
      </c>
      <c r="B18" s="31" t="s">
        <v>14</v>
      </c>
      <c r="C18" s="48">
        <f t="shared" si="12"/>
        <v>102.17</v>
      </c>
      <c r="D18" s="48">
        <f t="shared" si="13"/>
        <v>100.09</v>
      </c>
      <c r="E18" s="48">
        <f t="shared" si="14"/>
        <v>56.19</v>
      </c>
      <c r="F18" s="48">
        <f t="shared" si="15"/>
        <v>258.45</v>
      </c>
      <c r="G18" s="35">
        <v>0.87</v>
      </c>
      <c r="H18" s="35">
        <v>0.64</v>
      </c>
      <c r="I18" s="35">
        <v>1.34</v>
      </c>
      <c r="J18" s="35">
        <f t="shared" si="0"/>
        <v>2.85</v>
      </c>
      <c r="K18" s="35">
        <v>5.14</v>
      </c>
      <c r="L18" s="35">
        <v>5.43</v>
      </c>
      <c r="M18" s="35">
        <v>0.75</v>
      </c>
      <c r="N18" s="35">
        <f t="shared" si="1"/>
        <v>11.32</v>
      </c>
      <c r="O18" s="35">
        <v>5.73</v>
      </c>
      <c r="P18" s="35">
        <v>6.1</v>
      </c>
      <c r="Q18" s="35">
        <v>8.34</v>
      </c>
      <c r="R18" s="35">
        <f t="shared" si="2"/>
        <v>20.170000000000002</v>
      </c>
      <c r="S18" s="35">
        <v>3.84</v>
      </c>
      <c r="T18" s="35">
        <v>4.18</v>
      </c>
      <c r="U18" s="35">
        <v>7.33</v>
      </c>
      <c r="V18" s="35">
        <f t="shared" si="3"/>
        <v>15.35</v>
      </c>
      <c r="W18" s="35">
        <v>1.34</v>
      </c>
      <c r="X18" s="35">
        <v>1.26</v>
      </c>
      <c r="Y18" s="35">
        <v>1.84</v>
      </c>
      <c r="Z18" s="35">
        <f t="shared" si="4"/>
        <v>4.4400000000000004</v>
      </c>
      <c r="AA18" s="35">
        <v>5.08</v>
      </c>
      <c r="AB18" s="35">
        <v>4.91</v>
      </c>
      <c r="AC18" s="35">
        <v>5.58</v>
      </c>
      <c r="AD18" s="35">
        <f t="shared" si="5"/>
        <v>15.57</v>
      </c>
      <c r="AE18" s="35">
        <v>9.17</v>
      </c>
      <c r="AF18" s="35">
        <v>10.039999999999999</v>
      </c>
      <c r="AG18" s="35">
        <v>4.38</v>
      </c>
      <c r="AH18" s="35">
        <f t="shared" si="6"/>
        <v>23.59</v>
      </c>
      <c r="AI18" s="35">
        <v>3.34</v>
      </c>
      <c r="AJ18" s="35">
        <v>3.24</v>
      </c>
      <c r="AK18" s="35">
        <v>6.52</v>
      </c>
      <c r="AL18" s="35">
        <f t="shared" si="7"/>
        <v>13.1</v>
      </c>
      <c r="AM18" s="35">
        <v>4.54</v>
      </c>
      <c r="AN18" s="35">
        <v>4.0599999999999996</v>
      </c>
      <c r="AO18" s="35">
        <v>3.5400000000000009</v>
      </c>
      <c r="AP18" s="35">
        <f t="shared" si="8"/>
        <v>12.14</v>
      </c>
      <c r="AQ18" s="35">
        <v>8.23</v>
      </c>
      <c r="AR18" s="35">
        <v>5.12</v>
      </c>
      <c r="AS18" s="35">
        <v>3.5</v>
      </c>
      <c r="AT18" s="35">
        <f t="shared" si="9"/>
        <v>16.850000000000001</v>
      </c>
      <c r="AU18" s="35">
        <v>2.58</v>
      </c>
      <c r="AV18" s="35">
        <v>2.61</v>
      </c>
      <c r="AW18" s="35">
        <v>8.2799999999999994</v>
      </c>
      <c r="AX18" s="35">
        <f t="shared" si="10"/>
        <v>13.469999999999999</v>
      </c>
      <c r="AY18" s="12">
        <v>52.31</v>
      </c>
      <c r="AZ18" s="12">
        <v>52.5</v>
      </c>
      <c r="BA18" s="12">
        <v>4.79</v>
      </c>
      <c r="BB18" s="35">
        <f t="shared" si="11"/>
        <v>109.60000000000001</v>
      </c>
    </row>
    <row r="19" spans="1:54" x14ac:dyDescent="0.3">
      <c r="A19" s="7">
        <v>11</v>
      </c>
      <c r="B19" s="31" t="s">
        <v>15</v>
      </c>
      <c r="C19" s="48">
        <f t="shared" si="12"/>
        <v>3.0300000000000002</v>
      </c>
      <c r="D19" s="48">
        <f t="shared" si="13"/>
        <v>4.93</v>
      </c>
      <c r="E19" s="48">
        <f t="shared" si="14"/>
        <v>1.8099999999999998</v>
      </c>
      <c r="F19" s="48">
        <f t="shared" si="15"/>
        <v>9.77</v>
      </c>
      <c r="G19" s="35">
        <v>0.11</v>
      </c>
      <c r="H19" s="35">
        <v>7.0000000000000007E-2</v>
      </c>
      <c r="I19" s="35">
        <v>0.11</v>
      </c>
      <c r="J19" s="35">
        <f t="shared" si="0"/>
        <v>0.28999999999999998</v>
      </c>
      <c r="K19" s="35">
        <v>0.01</v>
      </c>
      <c r="L19" s="35">
        <v>0.01</v>
      </c>
      <c r="M19" s="35">
        <v>0</v>
      </c>
      <c r="N19" s="35">
        <f t="shared" si="1"/>
        <v>0.02</v>
      </c>
      <c r="O19" s="35">
        <v>0.05</v>
      </c>
      <c r="P19" s="35">
        <v>0.02</v>
      </c>
      <c r="Q19" s="35">
        <v>0.1</v>
      </c>
      <c r="R19" s="35">
        <f t="shared" si="2"/>
        <v>0.17</v>
      </c>
      <c r="S19" s="35">
        <v>0</v>
      </c>
      <c r="T19" s="35">
        <v>0</v>
      </c>
      <c r="U19" s="35">
        <v>0</v>
      </c>
      <c r="V19" s="35">
        <f t="shared" si="3"/>
        <v>0</v>
      </c>
      <c r="W19" s="35">
        <v>0.02</v>
      </c>
      <c r="X19" s="35">
        <v>0.02</v>
      </c>
      <c r="Y19" s="35">
        <v>0.73</v>
      </c>
      <c r="Z19" s="35">
        <f t="shared" si="4"/>
        <v>0.77</v>
      </c>
      <c r="AA19" s="35">
        <v>0.02</v>
      </c>
      <c r="AB19" s="35">
        <v>0.02</v>
      </c>
      <c r="AC19" s="35">
        <v>0.02</v>
      </c>
      <c r="AD19" s="35">
        <f t="shared" si="5"/>
        <v>0.06</v>
      </c>
      <c r="AE19" s="35">
        <v>0.04</v>
      </c>
      <c r="AF19" s="35">
        <v>0.04</v>
      </c>
      <c r="AG19" s="35">
        <v>0.4</v>
      </c>
      <c r="AH19" s="35">
        <f t="shared" si="6"/>
        <v>0.48000000000000004</v>
      </c>
      <c r="AI19" s="35">
        <v>0.43</v>
      </c>
      <c r="AJ19" s="35">
        <v>0.43</v>
      </c>
      <c r="AK19" s="35">
        <v>0.16</v>
      </c>
      <c r="AL19" s="35">
        <f t="shared" si="7"/>
        <v>1.02</v>
      </c>
      <c r="AM19" s="35">
        <v>1.44</v>
      </c>
      <c r="AN19" s="35">
        <v>1.44</v>
      </c>
      <c r="AO19" s="35">
        <v>0</v>
      </c>
      <c r="AP19" s="35">
        <f t="shared" si="8"/>
        <v>2.88</v>
      </c>
      <c r="AQ19" s="35">
        <v>0.69</v>
      </c>
      <c r="AR19" s="35">
        <v>0.69</v>
      </c>
      <c r="AS19" s="35">
        <v>0.15</v>
      </c>
      <c r="AT19" s="35">
        <f t="shared" si="9"/>
        <v>1.5299999999999998</v>
      </c>
      <c r="AU19" s="35">
        <v>0</v>
      </c>
      <c r="AV19" s="35">
        <v>0</v>
      </c>
      <c r="AW19" s="35">
        <v>0.09</v>
      </c>
      <c r="AX19" s="35">
        <f t="shared" si="10"/>
        <v>0.09</v>
      </c>
      <c r="AY19" s="12">
        <v>0.22</v>
      </c>
      <c r="AZ19" s="12">
        <v>2.19</v>
      </c>
      <c r="BA19" s="12">
        <v>0.05</v>
      </c>
      <c r="BB19" s="35">
        <f t="shared" si="11"/>
        <v>2.46</v>
      </c>
    </row>
    <row r="20" spans="1:54" x14ac:dyDescent="0.3">
      <c r="A20" s="7">
        <v>12</v>
      </c>
      <c r="B20" s="31" t="s">
        <v>16</v>
      </c>
      <c r="C20" s="48">
        <f t="shared" si="12"/>
        <v>6.17</v>
      </c>
      <c r="D20" s="48">
        <f t="shared" si="13"/>
        <v>5.9699999999999989</v>
      </c>
      <c r="E20" s="48">
        <f t="shared" si="14"/>
        <v>0.98</v>
      </c>
      <c r="F20" s="48">
        <f t="shared" si="15"/>
        <v>13.12</v>
      </c>
      <c r="G20" s="35">
        <v>0.6</v>
      </c>
      <c r="H20" s="35">
        <v>0.51</v>
      </c>
      <c r="I20" s="35">
        <v>0</v>
      </c>
      <c r="J20" s="35">
        <f t="shared" si="0"/>
        <v>1.1099999999999999</v>
      </c>
      <c r="K20" s="35">
        <v>0</v>
      </c>
      <c r="L20" s="35">
        <v>0</v>
      </c>
      <c r="M20" s="35">
        <v>0</v>
      </c>
      <c r="N20" s="35">
        <f t="shared" si="1"/>
        <v>0</v>
      </c>
      <c r="O20" s="35">
        <v>0.55000000000000004</v>
      </c>
      <c r="P20" s="35">
        <v>0.55000000000000004</v>
      </c>
      <c r="Q20" s="35">
        <v>0.17</v>
      </c>
      <c r="R20" s="35">
        <f t="shared" si="2"/>
        <v>1.27</v>
      </c>
      <c r="S20" s="35">
        <v>0.2</v>
      </c>
      <c r="T20" s="35">
        <v>0.2</v>
      </c>
      <c r="U20" s="35">
        <v>0.01</v>
      </c>
      <c r="V20" s="35">
        <f t="shared" si="3"/>
        <v>0.41000000000000003</v>
      </c>
      <c r="W20" s="35">
        <v>0.03</v>
      </c>
      <c r="X20" s="35">
        <v>0.03</v>
      </c>
      <c r="Y20" s="35">
        <v>0</v>
      </c>
      <c r="Z20" s="35">
        <f t="shared" si="4"/>
        <v>0.06</v>
      </c>
      <c r="AA20" s="35">
        <v>0.16</v>
      </c>
      <c r="AB20" s="35">
        <v>0.16</v>
      </c>
      <c r="AC20" s="35">
        <v>0.31</v>
      </c>
      <c r="AD20" s="35">
        <f t="shared" si="5"/>
        <v>0.63</v>
      </c>
      <c r="AE20" s="35">
        <v>0.59</v>
      </c>
      <c r="AF20" s="35">
        <v>0.59</v>
      </c>
      <c r="AG20" s="35">
        <v>0</v>
      </c>
      <c r="AH20" s="35">
        <f t="shared" si="6"/>
        <v>1.18</v>
      </c>
      <c r="AI20" s="35">
        <v>0</v>
      </c>
      <c r="AJ20" s="35">
        <v>0</v>
      </c>
      <c r="AK20" s="35">
        <v>0</v>
      </c>
      <c r="AL20" s="35">
        <f t="shared" si="7"/>
        <v>0</v>
      </c>
      <c r="AM20" s="35">
        <v>0.9</v>
      </c>
      <c r="AN20" s="35">
        <v>0.9</v>
      </c>
      <c r="AO20" s="35">
        <v>0.18</v>
      </c>
      <c r="AP20" s="35">
        <f t="shared" si="8"/>
        <v>1.98</v>
      </c>
      <c r="AQ20" s="35">
        <v>2.38</v>
      </c>
      <c r="AR20" s="35">
        <v>2.34</v>
      </c>
      <c r="AS20" s="35">
        <v>7.0000000000000007E-2</v>
      </c>
      <c r="AT20" s="35">
        <f t="shared" si="9"/>
        <v>4.79</v>
      </c>
      <c r="AU20" s="35">
        <v>0.75</v>
      </c>
      <c r="AV20" s="35">
        <v>0.68</v>
      </c>
      <c r="AW20" s="35">
        <v>0</v>
      </c>
      <c r="AX20" s="35">
        <f t="shared" si="10"/>
        <v>1.4300000000000002</v>
      </c>
      <c r="AY20" s="12">
        <v>0.01</v>
      </c>
      <c r="AZ20" s="12">
        <v>0.01</v>
      </c>
      <c r="BA20" s="12">
        <v>0.24</v>
      </c>
      <c r="BB20" s="35">
        <f t="shared" si="11"/>
        <v>0.26</v>
      </c>
    </row>
    <row r="21" spans="1:54" x14ac:dyDescent="0.3">
      <c r="A21" s="7">
        <v>13</v>
      </c>
      <c r="B21" s="31" t="s">
        <v>17</v>
      </c>
      <c r="C21" s="48">
        <f t="shared" si="12"/>
        <v>12.17</v>
      </c>
      <c r="D21" s="48">
        <f t="shared" si="13"/>
        <v>12.200000000000001</v>
      </c>
      <c r="E21" s="48">
        <f t="shared" si="14"/>
        <v>21.69</v>
      </c>
      <c r="F21" s="48">
        <f t="shared" si="15"/>
        <v>46.06</v>
      </c>
      <c r="G21" s="35">
        <v>0.23</v>
      </c>
      <c r="H21" s="35">
        <v>0.36</v>
      </c>
      <c r="I21" s="35">
        <v>0.06</v>
      </c>
      <c r="J21" s="35">
        <f t="shared" si="0"/>
        <v>0.64999999999999991</v>
      </c>
      <c r="K21" s="35">
        <v>2.4700000000000002</v>
      </c>
      <c r="L21" s="35">
        <v>2.35</v>
      </c>
      <c r="M21" s="35">
        <v>3.71</v>
      </c>
      <c r="N21" s="35">
        <f t="shared" si="1"/>
        <v>8.5300000000000011</v>
      </c>
      <c r="O21" s="35">
        <v>0</v>
      </c>
      <c r="P21" s="35">
        <v>0</v>
      </c>
      <c r="Q21" s="35">
        <v>0</v>
      </c>
      <c r="R21" s="35">
        <f t="shared" si="2"/>
        <v>0</v>
      </c>
      <c r="S21" s="35">
        <v>1.1599999999999999</v>
      </c>
      <c r="T21" s="35">
        <v>1.06</v>
      </c>
      <c r="U21" s="35">
        <v>0.01</v>
      </c>
      <c r="V21" s="35">
        <f t="shared" si="3"/>
        <v>2.2299999999999995</v>
      </c>
      <c r="W21" s="35">
        <v>0.35</v>
      </c>
      <c r="X21" s="35">
        <v>0.35</v>
      </c>
      <c r="Y21" s="35">
        <v>4.63</v>
      </c>
      <c r="Z21" s="35">
        <f t="shared" si="4"/>
        <v>5.33</v>
      </c>
      <c r="AA21" s="35">
        <v>0.69</v>
      </c>
      <c r="AB21" s="35">
        <v>0.69</v>
      </c>
      <c r="AC21" s="35">
        <v>6.66</v>
      </c>
      <c r="AD21" s="35">
        <f t="shared" si="5"/>
        <v>8.0399999999999991</v>
      </c>
      <c r="AE21" s="35">
        <v>1.82</v>
      </c>
      <c r="AF21" s="35">
        <v>1.85</v>
      </c>
      <c r="AG21" s="35">
        <v>0</v>
      </c>
      <c r="AH21" s="35">
        <f t="shared" si="6"/>
        <v>3.67</v>
      </c>
      <c r="AI21" s="35">
        <v>1.18</v>
      </c>
      <c r="AJ21" s="35">
        <v>1.18</v>
      </c>
      <c r="AK21" s="35">
        <v>0</v>
      </c>
      <c r="AL21" s="35">
        <f t="shared" si="7"/>
        <v>2.36</v>
      </c>
      <c r="AM21" s="35">
        <v>2.4299999999999997</v>
      </c>
      <c r="AN21" s="35">
        <v>2.5700000000000003</v>
      </c>
      <c r="AO21" s="35">
        <v>4.5199999999999996</v>
      </c>
      <c r="AP21" s="35">
        <f t="shared" si="8"/>
        <v>9.52</v>
      </c>
      <c r="AQ21" s="35">
        <v>0.27</v>
      </c>
      <c r="AR21" s="35">
        <v>0.09</v>
      </c>
      <c r="AS21" s="35">
        <v>0.35</v>
      </c>
      <c r="AT21" s="35">
        <f t="shared" si="9"/>
        <v>0.71</v>
      </c>
      <c r="AU21" s="35">
        <v>1.42</v>
      </c>
      <c r="AV21" s="35">
        <v>1.55</v>
      </c>
      <c r="AW21" s="35">
        <v>0.06</v>
      </c>
      <c r="AX21" s="35">
        <f t="shared" si="10"/>
        <v>3.03</v>
      </c>
      <c r="AY21" s="12">
        <v>0.15</v>
      </c>
      <c r="AZ21" s="12">
        <v>0.15</v>
      </c>
      <c r="BA21" s="12">
        <v>1.69</v>
      </c>
      <c r="BB21" s="35">
        <f t="shared" si="11"/>
        <v>1.99</v>
      </c>
    </row>
    <row r="22" spans="1:54" x14ac:dyDescent="0.3">
      <c r="A22" s="7">
        <v>14</v>
      </c>
      <c r="B22" s="31" t="s">
        <v>18</v>
      </c>
      <c r="C22" s="48">
        <f t="shared" si="12"/>
        <v>11.01</v>
      </c>
      <c r="D22" s="48">
        <f t="shared" si="13"/>
        <v>15.259999999999998</v>
      </c>
      <c r="E22" s="48">
        <f t="shared" si="14"/>
        <v>0.52</v>
      </c>
      <c r="F22" s="48">
        <f t="shared" si="15"/>
        <v>26.789999999999996</v>
      </c>
      <c r="G22" s="35">
        <v>0.34</v>
      </c>
      <c r="H22" s="35">
        <v>0.33</v>
      </c>
      <c r="I22" s="35">
        <v>0.09</v>
      </c>
      <c r="J22" s="35">
        <f t="shared" si="0"/>
        <v>0.76</v>
      </c>
      <c r="K22" s="35">
        <v>1.74</v>
      </c>
      <c r="L22" s="35">
        <v>1.74</v>
      </c>
      <c r="M22" s="35">
        <v>0</v>
      </c>
      <c r="N22" s="35">
        <f t="shared" si="1"/>
        <v>3.48</v>
      </c>
      <c r="O22" s="35">
        <v>1.48</v>
      </c>
      <c r="P22" s="35">
        <v>5.56</v>
      </c>
      <c r="Q22" s="35">
        <v>0</v>
      </c>
      <c r="R22" s="35">
        <f t="shared" si="2"/>
        <v>7.0399999999999991</v>
      </c>
      <c r="S22" s="35">
        <v>3.22</v>
      </c>
      <c r="T22" s="35">
        <v>2.58</v>
      </c>
      <c r="U22" s="35">
        <v>0</v>
      </c>
      <c r="V22" s="35">
        <f t="shared" si="3"/>
        <v>5.8000000000000007</v>
      </c>
      <c r="W22" s="35">
        <v>0.1</v>
      </c>
      <c r="X22" s="35">
        <v>0.1</v>
      </c>
      <c r="Y22" s="35">
        <v>0</v>
      </c>
      <c r="Z22" s="35">
        <f t="shared" si="4"/>
        <v>0.2</v>
      </c>
      <c r="AA22" s="35">
        <v>0.75</v>
      </c>
      <c r="AB22" s="35">
        <v>0.7</v>
      </c>
      <c r="AC22" s="35">
        <v>0</v>
      </c>
      <c r="AD22" s="35">
        <f t="shared" si="5"/>
        <v>1.45</v>
      </c>
      <c r="AE22" s="35">
        <v>0.56000000000000005</v>
      </c>
      <c r="AF22" s="35">
        <v>0.43</v>
      </c>
      <c r="AG22" s="35">
        <v>0.17</v>
      </c>
      <c r="AH22" s="35">
        <f t="shared" si="6"/>
        <v>1.1599999999999999</v>
      </c>
      <c r="AI22" s="35">
        <v>0.55000000000000004</v>
      </c>
      <c r="AJ22" s="35">
        <v>1.3</v>
      </c>
      <c r="AK22" s="35">
        <v>0</v>
      </c>
      <c r="AL22" s="35">
        <f t="shared" si="7"/>
        <v>1.85</v>
      </c>
      <c r="AM22" s="35">
        <v>0.77999999999999992</v>
      </c>
      <c r="AN22" s="35">
        <v>1.1199999999999999</v>
      </c>
      <c r="AO22" s="35">
        <v>0</v>
      </c>
      <c r="AP22" s="35">
        <f t="shared" si="8"/>
        <v>1.9</v>
      </c>
      <c r="AQ22" s="35">
        <v>0.68</v>
      </c>
      <c r="AR22" s="35">
        <v>0.62</v>
      </c>
      <c r="AS22" s="35">
        <v>0</v>
      </c>
      <c r="AT22" s="35">
        <f t="shared" si="9"/>
        <v>1.3</v>
      </c>
      <c r="AU22" s="35">
        <v>0.24</v>
      </c>
      <c r="AV22" s="35">
        <v>0.24</v>
      </c>
      <c r="AW22" s="35">
        <v>0.01</v>
      </c>
      <c r="AX22" s="35">
        <f t="shared" si="10"/>
        <v>0.49</v>
      </c>
      <c r="AY22" s="12">
        <v>0.56999999999999995</v>
      </c>
      <c r="AZ22" s="12">
        <v>0.54</v>
      </c>
      <c r="BA22" s="12">
        <v>0.25</v>
      </c>
      <c r="BB22" s="35">
        <f t="shared" si="11"/>
        <v>1.3599999999999999</v>
      </c>
    </row>
    <row r="23" spans="1:54" x14ac:dyDescent="0.3">
      <c r="A23" s="7">
        <v>15</v>
      </c>
      <c r="B23" s="31" t="s">
        <v>19</v>
      </c>
      <c r="C23" s="48">
        <f t="shared" si="12"/>
        <v>9.8099999999999987</v>
      </c>
      <c r="D23" s="48">
        <f t="shared" si="13"/>
        <v>9.52</v>
      </c>
      <c r="E23" s="48">
        <f t="shared" si="14"/>
        <v>2.2999999999999998</v>
      </c>
      <c r="F23" s="48">
        <f t="shared" si="15"/>
        <v>21.63</v>
      </c>
      <c r="G23" s="35">
        <v>0.05</v>
      </c>
      <c r="H23" s="35">
        <v>0.05</v>
      </c>
      <c r="I23" s="35">
        <v>0</v>
      </c>
      <c r="J23" s="35">
        <f t="shared" si="0"/>
        <v>0.1</v>
      </c>
      <c r="K23" s="35">
        <v>0.73</v>
      </c>
      <c r="L23" s="35">
        <v>0.78</v>
      </c>
      <c r="M23" s="35">
        <v>0</v>
      </c>
      <c r="N23" s="35">
        <f t="shared" si="1"/>
        <v>1.51</v>
      </c>
      <c r="O23" s="35">
        <v>0.02</v>
      </c>
      <c r="P23" s="35">
        <v>0.02</v>
      </c>
      <c r="Q23" s="35">
        <v>0</v>
      </c>
      <c r="R23" s="35">
        <f t="shared" si="2"/>
        <v>0.04</v>
      </c>
      <c r="S23" s="35">
        <v>0.7</v>
      </c>
      <c r="T23" s="35">
        <v>0.81</v>
      </c>
      <c r="U23" s="35">
        <v>0</v>
      </c>
      <c r="V23" s="35">
        <f t="shared" si="3"/>
        <v>1.51</v>
      </c>
      <c r="W23" s="35">
        <v>1.96</v>
      </c>
      <c r="X23" s="35">
        <v>1.95</v>
      </c>
      <c r="Y23" s="35">
        <v>2.25</v>
      </c>
      <c r="Z23" s="35">
        <f t="shared" si="4"/>
        <v>6.16</v>
      </c>
      <c r="AA23" s="35">
        <v>0.03</v>
      </c>
      <c r="AB23" s="35">
        <v>0.02</v>
      </c>
      <c r="AC23" s="35">
        <v>0</v>
      </c>
      <c r="AD23" s="35">
        <f t="shared" si="5"/>
        <v>0.05</v>
      </c>
      <c r="AE23" s="35">
        <v>0.2</v>
      </c>
      <c r="AF23" s="35">
        <v>0.11</v>
      </c>
      <c r="AG23" s="35">
        <v>0</v>
      </c>
      <c r="AH23" s="35">
        <f t="shared" si="6"/>
        <v>0.31</v>
      </c>
      <c r="AI23" s="35">
        <v>0.3</v>
      </c>
      <c r="AJ23" s="35">
        <v>0.3</v>
      </c>
      <c r="AK23" s="35">
        <v>0</v>
      </c>
      <c r="AL23" s="35">
        <f t="shared" si="7"/>
        <v>0.6</v>
      </c>
      <c r="AM23" s="35">
        <v>0.84</v>
      </c>
      <c r="AN23" s="35">
        <v>0.74</v>
      </c>
      <c r="AO23" s="35">
        <v>0</v>
      </c>
      <c r="AP23" s="35">
        <f t="shared" si="8"/>
        <v>1.58</v>
      </c>
      <c r="AQ23" s="35">
        <v>4.55</v>
      </c>
      <c r="AR23" s="35">
        <v>4.55</v>
      </c>
      <c r="AS23" s="35">
        <v>0.01</v>
      </c>
      <c r="AT23" s="35">
        <f t="shared" si="9"/>
        <v>9.11</v>
      </c>
      <c r="AU23" s="35">
        <v>0.26</v>
      </c>
      <c r="AV23" s="35">
        <v>0.09</v>
      </c>
      <c r="AW23" s="35">
        <v>0</v>
      </c>
      <c r="AX23" s="35">
        <f t="shared" si="10"/>
        <v>0.35</v>
      </c>
      <c r="AY23" s="12">
        <v>0.17</v>
      </c>
      <c r="AZ23" s="12">
        <v>0.1</v>
      </c>
      <c r="BA23" s="12">
        <v>0.04</v>
      </c>
      <c r="BB23" s="35">
        <f t="shared" si="11"/>
        <v>0.31</v>
      </c>
    </row>
    <row r="24" spans="1:54" x14ac:dyDescent="0.3">
      <c r="A24" s="7">
        <v>16</v>
      </c>
      <c r="B24" s="31" t="s">
        <v>20</v>
      </c>
      <c r="C24" s="48">
        <f t="shared" si="12"/>
        <v>2.6899999999999995</v>
      </c>
      <c r="D24" s="48">
        <f t="shared" si="13"/>
        <v>5.08</v>
      </c>
      <c r="E24" s="48">
        <f t="shared" si="14"/>
        <v>1.3599999999999999</v>
      </c>
      <c r="F24" s="48">
        <f t="shared" si="15"/>
        <v>9.1300000000000008</v>
      </c>
      <c r="G24" s="35">
        <v>0.01</v>
      </c>
      <c r="H24" s="35">
        <v>0.01</v>
      </c>
      <c r="I24" s="35">
        <v>0.3</v>
      </c>
      <c r="J24" s="35">
        <f t="shared" si="0"/>
        <v>0.32</v>
      </c>
      <c r="K24" s="35">
        <v>0.65</v>
      </c>
      <c r="L24" s="35">
        <v>0.55000000000000004</v>
      </c>
      <c r="M24" s="35">
        <v>0.06</v>
      </c>
      <c r="N24" s="35">
        <f t="shared" si="1"/>
        <v>1.2600000000000002</v>
      </c>
      <c r="O24" s="35">
        <v>0.57999999999999996</v>
      </c>
      <c r="P24" s="35">
        <v>0.56000000000000005</v>
      </c>
      <c r="Q24" s="35">
        <v>7.0000000000000007E-2</v>
      </c>
      <c r="R24" s="35">
        <f t="shared" si="2"/>
        <v>1.2100000000000002</v>
      </c>
      <c r="S24" s="35">
        <v>0.39</v>
      </c>
      <c r="T24" s="35">
        <v>0.39</v>
      </c>
      <c r="U24" s="35">
        <v>0.05</v>
      </c>
      <c r="V24" s="35">
        <f t="shared" si="3"/>
        <v>0.83000000000000007</v>
      </c>
      <c r="W24" s="35">
        <v>0.05</v>
      </c>
      <c r="X24" s="35">
        <v>0.04</v>
      </c>
      <c r="Y24" s="35">
        <v>0</v>
      </c>
      <c r="Z24" s="35">
        <f t="shared" si="4"/>
        <v>0.09</v>
      </c>
      <c r="AA24" s="35">
        <v>0.2</v>
      </c>
      <c r="AB24" s="35">
        <v>0.2</v>
      </c>
      <c r="AC24" s="35">
        <v>0</v>
      </c>
      <c r="AD24" s="35">
        <f t="shared" si="5"/>
        <v>0.4</v>
      </c>
      <c r="AE24" s="35">
        <v>0.11</v>
      </c>
      <c r="AF24" s="35">
        <v>0.11</v>
      </c>
      <c r="AG24" s="35">
        <v>0.03</v>
      </c>
      <c r="AH24" s="35">
        <f t="shared" si="6"/>
        <v>0.25</v>
      </c>
      <c r="AI24" s="35">
        <v>0.27</v>
      </c>
      <c r="AJ24" s="35">
        <v>0.27</v>
      </c>
      <c r="AK24" s="35">
        <v>0.09</v>
      </c>
      <c r="AL24" s="35">
        <f t="shared" si="7"/>
        <v>0.63</v>
      </c>
      <c r="AM24" s="35">
        <v>0.05</v>
      </c>
      <c r="AN24" s="35">
        <v>0.9</v>
      </c>
      <c r="AO24" s="35">
        <v>0.08</v>
      </c>
      <c r="AP24" s="35">
        <f t="shared" si="8"/>
        <v>1.03</v>
      </c>
      <c r="AQ24" s="35">
        <v>0.28000000000000003</v>
      </c>
      <c r="AR24" s="35">
        <v>0.22</v>
      </c>
      <c r="AS24" s="35">
        <v>0.03</v>
      </c>
      <c r="AT24" s="35">
        <f t="shared" si="9"/>
        <v>0.53</v>
      </c>
      <c r="AU24" s="35">
        <v>0.01</v>
      </c>
      <c r="AV24" s="35">
        <v>0.02</v>
      </c>
      <c r="AW24" s="35">
        <v>0.06</v>
      </c>
      <c r="AX24" s="35">
        <f t="shared" si="10"/>
        <v>0.09</v>
      </c>
      <c r="AY24" s="12">
        <v>0.09</v>
      </c>
      <c r="AZ24" s="12">
        <v>1.81</v>
      </c>
      <c r="BA24" s="12">
        <v>0.59</v>
      </c>
      <c r="BB24" s="35">
        <f t="shared" si="11"/>
        <v>2.4900000000000002</v>
      </c>
    </row>
    <row r="25" spans="1:54" x14ac:dyDescent="0.3">
      <c r="A25" s="7">
        <v>17</v>
      </c>
      <c r="B25" s="31" t="s">
        <v>21</v>
      </c>
      <c r="C25" s="48">
        <f t="shared" si="12"/>
        <v>3.4299999999999997</v>
      </c>
      <c r="D25" s="48">
        <f t="shared" si="13"/>
        <v>3.1</v>
      </c>
      <c r="E25" s="48">
        <f t="shared" si="14"/>
        <v>10.98</v>
      </c>
      <c r="F25" s="48">
        <f t="shared" si="15"/>
        <v>17.509999999999998</v>
      </c>
      <c r="G25" s="35">
        <v>0.15</v>
      </c>
      <c r="H25" s="35">
        <v>7.0000000000000007E-2</v>
      </c>
      <c r="I25" s="35">
        <v>0.06</v>
      </c>
      <c r="J25" s="35">
        <f t="shared" si="0"/>
        <v>0.28000000000000003</v>
      </c>
      <c r="K25" s="35">
        <v>0.16</v>
      </c>
      <c r="L25" s="35">
        <v>0.15</v>
      </c>
      <c r="M25" s="35">
        <v>0.13</v>
      </c>
      <c r="N25" s="35">
        <f t="shared" si="1"/>
        <v>0.44</v>
      </c>
      <c r="O25" s="35">
        <v>0.28999999999999998</v>
      </c>
      <c r="P25" s="35">
        <v>0.28999999999999998</v>
      </c>
      <c r="Q25" s="35">
        <v>0.09</v>
      </c>
      <c r="R25" s="35">
        <f t="shared" si="2"/>
        <v>0.66999999999999993</v>
      </c>
      <c r="S25" s="35">
        <v>0.09</v>
      </c>
      <c r="T25" s="35">
        <v>0.02</v>
      </c>
      <c r="U25" s="35">
        <v>0.1</v>
      </c>
      <c r="V25" s="35">
        <f t="shared" si="3"/>
        <v>0.21000000000000002</v>
      </c>
      <c r="W25" s="35">
        <v>0.43</v>
      </c>
      <c r="X25" s="35">
        <v>0.43</v>
      </c>
      <c r="Y25" s="35">
        <v>6.78</v>
      </c>
      <c r="Z25" s="35">
        <f t="shared" si="4"/>
        <v>7.6400000000000006</v>
      </c>
      <c r="AA25" s="35">
        <v>0.54</v>
      </c>
      <c r="AB25" s="35">
        <v>0.56999999999999995</v>
      </c>
      <c r="AC25" s="35">
        <v>0.17</v>
      </c>
      <c r="AD25" s="35">
        <f t="shared" si="5"/>
        <v>1.2799999999999998</v>
      </c>
      <c r="AE25" s="35">
        <v>0.12</v>
      </c>
      <c r="AF25" s="35">
        <v>0.12</v>
      </c>
      <c r="AG25" s="35">
        <v>1.26</v>
      </c>
      <c r="AH25" s="35">
        <f t="shared" si="6"/>
        <v>1.5</v>
      </c>
      <c r="AI25" s="35">
        <v>0.73</v>
      </c>
      <c r="AJ25" s="35">
        <v>0.73</v>
      </c>
      <c r="AK25" s="35">
        <v>0.06</v>
      </c>
      <c r="AL25" s="35">
        <f t="shared" si="7"/>
        <v>1.52</v>
      </c>
      <c r="AM25" s="35">
        <v>6.9999999999999979E-2</v>
      </c>
      <c r="AN25" s="35">
        <v>7.9999999999999988E-2</v>
      </c>
      <c r="AO25" s="35">
        <v>0.97</v>
      </c>
      <c r="AP25" s="35">
        <f t="shared" si="8"/>
        <v>1.1199999999999999</v>
      </c>
      <c r="AQ25" s="35">
        <v>0</v>
      </c>
      <c r="AR25" s="35">
        <v>0</v>
      </c>
      <c r="AS25" s="35">
        <v>0.02</v>
      </c>
      <c r="AT25" s="35">
        <f t="shared" si="9"/>
        <v>0.02</v>
      </c>
      <c r="AU25" s="35">
        <v>0.68</v>
      </c>
      <c r="AV25" s="35">
        <v>0.48</v>
      </c>
      <c r="AW25" s="35">
        <v>0.41</v>
      </c>
      <c r="AX25" s="35">
        <f t="shared" si="10"/>
        <v>1.57</v>
      </c>
      <c r="AY25" s="12">
        <v>0.17</v>
      </c>
      <c r="AZ25" s="12">
        <v>0.16</v>
      </c>
      <c r="BA25" s="12">
        <v>0.93</v>
      </c>
      <c r="BB25" s="35">
        <f t="shared" si="11"/>
        <v>1.26</v>
      </c>
    </row>
    <row r="26" spans="1:54" x14ac:dyDescent="0.3">
      <c r="A26" s="7">
        <v>18</v>
      </c>
      <c r="B26" s="31" t="s">
        <v>22</v>
      </c>
      <c r="C26" s="48">
        <f t="shared" si="12"/>
        <v>140.59</v>
      </c>
      <c r="D26" s="48">
        <f t="shared" si="13"/>
        <v>131.96999999999997</v>
      </c>
      <c r="E26" s="48">
        <f t="shared" si="14"/>
        <v>237.83999999999997</v>
      </c>
      <c r="F26" s="48">
        <f t="shared" si="15"/>
        <v>510.4</v>
      </c>
      <c r="G26" s="35">
        <v>6.11</v>
      </c>
      <c r="H26" s="35">
        <v>27.52</v>
      </c>
      <c r="I26" s="35">
        <v>60.27</v>
      </c>
      <c r="J26" s="35">
        <f t="shared" si="0"/>
        <v>93.9</v>
      </c>
      <c r="K26" s="35">
        <v>10.210000000000001</v>
      </c>
      <c r="L26" s="35">
        <v>12.97</v>
      </c>
      <c r="M26" s="35">
        <v>1.18</v>
      </c>
      <c r="N26" s="35">
        <f t="shared" si="1"/>
        <v>24.36</v>
      </c>
      <c r="O26" s="35">
        <v>3.24</v>
      </c>
      <c r="P26" s="35">
        <v>3.98</v>
      </c>
      <c r="Q26" s="35">
        <v>2.31</v>
      </c>
      <c r="R26" s="35">
        <f t="shared" si="2"/>
        <v>9.5300000000000011</v>
      </c>
      <c r="S26" s="35">
        <v>10.119999999999999</v>
      </c>
      <c r="T26" s="35">
        <v>8.86</v>
      </c>
      <c r="U26" s="35">
        <v>4.1100000000000003</v>
      </c>
      <c r="V26" s="35">
        <f t="shared" si="3"/>
        <v>23.089999999999996</v>
      </c>
      <c r="W26" s="35">
        <v>44.57</v>
      </c>
      <c r="X26" s="35">
        <v>14.52</v>
      </c>
      <c r="Y26" s="35">
        <v>7.16</v>
      </c>
      <c r="Z26" s="35">
        <f t="shared" si="4"/>
        <v>66.25</v>
      </c>
      <c r="AA26" s="35">
        <v>8.19</v>
      </c>
      <c r="AB26" s="35">
        <v>8.2100000000000009</v>
      </c>
      <c r="AC26" s="35">
        <v>44.76</v>
      </c>
      <c r="AD26" s="35">
        <f t="shared" si="5"/>
        <v>61.16</v>
      </c>
      <c r="AE26" s="35">
        <v>5.87</v>
      </c>
      <c r="AF26" s="35">
        <v>5.33</v>
      </c>
      <c r="AG26" s="35">
        <v>1.77</v>
      </c>
      <c r="AH26" s="35">
        <f t="shared" si="6"/>
        <v>12.969999999999999</v>
      </c>
      <c r="AI26" s="35">
        <v>8.59</v>
      </c>
      <c r="AJ26" s="35">
        <v>7.49</v>
      </c>
      <c r="AK26" s="35">
        <v>3.99</v>
      </c>
      <c r="AL26" s="35">
        <f t="shared" si="7"/>
        <v>20.07</v>
      </c>
      <c r="AM26" s="35">
        <v>7.1899999999999995</v>
      </c>
      <c r="AN26" s="35">
        <v>6.9599999999999991</v>
      </c>
      <c r="AO26" s="35">
        <v>2.1199999999999997</v>
      </c>
      <c r="AP26" s="35">
        <f t="shared" si="8"/>
        <v>16.27</v>
      </c>
      <c r="AQ26" s="35">
        <v>6.61</v>
      </c>
      <c r="AR26" s="35">
        <v>6.66</v>
      </c>
      <c r="AS26" s="35">
        <v>58.55</v>
      </c>
      <c r="AT26" s="35">
        <f t="shared" si="9"/>
        <v>71.819999999999993</v>
      </c>
      <c r="AU26" s="35">
        <v>19.010000000000002</v>
      </c>
      <c r="AV26" s="35">
        <v>17.149999999999999</v>
      </c>
      <c r="AW26" s="35">
        <v>15.15</v>
      </c>
      <c r="AX26" s="35">
        <f t="shared" si="10"/>
        <v>51.309999999999995</v>
      </c>
      <c r="AY26" s="12">
        <v>10.88</v>
      </c>
      <c r="AZ26" s="12">
        <v>12.32</v>
      </c>
      <c r="BA26" s="12">
        <v>36.47</v>
      </c>
      <c r="BB26" s="35">
        <f t="shared" si="11"/>
        <v>59.67</v>
      </c>
    </row>
    <row r="27" spans="1:54" x14ac:dyDescent="0.3">
      <c r="A27" s="7">
        <v>19</v>
      </c>
      <c r="B27" s="31" t="s">
        <v>23</v>
      </c>
      <c r="C27" s="48">
        <f t="shared" si="12"/>
        <v>1289.1599999999999</v>
      </c>
      <c r="D27" s="48">
        <f t="shared" si="13"/>
        <v>1491.9900000000002</v>
      </c>
      <c r="E27" s="48">
        <f t="shared" si="14"/>
        <v>1199.67</v>
      </c>
      <c r="F27" s="48">
        <f t="shared" si="15"/>
        <v>3980.8200000000006</v>
      </c>
      <c r="G27" s="35">
        <v>92.18</v>
      </c>
      <c r="H27" s="35">
        <v>120.3</v>
      </c>
      <c r="I27" s="35">
        <v>96.97</v>
      </c>
      <c r="J27" s="35">
        <f t="shared" si="0"/>
        <v>309.45000000000005</v>
      </c>
      <c r="K27" s="35">
        <v>146.35</v>
      </c>
      <c r="L27" s="35">
        <v>187.58</v>
      </c>
      <c r="M27" s="35">
        <v>100.89</v>
      </c>
      <c r="N27" s="35">
        <f t="shared" si="1"/>
        <v>434.82</v>
      </c>
      <c r="O27" s="35">
        <v>119.07</v>
      </c>
      <c r="P27" s="35">
        <v>134.59</v>
      </c>
      <c r="Q27" s="35">
        <v>87.72</v>
      </c>
      <c r="R27" s="35">
        <f t="shared" si="2"/>
        <v>341.38</v>
      </c>
      <c r="S27" s="35">
        <v>146.91999999999999</v>
      </c>
      <c r="T27" s="35">
        <v>159.5</v>
      </c>
      <c r="U27" s="35">
        <v>129.05000000000001</v>
      </c>
      <c r="V27" s="35">
        <f t="shared" si="3"/>
        <v>435.46999999999997</v>
      </c>
      <c r="W27" s="35">
        <v>62.59</v>
      </c>
      <c r="X27" s="35">
        <v>73.58</v>
      </c>
      <c r="Y27" s="35">
        <v>72.69</v>
      </c>
      <c r="Z27" s="35">
        <f t="shared" si="4"/>
        <v>208.86</v>
      </c>
      <c r="AA27" s="35">
        <v>119.24</v>
      </c>
      <c r="AB27" s="35">
        <v>125.57</v>
      </c>
      <c r="AC27" s="35">
        <v>122.49</v>
      </c>
      <c r="AD27" s="35">
        <f t="shared" si="5"/>
        <v>367.3</v>
      </c>
      <c r="AE27" s="35">
        <v>106.18</v>
      </c>
      <c r="AF27" s="35">
        <v>120.73</v>
      </c>
      <c r="AG27" s="35">
        <v>90.57</v>
      </c>
      <c r="AH27" s="35">
        <f t="shared" si="6"/>
        <v>317.48</v>
      </c>
      <c r="AI27" s="35">
        <v>72.86</v>
      </c>
      <c r="AJ27" s="35">
        <v>78.66</v>
      </c>
      <c r="AK27" s="35">
        <v>55.57</v>
      </c>
      <c r="AL27" s="35">
        <f t="shared" si="7"/>
        <v>207.08999999999997</v>
      </c>
      <c r="AM27" s="35">
        <v>124.35</v>
      </c>
      <c r="AN27" s="35">
        <v>147.07999999999998</v>
      </c>
      <c r="AO27" s="35">
        <v>133.30000000000001</v>
      </c>
      <c r="AP27" s="35">
        <f t="shared" si="8"/>
        <v>404.72999999999996</v>
      </c>
      <c r="AQ27" s="35">
        <v>115.63</v>
      </c>
      <c r="AR27" s="35">
        <v>137.75</v>
      </c>
      <c r="AS27" s="35">
        <v>140.96</v>
      </c>
      <c r="AT27" s="35">
        <f t="shared" si="9"/>
        <v>394.34000000000003</v>
      </c>
      <c r="AU27" s="35">
        <v>75.930000000000007</v>
      </c>
      <c r="AV27" s="35">
        <v>86.52</v>
      </c>
      <c r="AW27" s="35">
        <v>57.85</v>
      </c>
      <c r="AX27" s="35">
        <f t="shared" si="10"/>
        <v>220.29999999999998</v>
      </c>
      <c r="AY27" s="12">
        <v>107.86</v>
      </c>
      <c r="AZ27" s="12">
        <v>120.13</v>
      </c>
      <c r="BA27" s="12">
        <v>111.61</v>
      </c>
      <c r="BB27" s="35">
        <f t="shared" si="11"/>
        <v>339.6</v>
      </c>
    </row>
    <row r="28" spans="1:54" x14ac:dyDescent="0.3">
      <c r="A28" s="7">
        <v>20</v>
      </c>
      <c r="B28" s="31" t="s">
        <v>24</v>
      </c>
      <c r="C28" s="48">
        <f t="shared" si="12"/>
        <v>116.1</v>
      </c>
      <c r="D28" s="48">
        <f t="shared" si="13"/>
        <v>141.04999999999998</v>
      </c>
      <c r="E28" s="48">
        <f t="shared" si="14"/>
        <v>261.18550399999998</v>
      </c>
      <c r="F28" s="48">
        <f t="shared" si="15"/>
        <v>518.33550400000013</v>
      </c>
      <c r="G28" s="35">
        <v>13.42</v>
      </c>
      <c r="H28" s="35">
        <v>13.39</v>
      </c>
      <c r="I28" s="35">
        <v>129.41999999999999</v>
      </c>
      <c r="J28" s="35">
        <f t="shared" si="0"/>
        <v>156.22999999999999</v>
      </c>
      <c r="K28" s="35">
        <v>17.97</v>
      </c>
      <c r="L28" s="35">
        <v>21.99</v>
      </c>
      <c r="M28" s="35">
        <v>33.29</v>
      </c>
      <c r="N28" s="35">
        <f t="shared" si="1"/>
        <v>73.25</v>
      </c>
      <c r="O28" s="35">
        <v>3.93</v>
      </c>
      <c r="P28" s="35">
        <v>3.98</v>
      </c>
      <c r="Q28" s="35">
        <v>3.55</v>
      </c>
      <c r="R28" s="35">
        <f t="shared" si="2"/>
        <v>11.46</v>
      </c>
      <c r="S28" s="35">
        <v>8.1199999999999992</v>
      </c>
      <c r="T28" s="35">
        <v>7.74</v>
      </c>
      <c r="U28" s="35">
        <v>12.67</v>
      </c>
      <c r="V28" s="35">
        <f t="shared" si="3"/>
        <v>28.53</v>
      </c>
      <c r="W28" s="35">
        <v>2.79</v>
      </c>
      <c r="X28" s="35">
        <v>5.01</v>
      </c>
      <c r="Y28" s="35">
        <v>1.74</v>
      </c>
      <c r="Z28" s="35">
        <f t="shared" si="4"/>
        <v>9.5399999999999991</v>
      </c>
      <c r="AA28" s="35">
        <v>9.86</v>
      </c>
      <c r="AB28" s="35">
        <v>16.79</v>
      </c>
      <c r="AC28" s="35">
        <v>2.95</v>
      </c>
      <c r="AD28" s="35">
        <f t="shared" si="5"/>
        <v>29.599999999999998</v>
      </c>
      <c r="AE28" s="35">
        <v>19.2</v>
      </c>
      <c r="AF28" s="35">
        <v>19.23</v>
      </c>
      <c r="AG28" s="35">
        <v>31.31</v>
      </c>
      <c r="AH28" s="35">
        <f t="shared" si="6"/>
        <v>69.739999999999995</v>
      </c>
      <c r="AI28" s="35">
        <v>1.26</v>
      </c>
      <c r="AJ28" s="35">
        <v>1.47</v>
      </c>
      <c r="AK28" s="35">
        <v>1.9</v>
      </c>
      <c r="AL28" s="35">
        <f t="shared" si="7"/>
        <v>4.63</v>
      </c>
      <c r="AM28" s="35">
        <v>11.25</v>
      </c>
      <c r="AN28" s="35">
        <v>11.620000000000001</v>
      </c>
      <c r="AO28" s="35">
        <v>4.99</v>
      </c>
      <c r="AP28" s="35">
        <f t="shared" si="8"/>
        <v>27.86</v>
      </c>
      <c r="AQ28" s="35">
        <v>10.130000000000001</v>
      </c>
      <c r="AR28" s="35">
        <v>17.02</v>
      </c>
      <c r="AS28" s="35">
        <v>18.13</v>
      </c>
      <c r="AT28" s="35">
        <f t="shared" si="9"/>
        <v>45.28</v>
      </c>
      <c r="AU28" s="35">
        <v>6.84</v>
      </c>
      <c r="AV28" s="35">
        <v>11.4</v>
      </c>
      <c r="AW28" s="35">
        <v>9.65</v>
      </c>
      <c r="AX28" s="35">
        <f t="shared" si="10"/>
        <v>27.89</v>
      </c>
      <c r="AY28" s="12">
        <v>11.33</v>
      </c>
      <c r="AZ28" s="12">
        <v>11.41</v>
      </c>
      <c r="BA28" s="12">
        <v>11.585504</v>
      </c>
      <c r="BB28" s="35">
        <f t="shared" si="11"/>
        <v>34.325504000000002</v>
      </c>
    </row>
    <row r="29" spans="1:54" x14ac:dyDescent="0.3">
      <c r="A29" s="7">
        <v>21</v>
      </c>
      <c r="B29" s="31" t="s">
        <v>25</v>
      </c>
      <c r="C29" s="48">
        <f t="shared" si="12"/>
        <v>950.91</v>
      </c>
      <c r="D29" s="48">
        <f t="shared" si="13"/>
        <v>1034.3399999999999</v>
      </c>
      <c r="E29" s="48">
        <f t="shared" si="14"/>
        <v>1454.8294166000001</v>
      </c>
      <c r="F29" s="48">
        <f t="shared" si="15"/>
        <v>3440.0794165999991</v>
      </c>
      <c r="G29" s="35">
        <v>109.92</v>
      </c>
      <c r="H29" s="35">
        <v>105.53</v>
      </c>
      <c r="I29" s="35">
        <v>55.05</v>
      </c>
      <c r="J29" s="35">
        <f t="shared" si="0"/>
        <v>270.5</v>
      </c>
      <c r="K29" s="35">
        <v>60.32</v>
      </c>
      <c r="L29" s="35">
        <v>68.67</v>
      </c>
      <c r="M29" s="35">
        <v>120.19</v>
      </c>
      <c r="N29" s="35">
        <f t="shared" si="1"/>
        <v>249.18</v>
      </c>
      <c r="O29" s="35">
        <v>27.91</v>
      </c>
      <c r="P29" s="35">
        <v>30.45</v>
      </c>
      <c r="Q29" s="35">
        <v>60.78</v>
      </c>
      <c r="R29" s="35">
        <f t="shared" si="2"/>
        <v>119.14</v>
      </c>
      <c r="S29" s="35">
        <v>60.45</v>
      </c>
      <c r="T29" s="35">
        <v>71.569999999999993</v>
      </c>
      <c r="U29" s="35">
        <v>149.94</v>
      </c>
      <c r="V29" s="35">
        <f t="shared" si="3"/>
        <v>281.95999999999998</v>
      </c>
      <c r="W29" s="35">
        <v>102.66</v>
      </c>
      <c r="X29" s="35">
        <v>114.99</v>
      </c>
      <c r="Y29" s="35">
        <v>227.32</v>
      </c>
      <c r="Z29" s="35">
        <f t="shared" si="4"/>
        <v>444.96999999999997</v>
      </c>
      <c r="AA29" s="35">
        <v>45.83</v>
      </c>
      <c r="AB29" s="35">
        <v>54.82</v>
      </c>
      <c r="AC29" s="35">
        <v>37.880000000000003</v>
      </c>
      <c r="AD29" s="35">
        <f t="shared" si="5"/>
        <v>138.53</v>
      </c>
      <c r="AE29" s="35">
        <v>49.37</v>
      </c>
      <c r="AF29" s="35">
        <v>49.96</v>
      </c>
      <c r="AG29" s="35">
        <v>187.45</v>
      </c>
      <c r="AH29" s="35">
        <f t="shared" si="6"/>
        <v>286.77999999999997</v>
      </c>
      <c r="AI29" s="35">
        <v>81.209999999999994</v>
      </c>
      <c r="AJ29" s="35">
        <v>87.91</v>
      </c>
      <c r="AK29" s="35">
        <v>43.95</v>
      </c>
      <c r="AL29" s="35">
        <f t="shared" si="7"/>
        <v>213.07</v>
      </c>
      <c r="AM29" s="35">
        <v>137.16999999999999</v>
      </c>
      <c r="AN29" s="35">
        <v>142.99</v>
      </c>
      <c r="AO29" s="35">
        <v>242.39999999999998</v>
      </c>
      <c r="AP29" s="35">
        <f t="shared" si="8"/>
        <v>522.55999999999995</v>
      </c>
      <c r="AQ29" s="35">
        <v>132.13</v>
      </c>
      <c r="AR29" s="35">
        <v>150.41999999999999</v>
      </c>
      <c r="AS29" s="35">
        <v>33.51</v>
      </c>
      <c r="AT29" s="35">
        <f t="shared" si="9"/>
        <v>316.05999999999995</v>
      </c>
      <c r="AU29" s="35">
        <v>45.32</v>
      </c>
      <c r="AV29" s="35">
        <v>54.6</v>
      </c>
      <c r="AW29" s="35">
        <v>78.84</v>
      </c>
      <c r="AX29" s="35">
        <f t="shared" si="10"/>
        <v>178.76</v>
      </c>
      <c r="AY29" s="12">
        <v>98.62</v>
      </c>
      <c r="AZ29" s="12">
        <v>102.43</v>
      </c>
      <c r="BA29" s="12">
        <v>217.5194166</v>
      </c>
      <c r="BB29" s="35">
        <f t="shared" si="11"/>
        <v>418.56941660000001</v>
      </c>
    </row>
    <row r="30" spans="1:54" x14ac:dyDescent="0.3">
      <c r="A30" s="7">
        <v>22</v>
      </c>
      <c r="B30" s="31" t="s">
        <v>39</v>
      </c>
      <c r="C30" s="48">
        <f t="shared" si="12"/>
        <v>167.21</v>
      </c>
      <c r="D30" s="48">
        <f t="shared" si="13"/>
        <v>175.86999999999998</v>
      </c>
      <c r="E30" s="48">
        <f t="shared" si="14"/>
        <v>183.73716659999999</v>
      </c>
      <c r="F30" s="48">
        <f t="shared" si="15"/>
        <v>526.81716660000006</v>
      </c>
      <c r="G30" s="35">
        <v>9.82</v>
      </c>
      <c r="H30" s="35">
        <v>13.33</v>
      </c>
      <c r="I30" s="35">
        <v>13.83</v>
      </c>
      <c r="J30" s="35">
        <f t="shared" si="0"/>
        <v>36.979999999999997</v>
      </c>
      <c r="K30" s="35">
        <v>22.74</v>
      </c>
      <c r="L30" s="35">
        <v>20.239999999999998</v>
      </c>
      <c r="M30" s="35">
        <v>15.74</v>
      </c>
      <c r="N30" s="35">
        <f t="shared" si="1"/>
        <v>58.72</v>
      </c>
      <c r="O30" s="35">
        <v>8.5399999999999991</v>
      </c>
      <c r="P30" s="35">
        <v>8.8800000000000008</v>
      </c>
      <c r="Q30" s="35">
        <v>15.64</v>
      </c>
      <c r="R30" s="35">
        <f t="shared" si="2"/>
        <v>33.06</v>
      </c>
      <c r="S30" s="35">
        <v>18.690000000000001</v>
      </c>
      <c r="T30" s="35">
        <v>21.04</v>
      </c>
      <c r="U30" s="35">
        <v>16.37</v>
      </c>
      <c r="V30" s="35">
        <f t="shared" si="3"/>
        <v>56.100000000000009</v>
      </c>
      <c r="W30" s="35">
        <v>17.23</v>
      </c>
      <c r="X30" s="35">
        <v>14.61</v>
      </c>
      <c r="Y30" s="35">
        <v>24.45</v>
      </c>
      <c r="Z30" s="35">
        <f t="shared" si="4"/>
        <v>56.29</v>
      </c>
      <c r="AA30" s="35">
        <v>9.59</v>
      </c>
      <c r="AB30" s="35">
        <v>9.4700000000000006</v>
      </c>
      <c r="AC30" s="35">
        <v>13.67</v>
      </c>
      <c r="AD30" s="35">
        <f t="shared" si="5"/>
        <v>32.730000000000004</v>
      </c>
      <c r="AE30" s="35">
        <v>13.91</v>
      </c>
      <c r="AF30" s="35">
        <v>14.28</v>
      </c>
      <c r="AG30" s="35">
        <v>13.78</v>
      </c>
      <c r="AH30" s="35">
        <f t="shared" si="6"/>
        <v>41.97</v>
      </c>
      <c r="AI30" s="35">
        <v>8.8699999999999992</v>
      </c>
      <c r="AJ30" s="35">
        <v>11.7</v>
      </c>
      <c r="AK30" s="35">
        <v>3.01</v>
      </c>
      <c r="AL30" s="35">
        <f t="shared" si="7"/>
        <v>23.58</v>
      </c>
      <c r="AM30" s="35">
        <v>14.06</v>
      </c>
      <c r="AN30" s="35">
        <v>13.24</v>
      </c>
      <c r="AO30" s="35">
        <v>20.509999999999998</v>
      </c>
      <c r="AP30" s="35">
        <f t="shared" si="8"/>
        <v>47.81</v>
      </c>
      <c r="AQ30" s="35">
        <v>14.92</v>
      </c>
      <c r="AR30" s="35">
        <v>17.11</v>
      </c>
      <c r="AS30" s="35">
        <v>15.01</v>
      </c>
      <c r="AT30" s="35">
        <f t="shared" si="9"/>
        <v>47.04</v>
      </c>
      <c r="AU30" s="35">
        <v>14.9</v>
      </c>
      <c r="AV30" s="35">
        <v>14.73</v>
      </c>
      <c r="AW30" s="35">
        <v>12.83</v>
      </c>
      <c r="AX30" s="35">
        <f t="shared" si="10"/>
        <v>42.46</v>
      </c>
      <c r="AY30" s="12">
        <v>13.94</v>
      </c>
      <c r="AZ30" s="12">
        <v>17.239999999999998</v>
      </c>
      <c r="BA30" s="12">
        <v>18.897166599999998</v>
      </c>
      <c r="BB30" s="35">
        <f t="shared" si="11"/>
        <v>50.077166599999998</v>
      </c>
    </row>
    <row r="31" spans="1:54" x14ac:dyDescent="0.3">
      <c r="A31" s="7">
        <v>23</v>
      </c>
      <c r="B31" s="31" t="s">
        <v>26</v>
      </c>
      <c r="C31" s="48">
        <f t="shared" si="12"/>
        <v>763.6739857</v>
      </c>
      <c r="D31" s="48">
        <f t="shared" si="13"/>
        <v>906.36</v>
      </c>
      <c r="E31" s="48">
        <f t="shared" si="14"/>
        <v>1091.9451960000001</v>
      </c>
      <c r="F31" s="48">
        <f t="shared" si="15"/>
        <v>2761.9791817</v>
      </c>
      <c r="G31" s="35">
        <v>71.48</v>
      </c>
      <c r="H31" s="35">
        <v>76.08</v>
      </c>
      <c r="I31" s="35">
        <v>68.930000000000007</v>
      </c>
      <c r="J31" s="35">
        <f t="shared" si="0"/>
        <v>216.49</v>
      </c>
      <c r="K31" s="35">
        <v>101.77</v>
      </c>
      <c r="L31" s="35">
        <v>102.55</v>
      </c>
      <c r="M31" s="35">
        <v>143.21</v>
      </c>
      <c r="N31" s="35">
        <f t="shared" si="1"/>
        <v>347.53</v>
      </c>
      <c r="O31" s="35">
        <v>39.020000000000003</v>
      </c>
      <c r="P31" s="35">
        <v>45.82</v>
      </c>
      <c r="Q31" s="35">
        <v>90.33</v>
      </c>
      <c r="R31" s="35">
        <f t="shared" si="2"/>
        <v>175.17000000000002</v>
      </c>
      <c r="S31" s="35">
        <v>47.67</v>
      </c>
      <c r="T31" s="35">
        <v>60.95</v>
      </c>
      <c r="U31" s="35">
        <v>55.6</v>
      </c>
      <c r="V31" s="35">
        <f t="shared" si="3"/>
        <v>164.22</v>
      </c>
      <c r="W31" s="35">
        <v>72.97</v>
      </c>
      <c r="X31" s="35">
        <v>76.19</v>
      </c>
      <c r="Y31" s="35">
        <v>116.13</v>
      </c>
      <c r="Z31" s="35">
        <f t="shared" si="4"/>
        <v>265.28999999999996</v>
      </c>
      <c r="AA31" s="35">
        <v>78.34</v>
      </c>
      <c r="AB31" s="35">
        <v>97.66</v>
      </c>
      <c r="AC31" s="35">
        <v>106.72</v>
      </c>
      <c r="AD31" s="35">
        <f t="shared" si="5"/>
        <v>282.72000000000003</v>
      </c>
      <c r="AE31" s="35">
        <v>37.71</v>
      </c>
      <c r="AF31" s="35">
        <v>48.43</v>
      </c>
      <c r="AG31" s="35">
        <v>64.260000000000005</v>
      </c>
      <c r="AH31" s="35">
        <f t="shared" si="6"/>
        <v>150.4</v>
      </c>
      <c r="AI31" s="35">
        <v>30.43</v>
      </c>
      <c r="AJ31" s="35">
        <v>47.11</v>
      </c>
      <c r="AK31" s="35">
        <v>28.33</v>
      </c>
      <c r="AL31" s="35">
        <f t="shared" si="7"/>
        <v>105.86999999999999</v>
      </c>
      <c r="AM31" s="35">
        <v>88.350000000000009</v>
      </c>
      <c r="AN31" s="35">
        <v>112.78999999999999</v>
      </c>
      <c r="AO31" s="35">
        <v>114.03</v>
      </c>
      <c r="AP31" s="35">
        <f t="shared" si="8"/>
        <v>315.16999999999996</v>
      </c>
      <c r="AQ31" s="35">
        <v>55.81</v>
      </c>
      <c r="AR31" s="35">
        <v>83.43</v>
      </c>
      <c r="AS31" s="35">
        <v>87.33</v>
      </c>
      <c r="AT31" s="35">
        <f t="shared" si="9"/>
        <v>226.57</v>
      </c>
      <c r="AU31" s="35">
        <v>45.25</v>
      </c>
      <c r="AV31" s="35">
        <v>49.07</v>
      </c>
      <c r="AW31" s="35">
        <v>97.17</v>
      </c>
      <c r="AX31" s="35">
        <f t="shared" si="10"/>
        <v>191.49</v>
      </c>
      <c r="AY31" s="12">
        <v>94.873985700000006</v>
      </c>
      <c r="AZ31" s="12">
        <v>106.28</v>
      </c>
      <c r="BA31" s="12">
        <v>119.905196</v>
      </c>
      <c r="BB31" s="35">
        <f t="shared" si="11"/>
        <v>321.05918170000001</v>
      </c>
    </row>
    <row r="32" spans="1:54" x14ac:dyDescent="0.3">
      <c r="A32" s="7">
        <v>24</v>
      </c>
      <c r="B32" s="31" t="s">
        <v>40</v>
      </c>
      <c r="C32" s="48">
        <f t="shared" si="12"/>
        <v>6541.0750164499996</v>
      </c>
      <c r="D32" s="48">
        <f t="shared" si="13"/>
        <v>8751.64</v>
      </c>
      <c r="E32" s="48">
        <f t="shared" si="14"/>
        <v>12411.948975492</v>
      </c>
      <c r="F32" s="48">
        <f t="shared" si="15"/>
        <v>27704.663991941998</v>
      </c>
      <c r="G32" s="35">
        <v>498.36</v>
      </c>
      <c r="H32" s="35">
        <v>692.87</v>
      </c>
      <c r="I32" s="35">
        <v>948.83</v>
      </c>
      <c r="J32" s="35">
        <f t="shared" si="0"/>
        <v>2140.06</v>
      </c>
      <c r="K32" s="35">
        <v>699.98</v>
      </c>
      <c r="L32" s="35">
        <v>928.6</v>
      </c>
      <c r="M32" s="35">
        <v>1035.83</v>
      </c>
      <c r="N32" s="35">
        <f t="shared" si="1"/>
        <v>2664.41</v>
      </c>
      <c r="O32" s="35">
        <v>593.20000000000005</v>
      </c>
      <c r="P32" s="35">
        <v>722.34</v>
      </c>
      <c r="Q32" s="35">
        <v>1101.55</v>
      </c>
      <c r="R32" s="35">
        <f t="shared" si="2"/>
        <v>2417.09</v>
      </c>
      <c r="S32" s="35">
        <v>525.57000000000005</v>
      </c>
      <c r="T32" s="35">
        <v>652.39</v>
      </c>
      <c r="U32" s="35">
        <v>3626.27</v>
      </c>
      <c r="V32" s="35">
        <f t="shared" si="3"/>
        <v>4804.2299999999996</v>
      </c>
      <c r="W32" s="35">
        <v>379.4</v>
      </c>
      <c r="X32" s="35">
        <v>504.39</v>
      </c>
      <c r="Y32" s="35">
        <v>686.81</v>
      </c>
      <c r="Z32" s="35">
        <f t="shared" si="4"/>
        <v>1570.6</v>
      </c>
      <c r="AA32" s="35">
        <v>492.58</v>
      </c>
      <c r="AB32" s="35">
        <v>642.97</v>
      </c>
      <c r="AC32" s="35">
        <v>681.43</v>
      </c>
      <c r="AD32" s="35">
        <f t="shared" si="5"/>
        <v>1816.98</v>
      </c>
      <c r="AE32" s="35">
        <v>529.99</v>
      </c>
      <c r="AF32" s="35">
        <v>691.12</v>
      </c>
      <c r="AG32" s="35">
        <v>723.98</v>
      </c>
      <c r="AH32" s="35">
        <f t="shared" si="6"/>
        <v>1945.0900000000001</v>
      </c>
      <c r="AI32" s="35">
        <v>295.92</v>
      </c>
      <c r="AJ32" s="35">
        <v>422.06</v>
      </c>
      <c r="AK32" s="35">
        <v>405.33</v>
      </c>
      <c r="AL32" s="35">
        <f t="shared" si="7"/>
        <v>1123.31</v>
      </c>
      <c r="AM32" s="35">
        <v>749.11999999999989</v>
      </c>
      <c r="AN32" s="35">
        <v>1124.97</v>
      </c>
      <c r="AO32" s="35">
        <v>616.61</v>
      </c>
      <c r="AP32" s="35">
        <f t="shared" si="8"/>
        <v>2490.6999999999998</v>
      </c>
      <c r="AQ32" s="35">
        <v>651.82000000000005</v>
      </c>
      <c r="AR32" s="35">
        <v>902.83</v>
      </c>
      <c r="AS32" s="35">
        <v>570.95000000000005</v>
      </c>
      <c r="AT32" s="35">
        <f t="shared" si="9"/>
        <v>2125.6000000000004</v>
      </c>
      <c r="AU32" s="35">
        <v>490.04</v>
      </c>
      <c r="AV32" s="35">
        <v>629.05999999999995</v>
      </c>
      <c r="AW32" s="35">
        <v>704.16</v>
      </c>
      <c r="AX32" s="35">
        <f t="shared" si="10"/>
        <v>1823.2599999999998</v>
      </c>
      <c r="AY32" s="12">
        <v>635.09501645</v>
      </c>
      <c r="AZ32" s="12">
        <v>838.04</v>
      </c>
      <c r="BA32" s="12">
        <v>1310.1989754919998</v>
      </c>
      <c r="BB32" s="35">
        <f t="shared" si="11"/>
        <v>2783.3339919419996</v>
      </c>
    </row>
    <row r="33" spans="1:55" x14ac:dyDescent="0.3">
      <c r="A33" s="51">
        <v>26</v>
      </c>
      <c r="B33" s="32" t="s">
        <v>28</v>
      </c>
      <c r="C33" s="48">
        <f t="shared" si="12"/>
        <v>328.27</v>
      </c>
      <c r="D33" s="48">
        <f t="shared" si="13"/>
        <v>445.08000000000004</v>
      </c>
      <c r="E33" s="48">
        <f t="shared" si="14"/>
        <v>2126.0463942000001</v>
      </c>
      <c r="F33" s="48">
        <f t="shared" si="15"/>
        <v>2899.3963942</v>
      </c>
      <c r="G33" s="36">
        <v>24.56</v>
      </c>
      <c r="H33" s="36">
        <v>31.7</v>
      </c>
      <c r="I33" s="36">
        <v>116.58</v>
      </c>
      <c r="J33" s="36">
        <f t="shared" si="0"/>
        <v>172.84</v>
      </c>
      <c r="K33" s="36">
        <v>30.9</v>
      </c>
      <c r="L33" s="36">
        <v>47.4</v>
      </c>
      <c r="M33" s="36">
        <v>123.41</v>
      </c>
      <c r="N33" s="36">
        <f t="shared" si="1"/>
        <v>201.70999999999998</v>
      </c>
      <c r="O33" s="36">
        <v>29.2</v>
      </c>
      <c r="P33" s="36">
        <v>36.94</v>
      </c>
      <c r="Q33" s="36">
        <v>50.38</v>
      </c>
      <c r="R33" s="36">
        <f t="shared" si="2"/>
        <v>116.52000000000001</v>
      </c>
      <c r="S33" s="36">
        <v>16.600000000000001</v>
      </c>
      <c r="T33" s="36">
        <v>44.61</v>
      </c>
      <c r="U33" s="36">
        <v>138.75</v>
      </c>
      <c r="V33" s="36">
        <f t="shared" si="3"/>
        <v>199.96</v>
      </c>
      <c r="W33" s="36">
        <v>21.08</v>
      </c>
      <c r="X33" s="36">
        <v>36.03</v>
      </c>
      <c r="Y33" s="36">
        <v>91.26</v>
      </c>
      <c r="Z33" s="36">
        <f t="shared" si="4"/>
        <v>148.37</v>
      </c>
      <c r="AA33" s="36">
        <v>11.72</v>
      </c>
      <c r="AB33" s="36">
        <v>22.84</v>
      </c>
      <c r="AC33" s="36">
        <v>56.04</v>
      </c>
      <c r="AD33" s="36">
        <f t="shared" si="5"/>
        <v>90.6</v>
      </c>
      <c r="AE33" s="36">
        <v>18.07</v>
      </c>
      <c r="AF33" s="36">
        <v>26.14</v>
      </c>
      <c r="AG33" s="36">
        <v>117.36</v>
      </c>
      <c r="AH33" s="36">
        <f t="shared" si="6"/>
        <v>161.57</v>
      </c>
      <c r="AI33" s="36">
        <v>34.32</v>
      </c>
      <c r="AJ33" s="36">
        <v>38.43</v>
      </c>
      <c r="AK33" s="36">
        <v>133.79</v>
      </c>
      <c r="AL33" s="36">
        <f t="shared" si="7"/>
        <v>206.54</v>
      </c>
      <c r="AM33" s="36">
        <v>21.919999999999998</v>
      </c>
      <c r="AN33" s="36">
        <v>34.56</v>
      </c>
      <c r="AO33" s="36">
        <v>368.90999999999997</v>
      </c>
      <c r="AP33" s="36">
        <f t="shared" si="8"/>
        <v>425.39</v>
      </c>
      <c r="AQ33" s="36">
        <v>66.44</v>
      </c>
      <c r="AR33" s="36">
        <v>23.12</v>
      </c>
      <c r="AS33" s="36">
        <v>237.03</v>
      </c>
      <c r="AT33" s="36">
        <f t="shared" si="9"/>
        <v>326.59000000000003</v>
      </c>
      <c r="AU33" s="36">
        <v>18.47</v>
      </c>
      <c r="AV33" s="36">
        <v>46.34</v>
      </c>
      <c r="AW33" s="36">
        <v>291.77</v>
      </c>
      <c r="AX33" s="36">
        <f t="shared" si="10"/>
        <v>356.58</v>
      </c>
      <c r="AY33" s="12">
        <v>34.99</v>
      </c>
      <c r="AZ33" s="12">
        <v>56.97</v>
      </c>
      <c r="BA33" s="12">
        <v>400.76639419999998</v>
      </c>
      <c r="BB33" s="36">
        <f t="shared" si="11"/>
        <v>492.72639419999996</v>
      </c>
    </row>
    <row r="34" spans="1:55" x14ac:dyDescent="0.3">
      <c r="A34" s="7">
        <v>27</v>
      </c>
      <c r="B34" s="31" t="s">
        <v>41</v>
      </c>
      <c r="C34" s="48">
        <f t="shared" si="12"/>
        <v>7294.1147006000001</v>
      </c>
      <c r="D34" s="48">
        <f t="shared" si="13"/>
        <v>11345.92</v>
      </c>
      <c r="E34" s="48">
        <f t="shared" si="14"/>
        <v>10961.429963133001</v>
      </c>
      <c r="F34" s="48">
        <f t="shared" si="15"/>
        <v>29601.464663733001</v>
      </c>
      <c r="G34" s="35">
        <v>670.17</v>
      </c>
      <c r="H34" s="35">
        <v>792.42</v>
      </c>
      <c r="I34" s="35">
        <v>909.23</v>
      </c>
      <c r="J34" s="35">
        <f t="shared" si="0"/>
        <v>2371.8199999999997</v>
      </c>
      <c r="K34" s="35">
        <v>893.67</v>
      </c>
      <c r="L34" s="35">
        <v>1473.1</v>
      </c>
      <c r="M34" s="35">
        <v>1208.29</v>
      </c>
      <c r="N34" s="35">
        <f t="shared" si="1"/>
        <v>3575.06</v>
      </c>
      <c r="O34" s="35">
        <v>652.46</v>
      </c>
      <c r="P34" s="35">
        <v>896.36</v>
      </c>
      <c r="Q34" s="35">
        <v>981.78</v>
      </c>
      <c r="R34" s="35">
        <f t="shared" si="2"/>
        <v>2530.6000000000004</v>
      </c>
      <c r="S34" s="35">
        <v>665.45</v>
      </c>
      <c r="T34" s="35">
        <v>1289.3599999999999</v>
      </c>
      <c r="U34" s="35">
        <v>1038.1400000000001</v>
      </c>
      <c r="V34" s="35">
        <f t="shared" si="3"/>
        <v>2992.95</v>
      </c>
      <c r="W34" s="35">
        <v>392.46</v>
      </c>
      <c r="X34" s="35">
        <v>600.15</v>
      </c>
      <c r="Y34" s="35">
        <v>679.71</v>
      </c>
      <c r="Z34" s="35">
        <f t="shared" si="4"/>
        <v>1672.32</v>
      </c>
      <c r="AA34" s="35">
        <v>629.98</v>
      </c>
      <c r="AB34" s="35">
        <v>835.45</v>
      </c>
      <c r="AC34" s="35">
        <v>1019.06</v>
      </c>
      <c r="AD34" s="35">
        <f t="shared" si="5"/>
        <v>2484.4899999999998</v>
      </c>
      <c r="AE34" s="35">
        <v>578.29</v>
      </c>
      <c r="AF34" s="35">
        <v>1459.88</v>
      </c>
      <c r="AG34" s="35">
        <v>1323.06</v>
      </c>
      <c r="AH34" s="35">
        <f t="shared" si="6"/>
        <v>3361.23</v>
      </c>
      <c r="AI34" s="35">
        <v>423.51</v>
      </c>
      <c r="AJ34" s="35">
        <v>482.47</v>
      </c>
      <c r="AK34" s="35">
        <v>512.20000000000005</v>
      </c>
      <c r="AL34" s="35">
        <f t="shared" si="7"/>
        <v>1418.18</v>
      </c>
      <c r="AM34" s="35">
        <v>712.43000000000006</v>
      </c>
      <c r="AN34" s="35">
        <v>1005.9499999999999</v>
      </c>
      <c r="AO34" s="35">
        <v>1086.8999999999999</v>
      </c>
      <c r="AP34" s="35">
        <f t="shared" si="8"/>
        <v>2805.2799999999997</v>
      </c>
      <c r="AQ34" s="35">
        <v>550.95000000000005</v>
      </c>
      <c r="AR34" s="35">
        <v>848.44</v>
      </c>
      <c r="AS34" s="35">
        <v>999.98</v>
      </c>
      <c r="AT34" s="35">
        <f t="shared" si="9"/>
        <v>2399.37</v>
      </c>
      <c r="AU34" s="35">
        <v>485.34</v>
      </c>
      <c r="AV34" s="35">
        <v>687.18</v>
      </c>
      <c r="AW34" s="35">
        <v>587.20000000000005</v>
      </c>
      <c r="AX34" s="35">
        <f t="shared" si="10"/>
        <v>1759.72</v>
      </c>
      <c r="AY34" s="12">
        <v>639.40470059999996</v>
      </c>
      <c r="AZ34" s="12">
        <v>975.16</v>
      </c>
      <c r="BA34" s="12">
        <v>615.87996313300005</v>
      </c>
      <c r="BB34" s="35">
        <f t="shared" si="11"/>
        <v>2230.4446637330002</v>
      </c>
    </row>
    <row r="35" spans="1:55" x14ac:dyDescent="0.3">
      <c r="A35" s="7">
        <v>29</v>
      </c>
      <c r="B35" s="31" t="s">
        <v>29</v>
      </c>
      <c r="C35" s="48">
        <f t="shared" si="12"/>
        <v>6040.0712283999992</v>
      </c>
      <c r="D35" s="48">
        <f t="shared" si="13"/>
        <v>6351.9900000000007</v>
      </c>
      <c r="E35" s="48">
        <f t="shared" si="14"/>
        <v>12762.6352615</v>
      </c>
      <c r="F35" s="48">
        <f t="shared" si="15"/>
        <v>25154.696489899998</v>
      </c>
      <c r="G35" s="35">
        <v>660.86</v>
      </c>
      <c r="H35" s="35">
        <v>692.7</v>
      </c>
      <c r="I35" s="35">
        <v>1060.69</v>
      </c>
      <c r="J35" s="35">
        <f t="shared" si="0"/>
        <v>2414.25</v>
      </c>
      <c r="K35" s="35">
        <v>489.28</v>
      </c>
      <c r="L35" s="35">
        <v>522.73</v>
      </c>
      <c r="M35" s="35">
        <v>1538.7</v>
      </c>
      <c r="N35" s="35">
        <f t="shared" si="1"/>
        <v>2550.71</v>
      </c>
      <c r="O35" s="35">
        <v>636.65</v>
      </c>
      <c r="P35" s="35">
        <v>660</v>
      </c>
      <c r="Q35" s="35">
        <v>1023.99</v>
      </c>
      <c r="R35" s="35">
        <f t="shared" si="2"/>
        <v>2320.6400000000003</v>
      </c>
      <c r="S35" s="35">
        <v>448.85</v>
      </c>
      <c r="T35" s="35">
        <v>471.53</v>
      </c>
      <c r="U35" s="35">
        <v>1177.03</v>
      </c>
      <c r="V35" s="35">
        <f t="shared" si="3"/>
        <v>2097.41</v>
      </c>
      <c r="W35" s="35">
        <v>535.21</v>
      </c>
      <c r="X35" s="35">
        <v>551.63</v>
      </c>
      <c r="Y35" s="35">
        <v>931.24</v>
      </c>
      <c r="Z35" s="35">
        <f t="shared" si="4"/>
        <v>2018.0800000000002</v>
      </c>
      <c r="AA35" s="35">
        <v>565.16</v>
      </c>
      <c r="AB35" s="35">
        <v>607.16999999999996</v>
      </c>
      <c r="AC35" s="35">
        <v>1560.12</v>
      </c>
      <c r="AD35" s="35">
        <f t="shared" si="5"/>
        <v>2732.45</v>
      </c>
      <c r="AE35" s="35">
        <v>420.81</v>
      </c>
      <c r="AF35" s="35">
        <v>429.77</v>
      </c>
      <c r="AG35" s="35">
        <v>736.79</v>
      </c>
      <c r="AH35" s="35">
        <f t="shared" si="6"/>
        <v>1587.37</v>
      </c>
      <c r="AI35" s="35">
        <v>353.37</v>
      </c>
      <c r="AJ35" s="35">
        <v>339.5</v>
      </c>
      <c r="AK35" s="35">
        <v>781.74</v>
      </c>
      <c r="AL35" s="35">
        <f t="shared" si="7"/>
        <v>1474.6100000000001</v>
      </c>
      <c r="AM35" s="35">
        <v>968.75</v>
      </c>
      <c r="AN35" s="35">
        <v>986.97</v>
      </c>
      <c r="AO35" s="35">
        <v>1533.17</v>
      </c>
      <c r="AP35" s="35">
        <f t="shared" si="8"/>
        <v>3488.8900000000003</v>
      </c>
      <c r="AQ35" s="35">
        <v>441.19</v>
      </c>
      <c r="AR35" s="35">
        <v>533.29</v>
      </c>
      <c r="AS35" s="35">
        <v>936.66</v>
      </c>
      <c r="AT35" s="35">
        <f t="shared" si="9"/>
        <v>1911.1399999999999</v>
      </c>
      <c r="AU35" s="35">
        <v>166.56</v>
      </c>
      <c r="AV35" s="35">
        <v>169.19</v>
      </c>
      <c r="AW35" s="35">
        <v>609.87</v>
      </c>
      <c r="AX35" s="35">
        <f t="shared" si="10"/>
        <v>945.62</v>
      </c>
      <c r="AY35" s="12">
        <v>353.3812284</v>
      </c>
      <c r="AZ35" s="12">
        <v>387.51</v>
      </c>
      <c r="BA35" s="12">
        <v>872.63526149999996</v>
      </c>
      <c r="BB35" s="35">
        <f t="shared" si="11"/>
        <v>1613.5264898999999</v>
      </c>
    </row>
    <row r="36" spans="1:55" x14ac:dyDescent="0.3">
      <c r="A36" s="7">
        <v>30</v>
      </c>
      <c r="B36" s="31" t="s">
        <v>30</v>
      </c>
      <c r="C36" s="48">
        <f t="shared" si="12"/>
        <v>74.246444700000012</v>
      </c>
      <c r="D36" s="48">
        <f t="shared" si="13"/>
        <v>89.9</v>
      </c>
      <c r="E36" s="48">
        <f t="shared" si="14"/>
        <v>511.18661330000003</v>
      </c>
      <c r="F36" s="48">
        <f t="shared" si="15"/>
        <v>675.33305799999994</v>
      </c>
      <c r="G36" s="35">
        <v>4.4800000000000004</v>
      </c>
      <c r="H36" s="35">
        <v>6.59</v>
      </c>
      <c r="I36" s="35">
        <v>46.59</v>
      </c>
      <c r="J36" s="35">
        <f t="shared" si="0"/>
        <v>57.660000000000004</v>
      </c>
      <c r="K36" s="35">
        <v>12.34</v>
      </c>
      <c r="L36" s="35">
        <v>15.27</v>
      </c>
      <c r="M36" s="35">
        <v>44.25</v>
      </c>
      <c r="N36" s="35">
        <f t="shared" si="1"/>
        <v>71.86</v>
      </c>
      <c r="O36" s="35">
        <v>6.83</v>
      </c>
      <c r="P36" s="35">
        <v>6.76</v>
      </c>
      <c r="Q36" s="35">
        <v>60.18</v>
      </c>
      <c r="R36" s="35">
        <f t="shared" si="2"/>
        <v>73.77</v>
      </c>
      <c r="S36" s="35">
        <v>3.48</v>
      </c>
      <c r="T36" s="35">
        <v>4.6399999999999997</v>
      </c>
      <c r="U36" s="35">
        <v>35.35</v>
      </c>
      <c r="V36" s="35">
        <f t="shared" si="3"/>
        <v>43.47</v>
      </c>
      <c r="W36" s="35">
        <v>2.57</v>
      </c>
      <c r="X36" s="35">
        <v>2.87</v>
      </c>
      <c r="Y36" s="35">
        <v>57.38</v>
      </c>
      <c r="Z36" s="35">
        <f t="shared" si="4"/>
        <v>62.82</v>
      </c>
      <c r="AA36" s="35">
        <v>7.61</v>
      </c>
      <c r="AB36" s="35">
        <v>11.48</v>
      </c>
      <c r="AC36" s="35">
        <v>7.55</v>
      </c>
      <c r="AD36" s="35">
        <f t="shared" si="5"/>
        <v>26.64</v>
      </c>
      <c r="AE36" s="35">
        <v>3.63</v>
      </c>
      <c r="AF36" s="35">
        <v>4.09</v>
      </c>
      <c r="AG36" s="35">
        <v>15.3</v>
      </c>
      <c r="AH36" s="35">
        <f t="shared" si="6"/>
        <v>23.02</v>
      </c>
      <c r="AI36" s="35">
        <v>5.19</v>
      </c>
      <c r="AJ36" s="35">
        <v>5.24</v>
      </c>
      <c r="AK36" s="35">
        <v>32.340000000000003</v>
      </c>
      <c r="AL36" s="35">
        <f t="shared" si="7"/>
        <v>42.77</v>
      </c>
      <c r="AM36" s="35">
        <v>9.6</v>
      </c>
      <c r="AN36" s="35">
        <v>15.659999999999998</v>
      </c>
      <c r="AO36" s="35">
        <v>72.91</v>
      </c>
      <c r="AP36" s="35">
        <f t="shared" si="8"/>
        <v>98.169999999999987</v>
      </c>
      <c r="AQ36" s="35">
        <v>1.49</v>
      </c>
      <c r="AR36" s="35">
        <v>1.77</v>
      </c>
      <c r="AS36" s="35">
        <v>9.24</v>
      </c>
      <c r="AT36" s="35">
        <f t="shared" si="9"/>
        <v>12.5</v>
      </c>
      <c r="AU36" s="35">
        <v>6.08</v>
      </c>
      <c r="AV36" s="35">
        <v>6.27</v>
      </c>
      <c r="AW36" s="35">
        <v>41.37</v>
      </c>
      <c r="AX36" s="35">
        <f t="shared" si="10"/>
        <v>53.72</v>
      </c>
      <c r="AY36" s="12">
        <v>10.946444700000001</v>
      </c>
      <c r="AZ36" s="12">
        <v>9.26</v>
      </c>
      <c r="BA36" s="12">
        <v>88.726613300000011</v>
      </c>
      <c r="BB36" s="35">
        <f t="shared" si="11"/>
        <v>108.93305800000002</v>
      </c>
    </row>
    <row r="37" spans="1:55" x14ac:dyDescent="0.3">
      <c r="A37" s="42">
        <v>31</v>
      </c>
      <c r="B37" s="31" t="s">
        <v>62</v>
      </c>
      <c r="C37" s="48">
        <f t="shared" si="12"/>
        <v>0</v>
      </c>
      <c r="D37" s="48">
        <f t="shared" si="13"/>
        <v>0</v>
      </c>
      <c r="E37" s="48">
        <f t="shared" si="14"/>
        <v>0.02</v>
      </c>
      <c r="F37" s="48">
        <f t="shared" si="15"/>
        <v>0.02</v>
      </c>
      <c r="G37" s="35">
        <v>0</v>
      </c>
      <c r="H37" s="35">
        <v>0</v>
      </c>
      <c r="I37" s="35">
        <v>0</v>
      </c>
      <c r="J37" s="35">
        <f t="shared" si="0"/>
        <v>0</v>
      </c>
      <c r="K37" s="35">
        <v>0</v>
      </c>
      <c r="L37" s="35">
        <v>0</v>
      </c>
      <c r="M37" s="35">
        <v>0</v>
      </c>
      <c r="N37" s="35">
        <f t="shared" si="1"/>
        <v>0</v>
      </c>
      <c r="O37" s="35">
        <v>0</v>
      </c>
      <c r="P37" s="35">
        <v>0</v>
      </c>
      <c r="Q37" s="35">
        <v>0</v>
      </c>
      <c r="R37" s="35">
        <f t="shared" si="2"/>
        <v>0</v>
      </c>
      <c r="S37" s="35">
        <v>0</v>
      </c>
      <c r="T37" s="35">
        <v>0</v>
      </c>
      <c r="U37" s="35">
        <v>0</v>
      </c>
      <c r="V37" s="35">
        <f t="shared" si="3"/>
        <v>0</v>
      </c>
      <c r="W37" s="35">
        <v>0</v>
      </c>
      <c r="X37" s="35">
        <v>0</v>
      </c>
      <c r="Y37" s="35">
        <v>0</v>
      </c>
      <c r="Z37" s="35">
        <f t="shared" si="4"/>
        <v>0</v>
      </c>
      <c r="AA37" s="35">
        <v>0</v>
      </c>
      <c r="AB37" s="35">
        <v>0</v>
      </c>
      <c r="AC37" s="35">
        <v>0.02</v>
      </c>
      <c r="AD37" s="35">
        <f t="shared" si="5"/>
        <v>0.02</v>
      </c>
      <c r="AE37" s="35">
        <v>0</v>
      </c>
      <c r="AF37" s="35">
        <v>0</v>
      </c>
      <c r="AG37" s="35">
        <v>0</v>
      </c>
      <c r="AH37" s="35">
        <f t="shared" si="6"/>
        <v>0</v>
      </c>
      <c r="AI37" s="35">
        <v>0</v>
      </c>
      <c r="AJ37" s="35">
        <v>0</v>
      </c>
      <c r="AK37" s="35">
        <v>0</v>
      </c>
      <c r="AL37" s="35">
        <f t="shared" si="7"/>
        <v>0</v>
      </c>
      <c r="AM37" s="35">
        <v>0</v>
      </c>
      <c r="AN37" s="35">
        <v>0</v>
      </c>
      <c r="AO37" s="35">
        <v>0</v>
      </c>
      <c r="AP37" s="35">
        <f t="shared" si="8"/>
        <v>0</v>
      </c>
      <c r="AQ37" s="35">
        <v>0</v>
      </c>
      <c r="AR37" s="35">
        <v>0</v>
      </c>
      <c r="AS37" s="35">
        <v>0</v>
      </c>
      <c r="AT37" s="35">
        <f t="shared" si="9"/>
        <v>0</v>
      </c>
      <c r="AU37" s="35">
        <v>0</v>
      </c>
      <c r="AV37" s="35">
        <v>0</v>
      </c>
      <c r="AW37" s="35">
        <v>0</v>
      </c>
      <c r="AX37" s="35">
        <f t="shared" si="10"/>
        <v>0</v>
      </c>
      <c r="AY37" s="12">
        <v>0</v>
      </c>
      <c r="AZ37" s="12">
        <v>0</v>
      </c>
      <c r="BA37" s="12">
        <v>0</v>
      </c>
      <c r="BB37" s="35">
        <f t="shared" si="11"/>
        <v>0</v>
      </c>
    </row>
    <row r="38" spans="1:55" x14ac:dyDescent="0.3">
      <c r="A38" s="7">
        <v>32</v>
      </c>
      <c r="B38" s="31" t="s">
        <v>32</v>
      </c>
      <c r="C38" s="48">
        <f t="shared" si="12"/>
        <v>452.75000000000006</v>
      </c>
      <c r="D38" s="48">
        <f t="shared" si="13"/>
        <v>540.5</v>
      </c>
      <c r="E38" s="48">
        <f t="shared" si="14"/>
        <v>628.8060428</v>
      </c>
      <c r="F38" s="48">
        <f t="shared" si="15"/>
        <v>1622.0560428000001</v>
      </c>
      <c r="G38" s="35">
        <v>23.77</v>
      </c>
      <c r="H38" s="35">
        <v>33.78</v>
      </c>
      <c r="I38" s="35">
        <v>42.25</v>
      </c>
      <c r="J38" s="35">
        <f t="shared" si="0"/>
        <v>99.8</v>
      </c>
      <c r="K38" s="35">
        <v>86.68</v>
      </c>
      <c r="L38" s="35">
        <v>88.33</v>
      </c>
      <c r="M38" s="35">
        <v>68.75</v>
      </c>
      <c r="N38" s="35">
        <f t="shared" si="1"/>
        <v>243.76</v>
      </c>
      <c r="O38" s="35">
        <v>45.21</v>
      </c>
      <c r="P38" s="35">
        <v>44.85</v>
      </c>
      <c r="Q38" s="35">
        <v>40.99</v>
      </c>
      <c r="R38" s="35">
        <f t="shared" si="2"/>
        <v>131.05000000000001</v>
      </c>
      <c r="S38" s="35">
        <v>43.99</v>
      </c>
      <c r="T38" s="35">
        <v>42.56</v>
      </c>
      <c r="U38" s="35">
        <v>63.86</v>
      </c>
      <c r="V38" s="35">
        <f t="shared" si="3"/>
        <v>150.41000000000003</v>
      </c>
      <c r="W38" s="35">
        <v>38.21</v>
      </c>
      <c r="X38" s="35">
        <v>69.09</v>
      </c>
      <c r="Y38" s="35">
        <v>20.48</v>
      </c>
      <c r="Z38" s="35">
        <f t="shared" si="4"/>
        <v>127.78000000000002</v>
      </c>
      <c r="AA38" s="35">
        <v>26.99</v>
      </c>
      <c r="AB38" s="35">
        <v>29.63</v>
      </c>
      <c r="AC38" s="35">
        <v>28.49</v>
      </c>
      <c r="AD38" s="35">
        <f t="shared" si="5"/>
        <v>85.11</v>
      </c>
      <c r="AE38" s="35">
        <v>24.69</v>
      </c>
      <c r="AF38" s="35">
        <v>43.47</v>
      </c>
      <c r="AG38" s="35">
        <v>32.950000000000003</v>
      </c>
      <c r="AH38" s="35">
        <f t="shared" si="6"/>
        <v>101.11</v>
      </c>
      <c r="AI38" s="35">
        <v>13.66</v>
      </c>
      <c r="AJ38" s="35">
        <v>15.48</v>
      </c>
      <c r="AK38" s="35">
        <v>19.5</v>
      </c>
      <c r="AL38" s="35">
        <f t="shared" si="7"/>
        <v>48.64</v>
      </c>
      <c r="AM38" s="35">
        <v>61.22</v>
      </c>
      <c r="AN38" s="35">
        <v>62.980000000000004</v>
      </c>
      <c r="AO38" s="35">
        <v>62.79</v>
      </c>
      <c r="AP38" s="35">
        <f t="shared" si="8"/>
        <v>186.99</v>
      </c>
      <c r="AQ38" s="35">
        <v>38.58</v>
      </c>
      <c r="AR38" s="35">
        <v>38.96</v>
      </c>
      <c r="AS38" s="35">
        <v>36.700000000000003</v>
      </c>
      <c r="AT38" s="35">
        <f t="shared" si="9"/>
        <v>114.24</v>
      </c>
      <c r="AU38" s="35">
        <v>19.73</v>
      </c>
      <c r="AV38" s="35">
        <v>24.06</v>
      </c>
      <c r="AW38" s="35">
        <v>21.51</v>
      </c>
      <c r="AX38" s="35">
        <f t="shared" si="10"/>
        <v>65.3</v>
      </c>
      <c r="AY38" s="12">
        <v>30.02</v>
      </c>
      <c r="AZ38" s="12">
        <v>47.31</v>
      </c>
      <c r="BA38" s="12">
        <v>190.53604279999999</v>
      </c>
      <c r="BB38" s="35">
        <f t="shared" si="11"/>
        <v>267.8660428</v>
      </c>
    </row>
    <row r="39" spans="1:55" x14ac:dyDescent="0.3">
      <c r="A39" s="7">
        <v>33</v>
      </c>
      <c r="B39" s="31" t="s">
        <v>33</v>
      </c>
      <c r="C39" s="48">
        <f t="shared" si="12"/>
        <v>4057.5154748400009</v>
      </c>
      <c r="D39" s="48">
        <f t="shared" si="13"/>
        <v>5289.19</v>
      </c>
      <c r="E39" s="48">
        <f t="shared" si="14"/>
        <v>5457.1434322200002</v>
      </c>
      <c r="F39" s="48">
        <f t="shared" si="15"/>
        <v>14803.848907060001</v>
      </c>
      <c r="G39" s="35">
        <v>296.95999999999998</v>
      </c>
      <c r="H39" s="35">
        <v>327.14</v>
      </c>
      <c r="I39" s="35">
        <v>484</v>
      </c>
      <c r="J39" s="35">
        <f t="shared" si="0"/>
        <v>1108.0999999999999</v>
      </c>
      <c r="K39" s="35">
        <v>527.4</v>
      </c>
      <c r="L39" s="35">
        <v>600.29999999999995</v>
      </c>
      <c r="M39" s="35">
        <v>849.07</v>
      </c>
      <c r="N39" s="35">
        <f t="shared" si="1"/>
        <v>1976.77</v>
      </c>
      <c r="O39" s="35">
        <v>305.17</v>
      </c>
      <c r="P39" s="35">
        <v>425.25</v>
      </c>
      <c r="Q39" s="35">
        <v>391.2</v>
      </c>
      <c r="R39" s="35">
        <f t="shared" si="2"/>
        <v>1121.6200000000001</v>
      </c>
      <c r="S39" s="35">
        <v>301.37</v>
      </c>
      <c r="T39" s="35">
        <v>548.34</v>
      </c>
      <c r="U39" s="35">
        <v>329.82</v>
      </c>
      <c r="V39" s="35">
        <f t="shared" si="3"/>
        <v>1179.53</v>
      </c>
      <c r="W39" s="35">
        <v>260.58</v>
      </c>
      <c r="X39" s="35">
        <v>263.26</v>
      </c>
      <c r="Y39" s="35">
        <v>372.57</v>
      </c>
      <c r="Z39" s="35">
        <f t="shared" si="4"/>
        <v>896.40999999999985</v>
      </c>
      <c r="AA39" s="35">
        <v>407.53</v>
      </c>
      <c r="AB39" s="35">
        <v>603.72</v>
      </c>
      <c r="AC39" s="35">
        <v>460.9</v>
      </c>
      <c r="AD39" s="35">
        <f t="shared" si="5"/>
        <v>1472.15</v>
      </c>
      <c r="AE39" s="35">
        <v>302.62</v>
      </c>
      <c r="AF39" s="35">
        <v>392.86</v>
      </c>
      <c r="AG39" s="35">
        <v>422.93</v>
      </c>
      <c r="AH39" s="35">
        <f t="shared" si="6"/>
        <v>1118.4100000000001</v>
      </c>
      <c r="AI39" s="35">
        <v>287.97000000000003</v>
      </c>
      <c r="AJ39" s="35">
        <v>500.45</v>
      </c>
      <c r="AK39" s="35">
        <v>473.83</v>
      </c>
      <c r="AL39" s="35">
        <f t="shared" si="7"/>
        <v>1262.25</v>
      </c>
      <c r="AM39" s="35">
        <v>336.82</v>
      </c>
      <c r="AN39" s="35">
        <v>480.26000000000005</v>
      </c>
      <c r="AO39" s="35">
        <v>477.91000000000008</v>
      </c>
      <c r="AP39" s="35">
        <f t="shared" si="8"/>
        <v>1294.9900000000002</v>
      </c>
      <c r="AQ39" s="35">
        <v>347.86</v>
      </c>
      <c r="AR39" s="35">
        <v>411.73</v>
      </c>
      <c r="AS39" s="35">
        <v>373.83</v>
      </c>
      <c r="AT39" s="35">
        <f t="shared" si="9"/>
        <v>1133.42</v>
      </c>
      <c r="AU39" s="35">
        <v>306.89999999999998</v>
      </c>
      <c r="AV39" s="35">
        <v>325.33</v>
      </c>
      <c r="AW39" s="35">
        <v>410.11</v>
      </c>
      <c r="AX39" s="35">
        <f t="shared" si="10"/>
        <v>1042.3400000000001</v>
      </c>
      <c r="AY39" s="12">
        <v>376.33547484000002</v>
      </c>
      <c r="AZ39" s="12">
        <v>410.55</v>
      </c>
      <c r="BA39" s="12">
        <v>410.97343222000001</v>
      </c>
      <c r="BB39" s="35">
        <f t="shared" si="11"/>
        <v>1197.8589070600001</v>
      </c>
    </row>
    <row r="40" spans="1:55" x14ac:dyDescent="0.3">
      <c r="A40" s="7">
        <v>34</v>
      </c>
      <c r="B40" s="31" t="s">
        <v>34</v>
      </c>
      <c r="C40" s="48">
        <f t="shared" si="12"/>
        <v>37.822924310000005</v>
      </c>
      <c r="D40" s="48">
        <f t="shared" si="13"/>
        <v>30.07</v>
      </c>
      <c r="E40" s="48">
        <f t="shared" si="14"/>
        <v>289.79169350000001</v>
      </c>
      <c r="F40" s="48">
        <f t="shared" si="15"/>
        <v>357.68461781000002</v>
      </c>
      <c r="G40" s="35">
        <v>4.8499999999999996</v>
      </c>
      <c r="H40" s="35">
        <v>0.81</v>
      </c>
      <c r="I40" s="35">
        <v>12.1</v>
      </c>
      <c r="J40" s="35">
        <f t="shared" si="0"/>
        <v>17.759999999999998</v>
      </c>
      <c r="K40" s="35">
        <v>2.16</v>
      </c>
      <c r="L40" s="35">
        <v>1.49</v>
      </c>
      <c r="M40" s="35">
        <v>27.38</v>
      </c>
      <c r="N40" s="35">
        <f t="shared" si="1"/>
        <v>31.03</v>
      </c>
      <c r="O40" s="35">
        <v>1.0900000000000001</v>
      </c>
      <c r="P40" s="35">
        <v>1.44</v>
      </c>
      <c r="Q40" s="35">
        <v>19.239999999999998</v>
      </c>
      <c r="R40" s="35">
        <f t="shared" si="2"/>
        <v>21.77</v>
      </c>
      <c r="S40" s="35">
        <v>0.84</v>
      </c>
      <c r="T40" s="35">
        <v>0.94</v>
      </c>
      <c r="U40" s="35">
        <v>26.28</v>
      </c>
      <c r="V40" s="35">
        <f t="shared" si="3"/>
        <v>28.060000000000002</v>
      </c>
      <c r="W40" s="35">
        <v>0.24</v>
      </c>
      <c r="X40" s="35">
        <v>0.3</v>
      </c>
      <c r="Y40" s="35">
        <v>6.04</v>
      </c>
      <c r="Z40" s="35">
        <f t="shared" si="4"/>
        <v>6.58</v>
      </c>
      <c r="AA40" s="35">
        <v>5.98</v>
      </c>
      <c r="AB40" s="35">
        <v>6.82</v>
      </c>
      <c r="AC40" s="35">
        <v>51.71</v>
      </c>
      <c r="AD40" s="35">
        <f t="shared" si="5"/>
        <v>64.510000000000005</v>
      </c>
      <c r="AE40" s="35">
        <v>2.6</v>
      </c>
      <c r="AF40" s="35">
        <v>1.43</v>
      </c>
      <c r="AG40" s="35">
        <v>14.06</v>
      </c>
      <c r="AH40" s="35">
        <f t="shared" si="6"/>
        <v>18.09</v>
      </c>
      <c r="AI40" s="35">
        <v>6.3</v>
      </c>
      <c r="AJ40" s="35">
        <v>6.22</v>
      </c>
      <c r="AK40" s="35">
        <v>19.48</v>
      </c>
      <c r="AL40" s="35">
        <f t="shared" si="7"/>
        <v>32</v>
      </c>
      <c r="AM40" s="35">
        <v>2.74</v>
      </c>
      <c r="AN40" s="35">
        <v>3.2300000000000004</v>
      </c>
      <c r="AO40" s="35">
        <v>41.849999999999994</v>
      </c>
      <c r="AP40" s="35">
        <f t="shared" si="8"/>
        <v>47.819999999999993</v>
      </c>
      <c r="AQ40" s="35">
        <v>2.15</v>
      </c>
      <c r="AR40" s="35">
        <v>1.97</v>
      </c>
      <c r="AS40" s="35">
        <v>10.5</v>
      </c>
      <c r="AT40" s="35">
        <f t="shared" si="9"/>
        <v>14.620000000000001</v>
      </c>
      <c r="AU40" s="35">
        <v>1.58</v>
      </c>
      <c r="AV40" s="35">
        <v>1.17</v>
      </c>
      <c r="AW40" s="35">
        <v>18.489999999999998</v>
      </c>
      <c r="AX40" s="35">
        <f t="shared" si="10"/>
        <v>21.24</v>
      </c>
      <c r="AY40" s="12">
        <v>7.2929243100000001</v>
      </c>
      <c r="AZ40" s="12">
        <v>4.25</v>
      </c>
      <c r="BA40" s="12">
        <v>42.661693500000005</v>
      </c>
      <c r="BB40" s="35">
        <f t="shared" si="11"/>
        <v>54.204617810000002</v>
      </c>
    </row>
    <row r="41" spans="1:55" x14ac:dyDescent="0.3">
      <c r="A41" s="7">
        <v>35</v>
      </c>
      <c r="B41" s="31" t="s">
        <v>42</v>
      </c>
      <c r="C41" s="48">
        <f t="shared" si="12"/>
        <v>4.5499999999999989</v>
      </c>
      <c r="D41" s="48">
        <f t="shared" si="13"/>
        <v>4.29</v>
      </c>
      <c r="E41" s="48">
        <f t="shared" si="14"/>
        <v>20.66</v>
      </c>
      <c r="F41" s="48">
        <f t="shared" si="15"/>
        <v>29.500000000000004</v>
      </c>
      <c r="G41" s="35">
        <v>0</v>
      </c>
      <c r="H41" s="35">
        <v>0</v>
      </c>
      <c r="I41" s="35">
        <v>0</v>
      </c>
      <c r="J41" s="35">
        <f t="shared" si="0"/>
        <v>0</v>
      </c>
      <c r="K41" s="35">
        <v>1.27</v>
      </c>
      <c r="L41" s="35">
        <v>1.27</v>
      </c>
      <c r="M41" s="35">
        <v>2.37</v>
      </c>
      <c r="N41" s="35">
        <f t="shared" si="1"/>
        <v>4.91</v>
      </c>
      <c r="O41" s="35">
        <v>0.12</v>
      </c>
      <c r="P41" s="35">
        <v>0.05</v>
      </c>
      <c r="Q41" s="35">
        <v>4.78</v>
      </c>
      <c r="R41" s="35">
        <f t="shared" si="2"/>
        <v>4.95</v>
      </c>
      <c r="S41" s="35">
        <v>0.05</v>
      </c>
      <c r="T41" s="35">
        <v>0.03</v>
      </c>
      <c r="U41" s="35">
        <v>0.01</v>
      </c>
      <c r="V41" s="35">
        <f t="shared" si="3"/>
        <v>0.09</v>
      </c>
      <c r="W41" s="35">
        <v>0</v>
      </c>
      <c r="X41" s="35">
        <v>0</v>
      </c>
      <c r="Y41" s="35">
        <v>7.48</v>
      </c>
      <c r="Z41" s="35">
        <f t="shared" si="4"/>
        <v>7.48</v>
      </c>
      <c r="AA41" s="35">
        <v>0.25</v>
      </c>
      <c r="AB41" s="35">
        <v>0.25</v>
      </c>
      <c r="AC41" s="35">
        <v>0.46</v>
      </c>
      <c r="AD41" s="35">
        <f t="shared" si="5"/>
        <v>0.96</v>
      </c>
      <c r="AE41" s="35">
        <v>0.73</v>
      </c>
      <c r="AF41" s="35">
        <v>0.66</v>
      </c>
      <c r="AG41" s="35">
        <v>3.27</v>
      </c>
      <c r="AH41" s="35">
        <f t="shared" si="6"/>
        <v>4.66</v>
      </c>
      <c r="AI41" s="35">
        <v>0.01</v>
      </c>
      <c r="AJ41" s="35">
        <v>0.01</v>
      </c>
      <c r="AK41" s="35">
        <v>0</v>
      </c>
      <c r="AL41" s="35">
        <f t="shared" si="7"/>
        <v>0.02</v>
      </c>
      <c r="AM41" s="35">
        <v>0.23</v>
      </c>
      <c r="AN41" s="35">
        <v>0.23</v>
      </c>
      <c r="AO41" s="35">
        <v>0.39</v>
      </c>
      <c r="AP41" s="35">
        <f t="shared" si="8"/>
        <v>0.85000000000000009</v>
      </c>
      <c r="AQ41" s="35">
        <v>0.21</v>
      </c>
      <c r="AR41" s="35">
        <v>0.21</v>
      </c>
      <c r="AS41" s="35">
        <v>0.57999999999999996</v>
      </c>
      <c r="AT41" s="35">
        <f t="shared" si="9"/>
        <v>1</v>
      </c>
      <c r="AU41" s="35">
        <v>1.33</v>
      </c>
      <c r="AV41" s="35">
        <v>1.23</v>
      </c>
      <c r="AW41" s="35">
        <v>0.97</v>
      </c>
      <c r="AX41" s="35">
        <f t="shared" si="10"/>
        <v>3.5300000000000002</v>
      </c>
      <c r="AY41" s="12">
        <v>0.35</v>
      </c>
      <c r="AZ41" s="12">
        <v>0.35</v>
      </c>
      <c r="BA41" s="12">
        <v>0.35</v>
      </c>
      <c r="BB41" s="35">
        <f t="shared" si="11"/>
        <v>1.0499999999999998</v>
      </c>
    </row>
    <row r="42" spans="1:55" x14ac:dyDescent="0.3">
      <c r="A42" s="7">
        <v>36</v>
      </c>
      <c r="B42" s="31" t="s">
        <v>35</v>
      </c>
      <c r="C42" s="48">
        <f t="shared" si="12"/>
        <v>1959.6699999999998</v>
      </c>
      <c r="D42" s="48">
        <f t="shared" si="13"/>
        <v>2194.88</v>
      </c>
      <c r="E42" s="48">
        <f t="shared" si="14"/>
        <v>4905.3921454000001</v>
      </c>
      <c r="F42" s="48">
        <f t="shared" si="15"/>
        <v>9059.9421454000003</v>
      </c>
      <c r="G42" s="35">
        <v>121.95</v>
      </c>
      <c r="H42" s="35">
        <v>144.15</v>
      </c>
      <c r="I42" s="35">
        <v>630.63</v>
      </c>
      <c r="J42" s="35">
        <f t="shared" si="0"/>
        <v>896.73</v>
      </c>
      <c r="K42" s="35">
        <v>290.58</v>
      </c>
      <c r="L42" s="35">
        <v>292.89</v>
      </c>
      <c r="M42" s="35">
        <v>406.83</v>
      </c>
      <c r="N42" s="35">
        <f t="shared" si="1"/>
        <v>990.3</v>
      </c>
      <c r="O42" s="35">
        <v>121.15</v>
      </c>
      <c r="P42" s="35">
        <v>130.16</v>
      </c>
      <c r="Q42" s="35">
        <v>238.09</v>
      </c>
      <c r="R42" s="35">
        <f t="shared" si="2"/>
        <v>489.4</v>
      </c>
      <c r="S42" s="35">
        <v>232.83</v>
      </c>
      <c r="T42" s="35">
        <v>288.88</v>
      </c>
      <c r="U42" s="35">
        <v>500.02</v>
      </c>
      <c r="V42" s="35">
        <f t="shared" si="3"/>
        <v>1021.73</v>
      </c>
      <c r="W42" s="35">
        <v>109.75</v>
      </c>
      <c r="X42" s="35">
        <v>113.48</v>
      </c>
      <c r="Y42" s="35">
        <v>283.61</v>
      </c>
      <c r="Z42" s="35">
        <f t="shared" si="4"/>
        <v>506.84000000000003</v>
      </c>
      <c r="AA42" s="35">
        <v>161.77000000000001</v>
      </c>
      <c r="AB42" s="35">
        <v>235.38</v>
      </c>
      <c r="AC42" s="35">
        <v>336.03</v>
      </c>
      <c r="AD42" s="35">
        <f t="shared" si="5"/>
        <v>733.18</v>
      </c>
      <c r="AE42" s="35">
        <v>207.33</v>
      </c>
      <c r="AF42" s="35">
        <v>218.39</v>
      </c>
      <c r="AG42" s="35">
        <v>500.46</v>
      </c>
      <c r="AH42" s="35">
        <f t="shared" si="6"/>
        <v>926.18000000000006</v>
      </c>
      <c r="AI42" s="35">
        <v>127.79</v>
      </c>
      <c r="AJ42" s="35">
        <v>159.84</v>
      </c>
      <c r="AK42" s="35">
        <v>357.11</v>
      </c>
      <c r="AL42" s="35">
        <f t="shared" si="7"/>
        <v>644.74</v>
      </c>
      <c r="AM42" s="35">
        <v>180.29</v>
      </c>
      <c r="AN42" s="35">
        <v>199.97</v>
      </c>
      <c r="AO42" s="35">
        <v>564.41999999999996</v>
      </c>
      <c r="AP42" s="35">
        <f t="shared" si="8"/>
        <v>944.68</v>
      </c>
      <c r="AQ42" s="35">
        <v>135.91</v>
      </c>
      <c r="AR42" s="35">
        <v>116.89</v>
      </c>
      <c r="AS42" s="35">
        <v>301.72000000000003</v>
      </c>
      <c r="AT42" s="35">
        <f t="shared" si="9"/>
        <v>554.52</v>
      </c>
      <c r="AU42" s="35">
        <v>117.33</v>
      </c>
      <c r="AV42" s="35">
        <v>127</v>
      </c>
      <c r="AW42" s="35">
        <v>326.72000000000003</v>
      </c>
      <c r="AX42" s="35">
        <f t="shared" si="10"/>
        <v>571.04999999999995</v>
      </c>
      <c r="AY42" s="12">
        <v>152.99</v>
      </c>
      <c r="AZ42" s="12">
        <v>167.85</v>
      </c>
      <c r="BA42" s="12">
        <v>459.75214540000002</v>
      </c>
      <c r="BB42" s="35">
        <f t="shared" si="11"/>
        <v>780.59214540000005</v>
      </c>
    </row>
    <row r="43" spans="1:55" x14ac:dyDescent="0.3">
      <c r="A43" s="7">
        <v>37</v>
      </c>
      <c r="B43" s="31" t="s">
        <v>36</v>
      </c>
      <c r="C43" s="48">
        <f t="shared" si="12"/>
        <v>537.07438002000004</v>
      </c>
      <c r="D43" s="48">
        <f t="shared" si="13"/>
        <v>675.44999999999993</v>
      </c>
      <c r="E43" s="48">
        <f t="shared" si="14"/>
        <v>2930.2382782199998</v>
      </c>
      <c r="F43" s="48">
        <f t="shared" si="15"/>
        <v>4142.7626582399998</v>
      </c>
      <c r="G43" s="35">
        <v>36.21</v>
      </c>
      <c r="H43" s="35">
        <v>48.44</v>
      </c>
      <c r="I43" s="35">
        <v>215.48</v>
      </c>
      <c r="J43" s="35">
        <f t="shared" si="0"/>
        <v>300.13</v>
      </c>
      <c r="K43" s="35">
        <v>41.02</v>
      </c>
      <c r="L43" s="35">
        <v>46.77</v>
      </c>
      <c r="M43" s="35">
        <v>229.71</v>
      </c>
      <c r="N43" s="35">
        <f t="shared" si="1"/>
        <v>317.5</v>
      </c>
      <c r="O43" s="35">
        <v>31.62</v>
      </c>
      <c r="P43" s="35">
        <v>35.950000000000003</v>
      </c>
      <c r="Q43" s="35">
        <v>130.16</v>
      </c>
      <c r="R43" s="35">
        <f t="shared" si="2"/>
        <v>197.73000000000002</v>
      </c>
      <c r="S43" s="35">
        <v>65.069999999999993</v>
      </c>
      <c r="T43" s="35">
        <v>68.25</v>
      </c>
      <c r="U43" s="35">
        <v>236.7</v>
      </c>
      <c r="V43" s="35">
        <f t="shared" si="3"/>
        <v>370.02</v>
      </c>
      <c r="W43" s="35">
        <v>22.29</v>
      </c>
      <c r="X43" s="35">
        <v>31.06</v>
      </c>
      <c r="Y43" s="35">
        <v>258.44</v>
      </c>
      <c r="Z43" s="35">
        <f t="shared" si="4"/>
        <v>311.78999999999996</v>
      </c>
      <c r="AA43" s="35">
        <v>91.75</v>
      </c>
      <c r="AB43" s="35">
        <v>77.73</v>
      </c>
      <c r="AC43" s="35">
        <v>162.56</v>
      </c>
      <c r="AD43" s="35">
        <f t="shared" si="5"/>
        <v>332.04</v>
      </c>
      <c r="AE43" s="35">
        <v>55.68</v>
      </c>
      <c r="AF43" s="35">
        <v>68.02</v>
      </c>
      <c r="AG43" s="35">
        <v>358.39</v>
      </c>
      <c r="AH43" s="35">
        <f t="shared" si="6"/>
        <v>482.09</v>
      </c>
      <c r="AI43" s="35">
        <v>12</v>
      </c>
      <c r="AJ43" s="35">
        <v>25.62</v>
      </c>
      <c r="AK43" s="35">
        <v>238.22</v>
      </c>
      <c r="AL43" s="35">
        <f t="shared" si="7"/>
        <v>275.84000000000003</v>
      </c>
      <c r="AM43" s="35">
        <v>41.84</v>
      </c>
      <c r="AN43" s="35">
        <v>55.959999999999994</v>
      </c>
      <c r="AO43" s="35">
        <v>187.61</v>
      </c>
      <c r="AP43" s="35">
        <f t="shared" si="8"/>
        <v>285.41000000000003</v>
      </c>
      <c r="AQ43" s="35">
        <v>34.65</v>
      </c>
      <c r="AR43" s="35">
        <v>41.92</v>
      </c>
      <c r="AS43" s="35">
        <v>572.58000000000004</v>
      </c>
      <c r="AT43" s="35">
        <f t="shared" si="9"/>
        <v>649.15000000000009</v>
      </c>
      <c r="AU43" s="35">
        <v>28</v>
      </c>
      <c r="AV43" s="35">
        <v>32.81</v>
      </c>
      <c r="AW43" s="35">
        <v>185.7</v>
      </c>
      <c r="AX43" s="35">
        <f t="shared" si="10"/>
        <v>246.51</v>
      </c>
      <c r="AY43" s="12">
        <v>76.944380019999997</v>
      </c>
      <c r="AZ43" s="12">
        <v>142.91999999999999</v>
      </c>
      <c r="BA43" s="12">
        <v>154.68827822</v>
      </c>
      <c r="BB43" s="35">
        <f t="shared" si="11"/>
        <v>374.55265824000003</v>
      </c>
    </row>
    <row r="44" spans="1:55" x14ac:dyDescent="0.3">
      <c r="A44" s="7">
        <v>38</v>
      </c>
      <c r="B44" s="31" t="s">
        <v>37</v>
      </c>
      <c r="C44" s="48">
        <f t="shared" si="12"/>
        <v>4.5999999999999996</v>
      </c>
      <c r="D44" s="48">
        <f t="shared" si="13"/>
        <v>3.8699999999999992</v>
      </c>
      <c r="E44" s="48">
        <f t="shared" si="14"/>
        <v>0.1</v>
      </c>
      <c r="F44" s="48">
        <f t="shared" si="15"/>
        <v>8.5699999999999985</v>
      </c>
      <c r="G44" s="35">
        <v>0</v>
      </c>
      <c r="H44" s="35">
        <v>0</v>
      </c>
      <c r="I44" s="35">
        <v>0</v>
      </c>
      <c r="J44" s="35">
        <f t="shared" si="0"/>
        <v>0</v>
      </c>
      <c r="K44" s="35">
        <v>0</v>
      </c>
      <c r="L44" s="35">
        <v>0</v>
      </c>
      <c r="M44" s="35">
        <v>0</v>
      </c>
      <c r="N44" s="35">
        <f t="shared" si="1"/>
        <v>0</v>
      </c>
      <c r="O44" s="35">
        <v>0.31</v>
      </c>
      <c r="P44" s="35">
        <v>0.3</v>
      </c>
      <c r="Q44" s="35">
        <v>0</v>
      </c>
      <c r="R44" s="35">
        <f t="shared" si="2"/>
        <v>0.61</v>
      </c>
      <c r="S44" s="35">
        <v>0.19</v>
      </c>
      <c r="T44" s="35">
        <v>0.19</v>
      </c>
      <c r="U44" s="35">
        <v>0</v>
      </c>
      <c r="V44" s="35">
        <f t="shared" si="3"/>
        <v>0.38</v>
      </c>
      <c r="W44" s="35">
        <v>0.69</v>
      </c>
      <c r="X44" s="35">
        <v>0.7</v>
      </c>
      <c r="Y44" s="35">
        <v>0</v>
      </c>
      <c r="Z44" s="35">
        <f t="shared" si="4"/>
        <v>1.39</v>
      </c>
      <c r="AA44" s="35">
        <v>0.32</v>
      </c>
      <c r="AB44" s="35">
        <v>0.13</v>
      </c>
      <c r="AC44" s="35">
        <v>0.02</v>
      </c>
      <c r="AD44" s="35">
        <f t="shared" si="5"/>
        <v>0.47000000000000003</v>
      </c>
      <c r="AE44" s="35">
        <v>0</v>
      </c>
      <c r="AF44" s="35">
        <v>0</v>
      </c>
      <c r="AG44" s="35">
        <v>0</v>
      </c>
      <c r="AH44" s="35">
        <f t="shared" si="6"/>
        <v>0</v>
      </c>
      <c r="AI44" s="35">
        <v>0</v>
      </c>
      <c r="AJ44" s="35">
        <v>0</v>
      </c>
      <c r="AK44" s="35">
        <v>0</v>
      </c>
      <c r="AL44" s="35">
        <f t="shared" si="7"/>
        <v>0</v>
      </c>
      <c r="AM44" s="35">
        <v>1.73</v>
      </c>
      <c r="AN44" s="35">
        <v>1.19</v>
      </c>
      <c r="AO44" s="35">
        <v>0</v>
      </c>
      <c r="AP44" s="35">
        <f t="shared" si="8"/>
        <v>2.92</v>
      </c>
      <c r="AQ44" s="35">
        <v>0.01</v>
      </c>
      <c r="AR44" s="35">
        <v>0.01</v>
      </c>
      <c r="AS44" s="35">
        <v>0</v>
      </c>
      <c r="AT44" s="35">
        <f t="shared" si="9"/>
        <v>0.02</v>
      </c>
      <c r="AU44" s="35">
        <v>0.15</v>
      </c>
      <c r="AV44" s="35">
        <v>0.15</v>
      </c>
      <c r="AW44" s="35">
        <v>0.08</v>
      </c>
      <c r="AX44" s="35">
        <f t="shared" si="10"/>
        <v>0.38</v>
      </c>
      <c r="AY44" s="12">
        <v>1.2</v>
      </c>
      <c r="AZ44" s="12">
        <v>1.2</v>
      </c>
      <c r="BA44" s="12">
        <v>0</v>
      </c>
      <c r="BB44" s="35">
        <f t="shared" si="11"/>
        <v>2.4</v>
      </c>
    </row>
    <row r="45" spans="1:55" x14ac:dyDescent="0.3">
      <c r="A45" s="7">
        <v>97</v>
      </c>
      <c r="B45" s="30" t="s">
        <v>38</v>
      </c>
      <c r="C45" s="48">
        <f t="shared" si="12"/>
        <v>11.53</v>
      </c>
      <c r="D45" s="48">
        <f t="shared" si="13"/>
        <v>11.53</v>
      </c>
      <c r="E45" s="48">
        <f t="shared" si="14"/>
        <v>0.48</v>
      </c>
      <c r="F45" s="48">
        <f t="shared" si="15"/>
        <v>23.540000000000003</v>
      </c>
      <c r="G45" s="35">
        <v>1.4</v>
      </c>
      <c r="H45" s="35">
        <v>1.4</v>
      </c>
      <c r="I45" s="35">
        <v>0</v>
      </c>
      <c r="J45" s="35">
        <f t="shared" si="0"/>
        <v>2.8</v>
      </c>
      <c r="K45" s="35">
        <v>1</v>
      </c>
      <c r="L45" s="35">
        <v>1</v>
      </c>
      <c r="M45" s="35">
        <v>0</v>
      </c>
      <c r="N45" s="35">
        <f t="shared" si="1"/>
        <v>2</v>
      </c>
      <c r="O45" s="35">
        <v>0</v>
      </c>
      <c r="P45" s="35">
        <v>0</v>
      </c>
      <c r="Q45" s="35">
        <v>0</v>
      </c>
      <c r="R45" s="35">
        <f t="shared" si="2"/>
        <v>0</v>
      </c>
      <c r="S45" s="35">
        <v>0</v>
      </c>
      <c r="T45" s="35">
        <v>0</v>
      </c>
      <c r="U45" s="35">
        <v>0</v>
      </c>
      <c r="V45" s="35">
        <f t="shared" si="3"/>
        <v>0</v>
      </c>
      <c r="W45" s="35">
        <v>0</v>
      </c>
      <c r="X45" s="35">
        <v>0</v>
      </c>
      <c r="Y45" s="35">
        <v>0</v>
      </c>
      <c r="Z45" s="35">
        <f t="shared" si="4"/>
        <v>0</v>
      </c>
      <c r="AA45" s="35">
        <v>1.75</v>
      </c>
      <c r="AB45" s="35">
        <v>1.75</v>
      </c>
      <c r="AC45" s="35">
        <v>0</v>
      </c>
      <c r="AD45" s="35">
        <f t="shared" si="5"/>
        <v>3.5</v>
      </c>
      <c r="AE45" s="35">
        <v>0</v>
      </c>
      <c r="AF45" s="35">
        <v>0</v>
      </c>
      <c r="AG45" s="35">
        <v>0</v>
      </c>
      <c r="AH45" s="35">
        <f t="shared" si="6"/>
        <v>0</v>
      </c>
      <c r="AI45" s="35">
        <v>1.75</v>
      </c>
      <c r="AJ45" s="35">
        <v>1.75</v>
      </c>
      <c r="AK45" s="35">
        <v>0</v>
      </c>
      <c r="AL45" s="35">
        <f t="shared" si="7"/>
        <v>3.5</v>
      </c>
      <c r="AM45" s="35">
        <v>0</v>
      </c>
      <c r="AN45" s="35">
        <v>0</v>
      </c>
      <c r="AO45" s="35">
        <v>0.48</v>
      </c>
      <c r="AP45" s="35">
        <f t="shared" si="8"/>
        <v>0.48</v>
      </c>
      <c r="AQ45" s="35">
        <v>1</v>
      </c>
      <c r="AR45" s="35">
        <v>1</v>
      </c>
      <c r="AS45" s="35">
        <v>0</v>
      </c>
      <c r="AT45" s="35">
        <f t="shared" si="9"/>
        <v>2</v>
      </c>
      <c r="AU45" s="35">
        <v>3.8</v>
      </c>
      <c r="AV45" s="35">
        <v>3.8</v>
      </c>
      <c r="AW45" s="35">
        <v>0</v>
      </c>
      <c r="AX45" s="35">
        <f t="shared" si="10"/>
        <v>7.6</v>
      </c>
      <c r="AY45" s="12">
        <v>0.83</v>
      </c>
      <c r="AZ45" s="12">
        <v>0.83</v>
      </c>
      <c r="BA45" s="12">
        <v>0</v>
      </c>
      <c r="BB45" s="35">
        <f t="shared" si="11"/>
        <v>1.66</v>
      </c>
    </row>
    <row r="46" spans="1:55" x14ac:dyDescent="0.3">
      <c r="A46" s="42">
        <v>99</v>
      </c>
      <c r="B46" s="30" t="s">
        <v>63</v>
      </c>
      <c r="C46" s="48">
        <f t="shared" si="12"/>
        <v>0</v>
      </c>
      <c r="D46" s="48">
        <f t="shared" si="13"/>
        <v>0</v>
      </c>
      <c r="E46" s="48">
        <f t="shared" si="14"/>
        <v>0</v>
      </c>
      <c r="F46" s="48">
        <f t="shared" si="15"/>
        <v>0</v>
      </c>
      <c r="G46" s="35">
        <v>0</v>
      </c>
      <c r="H46" s="35">
        <v>0</v>
      </c>
      <c r="I46" s="35">
        <v>0</v>
      </c>
      <c r="J46" s="35">
        <f t="shared" si="0"/>
        <v>0</v>
      </c>
      <c r="K46" s="35">
        <v>0</v>
      </c>
      <c r="L46" s="35">
        <v>0</v>
      </c>
      <c r="M46" s="35">
        <v>0</v>
      </c>
      <c r="N46" s="35">
        <f t="shared" si="1"/>
        <v>0</v>
      </c>
      <c r="O46" s="35">
        <v>0</v>
      </c>
      <c r="P46" s="35">
        <v>0</v>
      </c>
      <c r="Q46" s="35">
        <v>0</v>
      </c>
      <c r="R46" s="35">
        <f t="shared" si="2"/>
        <v>0</v>
      </c>
      <c r="S46" s="35">
        <v>0</v>
      </c>
      <c r="T46" s="35">
        <v>0</v>
      </c>
      <c r="U46" s="35">
        <v>0</v>
      </c>
      <c r="V46" s="35">
        <f t="shared" si="3"/>
        <v>0</v>
      </c>
      <c r="W46" s="35">
        <v>0</v>
      </c>
      <c r="X46" s="35">
        <v>0</v>
      </c>
      <c r="Y46" s="35">
        <v>0</v>
      </c>
      <c r="Z46" s="35">
        <f t="shared" si="4"/>
        <v>0</v>
      </c>
      <c r="AA46" s="35">
        <v>0</v>
      </c>
      <c r="AB46" s="35">
        <v>0</v>
      </c>
      <c r="AC46" s="35">
        <v>0</v>
      </c>
      <c r="AD46" s="35">
        <f t="shared" si="5"/>
        <v>0</v>
      </c>
      <c r="AE46" s="35">
        <v>0</v>
      </c>
      <c r="AF46" s="35">
        <v>0</v>
      </c>
      <c r="AG46" s="35">
        <v>0</v>
      </c>
      <c r="AH46" s="35">
        <f t="shared" si="6"/>
        <v>0</v>
      </c>
      <c r="AI46" s="35">
        <v>0</v>
      </c>
      <c r="AJ46" s="35">
        <v>0</v>
      </c>
      <c r="AK46" s="35">
        <v>0</v>
      </c>
      <c r="AL46" s="35">
        <f t="shared" si="7"/>
        <v>0</v>
      </c>
      <c r="AM46" s="35">
        <v>0</v>
      </c>
      <c r="AN46" s="35">
        <v>0</v>
      </c>
      <c r="AO46" s="35">
        <v>0</v>
      </c>
      <c r="AP46" s="35">
        <f t="shared" si="8"/>
        <v>0</v>
      </c>
      <c r="AQ46" s="35">
        <v>0</v>
      </c>
      <c r="AR46" s="35">
        <v>0</v>
      </c>
      <c r="AS46" s="35">
        <v>0</v>
      </c>
      <c r="AT46" s="35">
        <f t="shared" si="9"/>
        <v>0</v>
      </c>
      <c r="AU46" s="35">
        <v>0</v>
      </c>
      <c r="AV46" s="35">
        <v>0</v>
      </c>
      <c r="AW46" s="35">
        <v>0</v>
      </c>
      <c r="AX46" s="35">
        <f t="shared" si="10"/>
        <v>0</v>
      </c>
      <c r="AY46" s="12">
        <v>0</v>
      </c>
      <c r="AZ46" s="12">
        <v>0</v>
      </c>
      <c r="BA46" s="12">
        <v>0</v>
      </c>
      <c r="BB46" s="35">
        <f t="shared" si="11"/>
        <v>0</v>
      </c>
    </row>
    <row r="47" spans="1:55" x14ac:dyDescent="0.3">
      <c r="A47" s="62" t="s">
        <v>55</v>
      </c>
      <c r="B47" s="62"/>
      <c r="C47" s="13">
        <f t="shared" ref="C47:AB47" si="16">SUM(C9:C46)</f>
        <v>38740.973302419996</v>
      </c>
      <c r="D47" s="13">
        <f t="shared" si="16"/>
        <v>49440.279940399996</v>
      </c>
      <c r="E47" s="13">
        <f t="shared" si="16"/>
        <v>75880.877013260004</v>
      </c>
      <c r="F47" s="13">
        <f t="shared" si="16"/>
        <v>164062.13025607998</v>
      </c>
      <c r="G47" s="13">
        <f t="shared" si="16"/>
        <v>3232.6</v>
      </c>
      <c r="H47" s="13">
        <f t="shared" si="16"/>
        <v>3847.6900000000005</v>
      </c>
      <c r="I47" s="13">
        <f t="shared" si="16"/>
        <v>5854.4000000000005</v>
      </c>
      <c r="J47" s="13">
        <f t="shared" si="16"/>
        <v>12934.689999999999</v>
      </c>
      <c r="K47" s="13">
        <f t="shared" si="16"/>
        <v>4242.7100000000009</v>
      </c>
      <c r="L47" s="13">
        <f t="shared" si="16"/>
        <v>5390.6600000000017</v>
      </c>
      <c r="M47" s="13">
        <f t="shared" si="16"/>
        <v>8365.5199999999986</v>
      </c>
      <c r="N47" s="13">
        <f t="shared" si="16"/>
        <v>17998.889999999996</v>
      </c>
      <c r="O47" s="13">
        <f t="shared" si="16"/>
        <v>3193.73</v>
      </c>
      <c r="P47" s="13">
        <f t="shared" si="16"/>
        <v>3873.26</v>
      </c>
      <c r="Q47" s="13">
        <f t="shared" si="16"/>
        <v>5372.2199999999993</v>
      </c>
      <c r="R47" s="13">
        <f t="shared" si="16"/>
        <v>12439.210000000003</v>
      </c>
      <c r="S47" s="13">
        <f t="shared" si="16"/>
        <v>3316.4400000000005</v>
      </c>
      <c r="T47" s="13">
        <f t="shared" si="16"/>
        <v>4541.8499999999985</v>
      </c>
      <c r="U47" s="13">
        <f t="shared" si="16"/>
        <v>8646.51</v>
      </c>
      <c r="V47" s="13">
        <f t="shared" si="16"/>
        <v>16504.8</v>
      </c>
      <c r="W47" s="13">
        <f t="shared" si="16"/>
        <v>2602.29</v>
      </c>
      <c r="X47" s="13">
        <f t="shared" si="16"/>
        <v>3118.1099999999997</v>
      </c>
      <c r="Y47" s="13">
        <f t="shared" si="16"/>
        <v>5001.0999999999995</v>
      </c>
      <c r="Z47" s="13">
        <f t="shared" si="16"/>
        <v>10721.5</v>
      </c>
      <c r="AA47" s="13">
        <f t="shared" si="16"/>
        <v>3398.0900000000006</v>
      </c>
      <c r="AB47" s="13">
        <f t="shared" si="16"/>
        <v>4282.5599999999995</v>
      </c>
      <c r="AC47" s="13">
        <f t="shared" ref="AC47:AX47" si="17">SUM(AC9:AC46)</f>
        <v>7934.83</v>
      </c>
      <c r="AD47" s="13">
        <f t="shared" si="17"/>
        <v>15615.479999999998</v>
      </c>
      <c r="AE47" s="13">
        <f t="shared" si="17"/>
        <v>2972.85</v>
      </c>
      <c r="AF47" s="13">
        <f t="shared" si="17"/>
        <v>4289.2800000000007</v>
      </c>
      <c r="AG47" s="13">
        <f t="shared" si="17"/>
        <v>5504.3200000000006</v>
      </c>
      <c r="AH47" s="13">
        <f t="shared" si="17"/>
        <v>12766.45</v>
      </c>
      <c r="AI47" s="13">
        <f t="shared" si="17"/>
        <v>2179.37</v>
      </c>
      <c r="AJ47" s="13">
        <f t="shared" si="17"/>
        <v>2717.9100000000003</v>
      </c>
      <c r="AK47" s="13">
        <f t="shared" si="17"/>
        <v>3843.82</v>
      </c>
      <c r="AL47" s="13">
        <f t="shared" si="17"/>
        <v>8741.1000000000022</v>
      </c>
      <c r="AM47" s="13">
        <f t="shared" si="17"/>
        <v>4274.3599999999997</v>
      </c>
      <c r="AN47" s="13">
        <f t="shared" si="17"/>
        <v>5439.1399999999985</v>
      </c>
      <c r="AO47" s="13">
        <f t="shared" si="17"/>
        <v>8708.81</v>
      </c>
      <c r="AP47" s="13">
        <f t="shared" si="17"/>
        <v>18422.309999999998</v>
      </c>
      <c r="AQ47" s="13">
        <f t="shared" si="17"/>
        <v>3303.4700000000003</v>
      </c>
      <c r="AR47" s="13">
        <f t="shared" si="17"/>
        <v>4264.5100000000011</v>
      </c>
      <c r="AS47" s="13">
        <f t="shared" si="17"/>
        <v>5550.92</v>
      </c>
      <c r="AT47" s="13">
        <f t="shared" si="17"/>
        <v>13118.900000000001</v>
      </c>
      <c r="AU47" s="13">
        <f t="shared" si="17"/>
        <v>2429.9899999999998</v>
      </c>
      <c r="AV47" s="13">
        <f t="shared" si="17"/>
        <v>3032.7400000000002</v>
      </c>
      <c r="AW47" s="13">
        <f t="shared" si="17"/>
        <v>4476.4699999999993</v>
      </c>
      <c r="AX47" s="13">
        <f t="shared" si="17"/>
        <v>9939.1999999999989</v>
      </c>
      <c r="AY47" s="13">
        <f t="shared" ref="AY47:BB47" si="18">SUM(AY9:AY46)</f>
        <v>3595.0733024200003</v>
      </c>
      <c r="AZ47" s="13">
        <f t="shared" si="18"/>
        <v>4642.5699403999997</v>
      </c>
      <c r="BA47" s="13">
        <f t="shared" si="18"/>
        <v>6621.9570132600002</v>
      </c>
      <c r="BB47" s="13">
        <f t="shared" si="18"/>
        <v>14859.600256080001</v>
      </c>
    </row>
    <row r="48" spans="1:55" x14ac:dyDescent="0.3">
      <c r="C48" s="15"/>
      <c r="D48" s="15"/>
      <c r="E48" s="15"/>
      <c r="F48" s="49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44"/>
    </row>
    <row r="49" spans="1:55" x14ac:dyDescent="0.3">
      <c r="A49" s="63" t="s">
        <v>50</v>
      </c>
      <c r="B49" s="63"/>
      <c r="C49" s="46">
        <f>G49+K49+O49+S49+W49+AA49+AE49+AI49+AM49+AQ49+AU49+AY49</f>
        <v>0</v>
      </c>
      <c r="D49" s="46">
        <f>H49+L49+P49+T49+X49+AB49+AF49+AJ49+AN49+AR49+AV49+AZ49</f>
        <v>0</v>
      </c>
      <c r="E49" s="41">
        <f>I49+M49+Q49+U49+Y49+AC49+AG49+AK49+AO49+AS49+AW49+BA49</f>
        <v>128568.441961</v>
      </c>
      <c r="F49" s="41">
        <f>J49+N49+R49+V49+Z49+AD49+AH49+AL49+AP49+AT49+AX49+BB49</f>
        <v>128568.441961</v>
      </c>
      <c r="G49" s="41">
        <v>0</v>
      </c>
      <c r="H49" s="41">
        <v>0</v>
      </c>
      <c r="I49" s="41">
        <v>13716.3241179</v>
      </c>
      <c r="J49" s="41">
        <v>13716.3241179</v>
      </c>
      <c r="K49" s="41">
        <v>0</v>
      </c>
      <c r="L49" s="41">
        <v>0</v>
      </c>
      <c r="M49" s="41">
        <v>8793.5522058000006</v>
      </c>
      <c r="N49" s="41">
        <v>8793.5522058000006</v>
      </c>
      <c r="O49" s="41">
        <v>0</v>
      </c>
      <c r="P49" s="41">
        <v>0</v>
      </c>
      <c r="Q49" s="41">
        <v>12688.4654362</v>
      </c>
      <c r="R49" s="41">
        <v>12688.4654362</v>
      </c>
      <c r="S49" s="41">
        <v>0</v>
      </c>
      <c r="T49" s="41">
        <v>0</v>
      </c>
      <c r="U49" s="41">
        <v>10014.2847836</v>
      </c>
      <c r="V49" s="41">
        <v>10014.2847836</v>
      </c>
      <c r="W49" s="41">
        <v>0</v>
      </c>
      <c r="X49" s="41">
        <v>0</v>
      </c>
      <c r="Y49" s="41">
        <v>8220.8262484000006</v>
      </c>
      <c r="Z49" s="41">
        <v>8220.8262484000006</v>
      </c>
      <c r="AA49" s="41">
        <v>0</v>
      </c>
      <c r="AB49" s="41">
        <v>0</v>
      </c>
      <c r="AC49" s="41">
        <v>12242.1672363</v>
      </c>
      <c r="AD49" s="41">
        <v>12242.1672363</v>
      </c>
      <c r="AE49" s="41">
        <v>0</v>
      </c>
      <c r="AF49" s="41">
        <v>0</v>
      </c>
      <c r="AG49" s="41">
        <v>13463.382019000001</v>
      </c>
      <c r="AH49" s="41">
        <v>13463.382019000001</v>
      </c>
      <c r="AI49" s="41">
        <v>0</v>
      </c>
      <c r="AJ49" s="41">
        <v>0</v>
      </c>
      <c r="AK49" s="41">
        <v>9455.3185011999994</v>
      </c>
      <c r="AL49" s="41">
        <v>9455.3185011999994</v>
      </c>
      <c r="AM49" s="41">
        <v>0</v>
      </c>
      <c r="AN49" s="41">
        <v>0</v>
      </c>
      <c r="AO49" s="41">
        <v>10557.745948899999</v>
      </c>
      <c r="AP49" s="41">
        <v>10557.745948899999</v>
      </c>
      <c r="AQ49" s="41">
        <v>0</v>
      </c>
      <c r="AR49" s="41">
        <v>0</v>
      </c>
      <c r="AS49" s="41">
        <v>9546.1516535999999</v>
      </c>
      <c r="AT49" s="41">
        <v>9546.1516535999999</v>
      </c>
      <c r="AU49" s="41">
        <v>0</v>
      </c>
      <c r="AV49" s="41">
        <v>0</v>
      </c>
      <c r="AW49" s="41">
        <v>12656.20707</v>
      </c>
      <c r="AX49" s="41">
        <v>12656.20707</v>
      </c>
      <c r="AY49" s="41">
        <v>0</v>
      </c>
      <c r="AZ49" s="41">
        <v>0</v>
      </c>
      <c r="BA49" s="41">
        <v>7214.0167400999999</v>
      </c>
      <c r="BB49" s="41">
        <v>7214.0167400999999</v>
      </c>
      <c r="BC49" s="44"/>
    </row>
    <row r="50" spans="1:55" x14ac:dyDescent="0.3">
      <c r="A50" s="28"/>
      <c r="B50" s="28"/>
      <c r="C50" s="37"/>
      <c r="D50" s="37"/>
      <c r="E50" s="37"/>
      <c r="F50" s="37"/>
      <c r="G50" s="38"/>
      <c r="H50" s="38"/>
      <c r="I50" s="39"/>
      <c r="J50" s="40"/>
      <c r="K50" s="38"/>
      <c r="L50" s="38"/>
      <c r="M50" s="39"/>
      <c r="N50" s="40"/>
      <c r="O50" s="38"/>
      <c r="P50" s="38"/>
      <c r="Q50" s="39"/>
      <c r="R50" s="40"/>
      <c r="S50" s="38"/>
      <c r="T50" s="38"/>
      <c r="U50" s="39"/>
      <c r="V50" s="40"/>
      <c r="W50" s="38"/>
      <c r="X50" s="38"/>
      <c r="Y50" s="39"/>
      <c r="Z50" s="40"/>
      <c r="AA50" s="38"/>
      <c r="AB50" s="38"/>
      <c r="AC50" s="39"/>
      <c r="AD50" s="40"/>
      <c r="AE50" s="38"/>
      <c r="AF50" s="38"/>
      <c r="AG50" s="39"/>
      <c r="AH50" s="40"/>
      <c r="AI50" s="38"/>
      <c r="AJ50" s="38"/>
      <c r="AK50" s="39"/>
      <c r="AL50" s="40"/>
      <c r="AM50" s="38"/>
      <c r="AN50" s="38"/>
      <c r="AO50" s="39"/>
      <c r="AP50" s="40"/>
      <c r="AQ50" s="38"/>
      <c r="AR50" s="38"/>
      <c r="AS50" s="39"/>
      <c r="AT50" s="40"/>
      <c r="AU50" s="38"/>
      <c r="AV50" s="38"/>
      <c r="AW50" s="39"/>
      <c r="AX50" s="40"/>
      <c r="AY50" s="38"/>
      <c r="AZ50" s="38"/>
      <c r="BA50" s="39"/>
      <c r="BB50" s="40"/>
      <c r="BC50" s="44"/>
    </row>
    <row r="51" spans="1:55" x14ac:dyDescent="0.3">
      <c r="A51" s="61" t="s">
        <v>56</v>
      </c>
      <c r="B51" s="61"/>
      <c r="C51" s="16">
        <f t="shared" ref="C51:I51" si="19">C49+C47</f>
        <v>38740.973302419996</v>
      </c>
      <c r="D51" s="16">
        <f t="shared" si="19"/>
        <v>49440.279940399996</v>
      </c>
      <c r="E51" s="16">
        <f t="shared" si="19"/>
        <v>204449.31897426001</v>
      </c>
      <c r="F51" s="16">
        <f t="shared" si="19"/>
        <v>292630.57221707999</v>
      </c>
      <c r="G51" s="16">
        <f t="shared" si="19"/>
        <v>3232.6</v>
      </c>
      <c r="H51" s="16">
        <f t="shared" si="19"/>
        <v>3847.6900000000005</v>
      </c>
      <c r="I51" s="16">
        <f t="shared" si="19"/>
        <v>19570.724117900001</v>
      </c>
      <c r="J51" s="16">
        <f>J49+J47</f>
        <v>26651.014117899998</v>
      </c>
      <c r="K51" s="16">
        <f t="shared" ref="K51:M51" si="20">K49+K47</f>
        <v>4242.7100000000009</v>
      </c>
      <c r="L51" s="16">
        <f t="shared" si="20"/>
        <v>5390.6600000000017</v>
      </c>
      <c r="M51" s="16">
        <f t="shared" si="20"/>
        <v>17159.072205799999</v>
      </c>
      <c r="N51" s="16">
        <f>N49+N47</f>
        <v>26792.442205799998</v>
      </c>
      <c r="O51" s="16">
        <f t="shared" ref="O51:Q51" si="21">O49+O47</f>
        <v>3193.73</v>
      </c>
      <c r="P51" s="16">
        <f t="shared" si="21"/>
        <v>3873.26</v>
      </c>
      <c r="Q51" s="16">
        <f t="shared" si="21"/>
        <v>18060.685436200001</v>
      </c>
      <c r="R51" s="16">
        <f>R49+R47</f>
        <v>25127.675436200003</v>
      </c>
      <c r="S51" s="16">
        <f t="shared" ref="S51:U51" si="22">S49+S47</f>
        <v>3316.4400000000005</v>
      </c>
      <c r="T51" s="16">
        <f t="shared" si="22"/>
        <v>4541.8499999999985</v>
      </c>
      <c r="U51" s="16">
        <f t="shared" si="22"/>
        <v>18660.794783600002</v>
      </c>
      <c r="V51" s="16">
        <f>V49+V47</f>
        <v>26519.084783599999</v>
      </c>
      <c r="W51" s="16">
        <f t="shared" ref="W51:Y51" si="23">W49+W47</f>
        <v>2602.29</v>
      </c>
      <c r="X51" s="16">
        <f t="shared" si="23"/>
        <v>3118.1099999999997</v>
      </c>
      <c r="Y51" s="16">
        <f t="shared" si="23"/>
        <v>13221.926248399999</v>
      </c>
      <c r="Z51" s="16">
        <f>Z49+Z47</f>
        <v>18942.326248400001</v>
      </c>
      <c r="AA51" s="16">
        <f t="shared" ref="AA51:AC51" si="24">AA49+AA47</f>
        <v>3398.0900000000006</v>
      </c>
      <c r="AB51" s="16">
        <f t="shared" si="24"/>
        <v>4282.5599999999995</v>
      </c>
      <c r="AC51" s="16">
        <f t="shared" si="24"/>
        <v>20176.997236299998</v>
      </c>
      <c r="AD51" s="16">
        <f>AD49+AD47</f>
        <v>27857.647236299999</v>
      </c>
      <c r="AE51" s="16">
        <f t="shared" ref="AE51:AG51" si="25">AE49+AE47</f>
        <v>2972.85</v>
      </c>
      <c r="AF51" s="16">
        <f t="shared" si="25"/>
        <v>4289.2800000000007</v>
      </c>
      <c r="AG51" s="16">
        <f t="shared" si="25"/>
        <v>18967.702019</v>
      </c>
      <c r="AH51" s="16">
        <f>AH49+AH47</f>
        <v>26229.832019000001</v>
      </c>
      <c r="AI51" s="16">
        <f t="shared" ref="AI51:AK51" si="26">AI49+AI47</f>
        <v>2179.37</v>
      </c>
      <c r="AJ51" s="16">
        <f t="shared" si="26"/>
        <v>2717.9100000000003</v>
      </c>
      <c r="AK51" s="16">
        <f t="shared" si="26"/>
        <v>13299.138501199999</v>
      </c>
      <c r="AL51" s="16">
        <f>AL49+AL47</f>
        <v>18196.418501200002</v>
      </c>
      <c r="AM51" s="16">
        <f t="shared" ref="AM51:AO51" si="27">AM49+AM47</f>
        <v>4274.3599999999997</v>
      </c>
      <c r="AN51" s="16">
        <f t="shared" si="27"/>
        <v>5439.1399999999985</v>
      </c>
      <c r="AO51" s="16">
        <f t="shared" si="27"/>
        <v>19266.555948900001</v>
      </c>
      <c r="AP51" s="16">
        <f>AP49+AP47</f>
        <v>28980.055948899997</v>
      </c>
      <c r="AQ51" s="16">
        <f t="shared" ref="AQ51:AS51" si="28">AQ49+AQ47</f>
        <v>3303.4700000000003</v>
      </c>
      <c r="AR51" s="16">
        <f t="shared" si="28"/>
        <v>4264.5100000000011</v>
      </c>
      <c r="AS51" s="16">
        <f t="shared" si="28"/>
        <v>15097.0716536</v>
      </c>
      <c r="AT51" s="16">
        <f>AT49+AT47</f>
        <v>22665.0516536</v>
      </c>
      <c r="AU51" s="16">
        <f t="shared" ref="AU51:AW51" si="29">AU49+AU47</f>
        <v>2429.9899999999998</v>
      </c>
      <c r="AV51" s="16">
        <f t="shared" si="29"/>
        <v>3032.7400000000002</v>
      </c>
      <c r="AW51" s="16">
        <f t="shared" si="29"/>
        <v>17132.677069999998</v>
      </c>
      <c r="AX51" s="16">
        <f>AX49+AX47</f>
        <v>22595.407070000001</v>
      </c>
      <c r="AY51" s="16">
        <f t="shared" ref="AY51:BA51" si="30">AY49+AY47</f>
        <v>3595.0733024200003</v>
      </c>
      <c r="AZ51" s="16">
        <f t="shared" si="30"/>
        <v>4642.5699403999997</v>
      </c>
      <c r="BA51" s="16">
        <f t="shared" si="30"/>
        <v>13835.97375336</v>
      </c>
      <c r="BB51" s="16">
        <f>BB49+BB47</f>
        <v>22073.616996180001</v>
      </c>
      <c r="BC51" s="44"/>
    </row>
    <row r="52" spans="1:55" x14ac:dyDescent="0.3"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</row>
    <row r="53" spans="1:55" x14ac:dyDescent="0.3">
      <c r="F53" s="5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</row>
    <row r="54" spans="1:55" x14ac:dyDescent="0.3">
      <c r="F54" s="5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</row>
    <row r="55" spans="1:55" ht="15.6" x14ac:dyDescent="0.3">
      <c r="B55" s="33" t="s">
        <v>64</v>
      </c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</row>
    <row r="56" spans="1:55" x14ac:dyDescent="0.3">
      <c r="B56" s="47" t="s">
        <v>65</v>
      </c>
      <c r="C56" s="47"/>
      <c r="D56" s="47"/>
      <c r="E56" s="47"/>
      <c r="F56" s="47"/>
      <c r="G56" s="47"/>
      <c r="H56" s="47"/>
      <c r="K56" s="47"/>
      <c r="L56" s="47"/>
      <c r="O56" s="47"/>
      <c r="P56" s="47"/>
      <c r="S56" s="47"/>
      <c r="T56" s="47"/>
      <c r="W56" s="47"/>
      <c r="X56" s="47"/>
      <c r="AA56" s="47"/>
      <c r="AB56" s="47"/>
      <c r="AE56" s="47"/>
      <c r="AF56" s="47"/>
    </row>
  </sheetData>
  <mergeCells count="20">
    <mergeCell ref="A2:C2"/>
    <mergeCell ref="A4:C4"/>
    <mergeCell ref="C7:F7"/>
    <mergeCell ref="S7:V7"/>
    <mergeCell ref="O7:R7"/>
    <mergeCell ref="G7:J7"/>
    <mergeCell ref="K7:N7"/>
    <mergeCell ref="AY7:BB7"/>
    <mergeCell ref="AU7:AX7"/>
    <mergeCell ref="A51:B51"/>
    <mergeCell ref="A47:B47"/>
    <mergeCell ref="A49:B49"/>
    <mergeCell ref="A7:A8"/>
    <mergeCell ref="B7:B8"/>
    <mergeCell ref="AQ7:AT7"/>
    <mergeCell ref="AM7:AP7"/>
    <mergeCell ref="AI7:AL7"/>
    <mergeCell ref="AE7:AH7"/>
    <mergeCell ref="AA7:AD7"/>
    <mergeCell ref="W7:Z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GST_Revenue-All_India</vt:lpstr>
      <vt:lpstr>Collections-Statewise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2024-07-26T04:18:57Z</cp:lastPrinted>
  <dcterms:created xsi:type="dcterms:W3CDTF">2020-09-04T02:38:46Z</dcterms:created>
  <dcterms:modified xsi:type="dcterms:W3CDTF">2026-08-17T12:55:35Z</dcterms:modified>
</cp:coreProperties>
</file>