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Jul 24\GST Statistics Downloads 31ts Jul 24\Downloads\New Settlement\"/>
    </mc:Choice>
  </mc:AlternateContent>
  <xr:revisionPtr revIDLastSave="0" documentId="13_ncr:1_{B30BCE01-A7A7-4D03-9278-142B371AC3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lement_2021-22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4" i="7" l="1"/>
  <c r="AO43" i="7"/>
  <c r="AO42" i="7"/>
  <c r="AO41" i="7"/>
  <c r="AO40" i="7"/>
  <c r="AO39" i="7"/>
  <c r="AO38" i="7"/>
  <c r="AO37" i="7"/>
  <c r="AO36" i="7"/>
  <c r="AO35" i="7"/>
  <c r="AO34" i="7"/>
  <c r="AO33" i="7"/>
  <c r="AO32" i="7"/>
  <c r="AO31" i="7"/>
  <c r="AO30" i="7"/>
  <c r="AO29" i="7"/>
  <c r="AO28" i="7"/>
  <c r="AO27" i="7"/>
  <c r="AO26" i="7"/>
  <c r="AO25" i="7"/>
  <c r="AO24" i="7"/>
  <c r="AO23" i="7"/>
  <c r="AO22" i="7"/>
  <c r="AO21" i="7"/>
  <c r="AO20" i="7"/>
  <c r="AO19" i="7"/>
  <c r="AO18" i="7"/>
  <c r="AO17" i="7"/>
  <c r="AO16" i="7"/>
  <c r="AO15" i="7"/>
  <c r="AO14" i="7"/>
  <c r="AO13" i="7"/>
  <c r="AO12" i="7"/>
  <c r="AO11" i="7"/>
  <c r="AO10" i="7"/>
  <c r="AO9" i="7"/>
  <c r="AO45" i="7" s="1"/>
  <c r="AO8" i="7"/>
  <c r="AO7" i="7"/>
  <c r="AL44" i="7"/>
  <c r="AL43" i="7"/>
  <c r="AL42" i="7"/>
  <c r="AL41" i="7"/>
  <c r="AL40" i="7"/>
  <c r="AL39" i="7"/>
  <c r="AL38" i="7"/>
  <c r="AL37" i="7"/>
  <c r="AL36" i="7"/>
  <c r="AL35" i="7"/>
  <c r="AL34" i="7"/>
  <c r="AL33" i="7"/>
  <c r="AL32" i="7"/>
  <c r="AL31" i="7"/>
  <c r="AL30" i="7"/>
  <c r="AL29" i="7"/>
  <c r="AL28" i="7"/>
  <c r="AL27" i="7"/>
  <c r="AL26" i="7"/>
  <c r="AL25" i="7"/>
  <c r="AL24" i="7"/>
  <c r="AL23" i="7"/>
  <c r="AL22" i="7"/>
  <c r="AL21" i="7"/>
  <c r="AL20" i="7"/>
  <c r="AL19" i="7"/>
  <c r="AL18" i="7"/>
  <c r="AL17" i="7"/>
  <c r="AL16" i="7"/>
  <c r="AL15" i="7"/>
  <c r="AL14" i="7"/>
  <c r="AL13" i="7"/>
  <c r="AL12" i="7"/>
  <c r="AL11" i="7"/>
  <c r="AL10" i="7"/>
  <c r="AL45" i="7" s="1"/>
  <c r="AL9" i="7"/>
  <c r="AL8" i="7"/>
  <c r="AL7" i="7"/>
  <c r="AI44" i="7"/>
  <c r="AI43" i="7"/>
  <c r="AI42" i="7"/>
  <c r="AI41" i="7"/>
  <c r="AI40" i="7"/>
  <c r="AI39" i="7"/>
  <c r="AI38" i="7"/>
  <c r="AI37" i="7"/>
  <c r="AI36" i="7"/>
  <c r="AI35" i="7"/>
  <c r="AI34" i="7"/>
  <c r="AI33" i="7"/>
  <c r="AI32" i="7"/>
  <c r="AI31" i="7"/>
  <c r="AI30" i="7"/>
  <c r="AI29" i="7"/>
  <c r="AI28" i="7"/>
  <c r="AI27" i="7"/>
  <c r="AI26" i="7"/>
  <c r="AI25" i="7"/>
  <c r="AI24" i="7"/>
  <c r="AI23" i="7"/>
  <c r="AI22" i="7"/>
  <c r="AI21" i="7"/>
  <c r="AI20" i="7"/>
  <c r="AI19" i="7"/>
  <c r="AI18" i="7"/>
  <c r="AI17" i="7"/>
  <c r="AI16" i="7"/>
  <c r="AI15" i="7"/>
  <c r="AI14" i="7"/>
  <c r="AI13" i="7"/>
  <c r="AI12" i="7"/>
  <c r="AI11" i="7"/>
  <c r="AI10" i="7"/>
  <c r="AI9" i="7"/>
  <c r="AI8" i="7"/>
  <c r="AI45" i="7" s="1"/>
  <c r="AI7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45" i="7" s="1"/>
  <c r="AC44" i="7"/>
  <c r="AC43" i="7"/>
  <c r="AC42" i="7"/>
  <c r="AC41" i="7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AC9" i="7"/>
  <c r="AC45" i="7" s="1"/>
  <c r="AC8" i="7"/>
  <c r="AC7" i="7"/>
  <c r="Z44" i="7"/>
  <c r="Z43" i="7"/>
  <c r="Z42" i="7"/>
  <c r="Z41" i="7"/>
  <c r="Z40" i="7"/>
  <c r="Z39" i="7"/>
  <c r="Z38" i="7"/>
  <c r="Z37" i="7"/>
  <c r="Z36" i="7"/>
  <c r="Z35" i="7"/>
  <c r="Z34" i="7"/>
  <c r="Z33" i="7"/>
  <c r="Z32" i="7"/>
  <c r="Z31" i="7"/>
  <c r="Z30" i="7"/>
  <c r="Z29" i="7"/>
  <c r="Z28" i="7"/>
  <c r="Z27" i="7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12" i="7"/>
  <c r="Z11" i="7"/>
  <c r="Z10" i="7"/>
  <c r="Z45" i="7" s="1"/>
  <c r="Z9" i="7"/>
  <c r="Z8" i="7"/>
  <c r="Z7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45" i="7" s="1"/>
  <c r="Q44" i="7"/>
  <c r="E44" i="7" s="1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E28" i="7" s="1"/>
  <c r="Q27" i="7"/>
  <c r="Q26" i="7"/>
  <c r="Q25" i="7"/>
  <c r="Q24" i="7"/>
  <c r="Q23" i="7"/>
  <c r="Q22" i="7"/>
  <c r="Q21" i="7"/>
  <c r="Q20" i="7"/>
  <c r="E20" i="7" s="1"/>
  <c r="Q19" i="7"/>
  <c r="Q18" i="7"/>
  <c r="Q17" i="7"/>
  <c r="Q16" i="7"/>
  <c r="Q15" i="7"/>
  <c r="Q14" i="7"/>
  <c r="Q13" i="7"/>
  <c r="Q12" i="7"/>
  <c r="E12" i="7" s="1"/>
  <c r="Q11" i="7"/>
  <c r="Q10" i="7"/>
  <c r="Q9" i="7"/>
  <c r="Q8" i="7"/>
  <c r="Q7" i="7"/>
  <c r="Q45" i="7" s="1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E31" i="7" s="1"/>
  <c r="N30" i="7"/>
  <c r="N29" i="7"/>
  <c r="N28" i="7"/>
  <c r="N27" i="7"/>
  <c r="N26" i="7"/>
  <c r="N25" i="7"/>
  <c r="N24" i="7"/>
  <c r="N23" i="7"/>
  <c r="E23" i="7" s="1"/>
  <c r="N22" i="7"/>
  <c r="N21" i="7"/>
  <c r="N20" i="7"/>
  <c r="N19" i="7"/>
  <c r="E19" i="7" s="1"/>
  <c r="N18" i="7"/>
  <c r="N17" i="7"/>
  <c r="N16" i="7"/>
  <c r="N15" i="7"/>
  <c r="E15" i="7" s="1"/>
  <c r="N14" i="7"/>
  <c r="N13" i="7"/>
  <c r="N12" i="7"/>
  <c r="N11" i="7"/>
  <c r="E11" i="7" s="1"/>
  <c r="N10" i="7"/>
  <c r="N9" i="7"/>
  <c r="N8" i="7"/>
  <c r="N7" i="7"/>
  <c r="N45" i="7" s="1"/>
  <c r="K44" i="7"/>
  <c r="K43" i="7"/>
  <c r="E43" i="7" s="1"/>
  <c r="K42" i="7"/>
  <c r="K41" i="7"/>
  <c r="K40" i="7"/>
  <c r="E40" i="7" s="1"/>
  <c r="K39" i="7"/>
  <c r="K38" i="7"/>
  <c r="K37" i="7"/>
  <c r="E37" i="7" s="1"/>
  <c r="K36" i="7"/>
  <c r="K35" i="7"/>
  <c r="K34" i="7"/>
  <c r="K33" i="7"/>
  <c r="K32" i="7"/>
  <c r="E32" i="7" s="1"/>
  <c r="K31" i="7"/>
  <c r="K30" i="7"/>
  <c r="K29" i="7"/>
  <c r="E29" i="7" s="1"/>
  <c r="K28" i="7"/>
  <c r="K27" i="7"/>
  <c r="K26" i="7"/>
  <c r="K25" i="7"/>
  <c r="K24" i="7"/>
  <c r="E24" i="7" s="1"/>
  <c r="K23" i="7"/>
  <c r="K22" i="7"/>
  <c r="K21" i="7"/>
  <c r="E21" i="7" s="1"/>
  <c r="K20" i="7"/>
  <c r="K19" i="7"/>
  <c r="K18" i="7"/>
  <c r="K17" i="7"/>
  <c r="K16" i="7"/>
  <c r="E16" i="7" s="1"/>
  <c r="K15" i="7"/>
  <c r="K14" i="7"/>
  <c r="K13" i="7"/>
  <c r="E13" i="7" s="1"/>
  <c r="K12" i="7"/>
  <c r="K11" i="7"/>
  <c r="K10" i="7"/>
  <c r="K9" i="7"/>
  <c r="K8" i="7"/>
  <c r="E8" i="7" s="1"/>
  <c r="K7" i="7"/>
  <c r="K45" i="7" s="1"/>
  <c r="H8" i="7"/>
  <c r="H9" i="7"/>
  <c r="E9" i="7" s="1"/>
  <c r="H10" i="7"/>
  <c r="H11" i="7"/>
  <c r="H12" i="7"/>
  <c r="H13" i="7"/>
  <c r="H14" i="7"/>
  <c r="E14" i="7" s="1"/>
  <c r="H15" i="7"/>
  <c r="H16" i="7"/>
  <c r="H17" i="7"/>
  <c r="E17" i="7" s="1"/>
  <c r="H18" i="7"/>
  <c r="H19" i="7"/>
  <c r="H20" i="7"/>
  <c r="H21" i="7"/>
  <c r="H22" i="7"/>
  <c r="E22" i="7" s="1"/>
  <c r="H23" i="7"/>
  <c r="H24" i="7"/>
  <c r="H25" i="7"/>
  <c r="E25" i="7" s="1"/>
  <c r="H26" i="7"/>
  <c r="H27" i="7"/>
  <c r="H28" i="7"/>
  <c r="H29" i="7"/>
  <c r="H30" i="7"/>
  <c r="E30" i="7" s="1"/>
  <c r="H31" i="7"/>
  <c r="H32" i="7"/>
  <c r="H33" i="7"/>
  <c r="E33" i="7" s="1"/>
  <c r="H34" i="7"/>
  <c r="H35" i="7"/>
  <c r="H36" i="7"/>
  <c r="H37" i="7"/>
  <c r="H38" i="7"/>
  <c r="E38" i="7" s="1"/>
  <c r="H39" i="7"/>
  <c r="H40" i="7"/>
  <c r="H41" i="7"/>
  <c r="E41" i="7" s="1"/>
  <c r="H42" i="7"/>
  <c r="H43" i="7"/>
  <c r="H44" i="7"/>
  <c r="H7" i="7"/>
  <c r="F45" i="7"/>
  <c r="G45" i="7"/>
  <c r="I45" i="7"/>
  <c r="J45" i="7"/>
  <c r="L45" i="7"/>
  <c r="M45" i="7"/>
  <c r="O45" i="7"/>
  <c r="P45" i="7"/>
  <c r="R45" i="7"/>
  <c r="S45" i="7"/>
  <c r="U45" i="7"/>
  <c r="V45" i="7"/>
  <c r="W45" i="7"/>
  <c r="X45" i="7"/>
  <c r="Y45" i="7"/>
  <c r="AA45" i="7"/>
  <c r="AB45" i="7"/>
  <c r="AD45" i="7"/>
  <c r="AE45" i="7"/>
  <c r="AG45" i="7"/>
  <c r="AH45" i="7"/>
  <c r="AJ45" i="7"/>
  <c r="AK45" i="7"/>
  <c r="AM45" i="7"/>
  <c r="AN45" i="7"/>
  <c r="D44" i="7"/>
  <c r="C44" i="7"/>
  <c r="D43" i="7"/>
  <c r="C43" i="7"/>
  <c r="D42" i="7"/>
  <c r="C42" i="7"/>
  <c r="D41" i="7"/>
  <c r="C41" i="7"/>
  <c r="D40" i="7"/>
  <c r="C40" i="7"/>
  <c r="E39" i="7"/>
  <c r="D39" i="7"/>
  <c r="C39" i="7"/>
  <c r="D38" i="7"/>
  <c r="C38" i="7"/>
  <c r="D37" i="7"/>
  <c r="C37" i="7"/>
  <c r="E36" i="7"/>
  <c r="D36" i="7"/>
  <c r="C36" i="7"/>
  <c r="E35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E27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C45" i="7" s="1"/>
  <c r="E42" i="7" l="1"/>
  <c r="E34" i="7"/>
  <c r="E26" i="7"/>
  <c r="E18" i="7"/>
  <c r="E10" i="7"/>
  <c r="H45" i="7"/>
  <c r="E7" i="7"/>
  <c r="D45" i="7"/>
  <c r="E45" i="7" l="1"/>
</calcChain>
</file>

<file path=xl/sharedStrings.xml><?xml version="1.0" encoding="utf-8"?>
<sst xmlns="http://schemas.openxmlformats.org/spreadsheetml/2006/main" count="84" uniqueCount="48">
  <si>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</si>
  <si>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</si>
  <si>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</si>
  <si>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</si>
  <si>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</si>
  <si>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</si>
  <si>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</si>
  <si>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</si>
  <si>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</si>
  <si>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</si>
  <si>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</si>
  <si>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</si>
  <si>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</si>
  <si>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</si>
  <si>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</si>
  <si>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</si>
  <si>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</si>
  <si>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</si>
  <si>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</si>
  <si>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</si>
  <si>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</si>
  <si>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</si>
  <si>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</si>
  <si>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</si>
  <si>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</si>
  <si>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</si>
  <si>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</si>
  <si>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</si>
  <si>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</si>
  <si>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</si>
  <si>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</si>
  <si>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</si>
  <si>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Other Territory</t>
  </si>
  <si>
    <t>Chhattisgarh</t>
  </si>
  <si>
    <t>Gujarat</t>
  </si>
  <si>
    <t>Maharashtra</t>
  </si>
  <si>
    <t>State Cd</t>
  </si>
  <si>
    <t>State</t>
  </si>
  <si>
    <t>(Rs. In Crore)</t>
  </si>
  <si>
    <t>SETTLEMENT OF IGST WITH STATES/UTs</t>
  </si>
  <si>
    <t>Ladakh</t>
  </si>
  <si>
    <t>Grand Total</t>
  </si>
  <si>
    <t>FINANCIAL YEAR 2021-2022</t>
  </si>
  <si>
    <t>Total</t>
  </si>
  <si>
    <t>Andaman and Nicobar Island</t>
  </si>
  <si>
    <t>Regular Settlement</t>
  </si>
  <si>
    <t>Adhoc Settlement</t>
  </si>
  <si>
    <t>Financial Year (2021-22)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</si>
</sst>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164" fontId="2" fillId="0" borderId="1" xfId="1" applyFont="1" applyBorder="1" applyAlignment="1">
      <alignment horizontal="right" vertical="center"/>
    </xf>
    <xf numFmtId="164" fontId="0" fillId="0" borderId="1" xfId="1" applyFont="1" applyBorder="1"/>
    <xf numFmtId="0" fontId="7" fillId="0" borderId="1" xfId="0" applyFont="1" applyBorder="1" applyAlignment="1">
      <alignment horizontal="right" vertical="center" wrapText="1"/>
    </xf>
    <xf numFmtId="0" fontId="4" fillId="0" borderId="1" xfId="0" applyFont="1" applyBorder="1"/>
    <xf numFmtId="0" fontId="6" fillId="0" borderId="1" xfId="0" applyFont="1" applyBorder="1" applyAlignment="1">
      <alignment vertical="center"/>
    </xf>
    <xf numFmtId="164" fontId="2" fillId="0" borderId="1" xfId="1" applyFont="1" applyBorder="1" applyAlignment="1">
      <alignment vertical="center"/>
    </xf>
    <xf numFmtId="0" fontId="1" fillId="0" borderId="0" xfId="0" applyFont="1"/>
    <xf numFmtId="17" fontId="5" fillId="2" borderId="1" xfId="0" applyNumberFormat="1" applyFont="1" applyFill="1" applyBorder="1" applyAlignment="1">
      <alignment horizontal="center" vertical="center" wrapText="1"/>
    </xf>
    <xf numFmtId="17" fontId="5" fillId="3" borderId="1" xfId="0" applyNumberFormat="1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vertical="center"/>
    </xf>
    <xf numFmtId="164" fontId="6" fillId="2" borderId="1" xfId="1" applyFont="1" applyFill="1" applyBorder="1" applyAlignment="1">
      <alignment vertical="center"/>
    </xf>
    <xf numFmtId="17" fontId="9" fillId="3" borderId="1" xfId="0" applyNumberFormat="1" applyFont="1" applyFill="1" applyBorder="1" applyAlignment="1">
      <alignment horizontal="center" vertical="center" wrapText="1"/>
    </xf>
    <xf numFmtId="17" fontId="9" fillId="3" borderId="2" xfId="0" applyNumberFormat="1" applyFont="1" applyFill="1" applyBorder="1" applyAlignment="1">
      <alignment horizontal="center" vertical="center" wrapText="1"/>
    </xf>
    <xf numFmtId="17" fontId="9" fillId="3" borderId="3" xfId="0" applyNumberFormat="1" applyFont="1" applyFill="1" applyBorder="1" applyAlignment="1">
      <alignment horizontal="center" vertical="center" wrapText="1"/>
    </xf>
    <xf numFmtId="17" fontId="9" fillId="3" borderId="4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5"/>
  <sheetViews>
    <sheetView tabSelected="1" zoomScale="88" workbookViewId="0">
      <selection activeCell="I3" sqref="I3"/>
    </sheetView>
  </sheetViews>
  <sheetFormatPr defaultColWidth="8.77734375" defaultRowHeight="14.4" x14ac:dyDescent="0.3"/>
  <cols>
    <col min="1" max="1" width="12.77734375" customWidth="1"/>
    <col min="2" max="2" width="24.5546875" bestFit="1" customWidth="1"/>
    <col min="3" max="41" width="12.77734375" customWidth="1"/>
  </cols>
  <sheetData>
    <row r="1" spans="1:41" ht="22.95" customHeight="1" x14ac:dyDescent="0.35">
      <c r="A1" s="10" t="s">
        <v>39</v>
      </c>
      <c r="B1" s="10"/>
      <c r="C1" s="10"/>
      <c r="D1" s="10"/>
      <c r="E1" s="10"/>
      <c r="F1" s="10"/>
      <c r="I1" s="10"/>
      <c r="L1" s="10"/>
    </row>
    <row r="2" spans="1:41" ht="22.95" customHeight="1" x14ac:dyDescent="0.35">
      <c r="A2" s="1"/>
      <c r="B2" s="1"/>
      <c r="C2" s="1"/>
      <c r="D2" s="1"/>
      <c r="E2" s="1"/>
      <c r="F2" s="1"/>
      <c r="I2" s="1"/>
      <c r="L2" s="1"/>
    </row>
    <row r="3" spans="1:41" ht="22.95" customHeight="1" x14ac:dyDescent="0.35">
      <c r="A3" s="10" t="s">
        <v>42</v>
      </c>
      <c r="B3" s="10"/>
      <c r="C3" s="1" t="s">
        <v>38</v>
      </c>
      <c r="D3" s="10"/>
      <c r="E3" s="10"/>
      <c r="F3" s="1"/>
      <c r="I3" s="1"/>
      <c r="L3" s="1"/>
    </row>
    <row r="5" spans="1:41" ht="15.6" x14ac:dyDescent="0.3">
      <c r="C5" s="19" t="s">
        <v>47</v>
      </c>
      <c r="D5" s="20"/>
      <c r="E5" s="21"/>
      <c r="F5" s="16">
        <v>44287</v>
      </c>
      <c r="G5" s="17"/>
      <c r="H5" s="18"/>
      <c r="I5" s="16">
        <v>44317</v>
      </c>
      <c r="J5" s="17"/>
      <c r="K5" s="18"/>
      <c r="L5" s="16">
        <v>44348</v>
      </c>
      <c r="M5" s="17"/>
      <c r="N5" s="18"/>
      <c r="O5" s="15">
        <v>44378</v>
      </c>
      <c r="P5" s="15"/>
      <c r="Q5" s="15"/>
      <c r="R5" s="15">
        <v>44409</v>
      </c>
      <c r="S5" s="15"/>
      <c r="T5" s="15"/>
      <c r="U5" s="15">
        <v>44440</v>
      </c>
      <c r="V5" s="15"/>
      <c r="W5" s="15"/>
      <c r="X5" s="15">
        <v>44470</v>
      </c>
      <c r="Y5" s="15"/>
      <c r="Z5" s="15"/>
      <c r="AA5" s="15">
        <v>44501</v>
      </c>
      <c r="AB5" s="15"/>
      <c r="AC5" s="15"/>
      <c r="AD5" s="15">
        <v>44531</v>
      </c>
      <c r="AE5" s="15"/>
      <c r="AF5" s="15"/>
      <c r="AG5" s="15">
        <v>44562</v>
      </c>
      <c r="AH5" s="15"/>
      <c r="AI5" s="15"/>
      <c r="AJ5" s="15">
        <v>44593</v>
      </c>
      <c r="AK5" s="15"/>
      <c r="AL5" s="15"/>
      <c r="AM5" s="15">
        <v>44621</v>
      </c>
      <c r="AN5" s="15"/>
      <c r="AO5" s="15"/>
    </row>
    <row r="6" spans="1:41" ht="28.8" x14ac:dyDescent="0.3">
      <c r="A6" s="11" t="s">
        <v>36</v>
      </c>
      <c r="B6" s="11" t="s">
        <v>37</v>
      </c>
      <c r="C6" s="11" t="s">
        <v>45</v>
      </c>
      <c r="D6" s="11" t="s">
        <v>46</v>
      </c>
      <c r="E6" s="11" t="s">
        <v>43</v>
      </c>
      <c r="F6" s="12" t="s">
        <v>45</v>
      </c>
      <c r="G6" s="12" t="s">
        <v>46</v>
      </c>
      <c r="H6" s="12" t="s">
        <v>43</v>
      </c>
      <c r="I6" s="12" t="s">
        <v>45</v>
      </c>
      <c r="J6" s="12" t="s">
        <v>46</v>
      </c>
      <c r="K6" s="12" t="s">
        <v>43</v>
      </c>
      <c r="L6" s="12" t="s">
        <v>45</v>
      </c>
      <c r="M6" s="12" t="s">
        <v>46</v>
      </c>
      <c r="N6" s="12" t="s">
        <v>43</v>
      </c>
      <c r="O6" s="12" t="s">
        <v>45</v>
      </c>
      <c r="P6" s="12" t="s">
        <v>46</v>
      </c>
      <c r="Q6" s="12" t="s">
        <v>43</v>
      </c>
      <c r="R6" s="12" t="s">
        <v>45</v>
      </c>
      <c r="S6" s="12" t="s">
        <v>46</v>
      </c>
      <c r="T6" s="12" t="s">
        <v>43</v>
      </c>
      <c r="U6" s="12" t="s">
        <v>45</v>
      </c>
      <c r="V6" s="12" t="s">
        <v>46</v>
      </c>
      <c r="W6" s="12" t="s">
        <v>43</v>
      </c>
      <c r="X6" s="12" t="s">
        <v>45</v>
      </c>
      <c r="Y6" s="12" t="s">
        <v>46</v>
      </c>
      <c r="Z6" s="12" t="s">
        <v>43</v>
      </c>
      <c r="AA6" s="12" t="s">
        <v>45</v>
      </c>
      <c r="AB6" s="12" t="s">
        <v>46</v>
      </c>
      <c r="AC6" s="12" t="s">
        <v>43</v>
      </c>
      <c r="AD6" s="12" t="s">
        <v>45</v>
      </c>
      <c r="AE6" s="12" t="s">
        <v>46</v>
      </c>
      <c r="AF6" s="12" t="s">
        <v>43</v>
      </c>
      <c r="AG6" s="12" t="s">
        <v>45</v>
      </c>
      <c r="AH6" s="12" t="s">
        <v>46</v>
      </c>
      <c r="AI6" s="12" t="s">
        <v>43</v>
      </c>
      <c r="AJ6" s="12" t="s">
        <v>45</v>
      </c>
      <c r="AK6" s="12" t="s">
        <v>46</v>
      </c>
      <c r="AL6" s="12" t="s">
        <v>43</v>
      </c>
      <c r="AM6" s="12" t="s">
        <v>45</v>
      </c>
      <c r="AN6" s="12" t="s">
        <v>46</v>
      </c>
      <c r="AO6" s="12" t="s">
        <v>43</v>
      </c>
    </row>
    <row r="7" spans="1:41" x14ac:dyDescent="0.3">
      <c r="A7" s="6">
        <v>1</v>
      </c>
      <c r="B7" s="3" t="s">
        <v>0</v>
      </c>
      <c r="C7" s="13">
        <f>F7+I7+L7+O7+R7+U7+X7+AA7+AD7+AG7+AJ7+AM7</f>
        <v>3982.3725024390005</v>
      </c>
      <c r="D7" s="13">
        <f t="shared" ref="D7:E22" si="0">G7+J7+M7+P7+S7+V7+Y7+AB7+AE7+AH7+AK7+AN7</f>
        <v>385.08548789999998</v>
      </c>
      <c r="E7" s="13">
        <f t="shared" si="0"/>
        <v>4367.4579903390004</v>
      </c>
      <c r="F7" s="9">
        <v>364.37935945099997</v>
      </c>
      <c r="G7" s="5">
        <v>0</v>
      </c>
      <c r="H7" s="5">
        <f>F7+G7</f>
        <v>364.37935945099997</v>
      </c>
      <c r="I7" s="4">
        <v>181.40553096399998</v>
      </c>
      <c r="J7" s="5">
        <v>0</v>
      </c>
      <c r="K7" s="5">
        <f>I7+J7</f>
        <v>181.40553096399998</v>
      </c>
      <c r="L7" s="4">
        <v>246.86992969900001</v>
      </c>
      <c r="M7" s="5">
        <v>0</v>
      </c>
      <c r="N7" s="5">
        <f>L7+M7</f>
        <v>246.86992969900001</v>
      </c>
      <c r="O7" s="5">
        <v>431.25778237300005</v>
      </c>
      <c r="P7" s="5">
        <v>0</v>
      </c>
      <c r="Q7" s="5">
        <f>O7+P7</f>
        <v>431.25778237300005</v>
      </c>
      <c r="R7" s="5">
        <v>378.824326552</v>
      </c>
      <c r="S7" s="5">
        <v>57.999256100000011</v>
      </c>
      <c r="T7" s="5">
        <f>R7+S7</f>
        <v>436.82358265200003</v>
      </c>
      <c r="U7" s="5">
        <v>350.44506401200005</v>
      </c>
      <c r="V7" s="5">
        <v>0</v>
      </c>
      <c r="W7" s="5">
        <f>U7+V7</f>
        <v>350.44506401200005</v>
      </c>
      <c r="X7" s="5">
        <v>337.46106563899997</v>
      </c>
      <c r="Y7" s="5">
        <v>0</v>
      </c>
      <c r="Z7" s="5">
        <f>X7+Y7</f>
        <v>337.46106563899997</v>
      </c>
      <c r="AA7" s="5">
        <v>343.88267828900001</v>
      </c>
      <c r="AB7" s="5">
        <v>0</v>
      </c>
      <c r="AC7" s="5">
        <f>AA7+AB7</f>
        <v>343.88267828900001</v>
      </c>
      <c r="AD7" s="5">
        <v>305.47615849700003</v>
      </c>
      <c r="AE7" s="5">
        <v>0</v>
      </c>
      <c r="AF7" s="5">
        <f>AD7+AE7</f>
        <v>305.47615849700003</v>
      </c>
      <c r="AG7" s="5">
        <v>405.97430620300003</v>
      </c>
      <c r="AH7" s="5">
        <v>208.1457839</v>
      </c>
      <c r="AI7" s="5">
        <f>AG7+AH7</f>
        <v>614.12009010300005</v>
      </c>
      <c r="AJ7" s="5">
        <v>304.34063336199995</v>
      </c>
      <c r="AK7" s="5">
        <v>0</v>
      </c>
      <c r="AL7" s="5">
        <f>AJ7+AK7</f>
        <v>304.34063336199995</v>
      </c>
      <c r="AM7" s="5">
        <v>332.05566739800003</v>
      </c>
      <c r="AN7" s="5">
        <v>118.9404479</v>
      </c>
      <c r="AO7" s="5">
        <f>AM7+AN7</f>
        <v>450.99611529800001</v>
      </c>
    </row>
    <row r="8" spans="1:41" x14ac:dyDescent="0.3">
      <c r="A8" s="6">
        <v>2</v>
      </c>
      <c r="B8" s="3" t="s">
        <v>1</v>
      </c>
      <c r="C8" s="13">
        <f t="shared" ref="C8:E44" si="1">F8+I8+L8+O8+R8+U8+X8+AA8+AD8+AG8+AJ8+AM8</f>
        <v>2402.3036493909999</v>
      </c>
      <c r="D8" s="13">
        <f t="shared" si="0"/>
        <v>308.20182599999998</v>
      </c>
      <c r="E8" s="13">
        <f t="shared" si="0"/>
        <v>2710.5054753910003</v>
      </c>
      <c r="F8" s="9">
        <v>232.03955927800001</v>
      </c>
      <c r="G8" s="5">
        <v>0</v>
      </c>
      <c r="H8" s="5">
        <f t="shared" ref="H8:H44" si="2">F8+G8</f>
        <v>232.03955927800001</v>
      </c>
      <c r="I8" s="4">
        <v>77.097243506999988</v>
      </c>
      <c r="J8" s="5">
        <v>0</v>
      </c>
      <c r="K8" s="5">
        <f t="shared" ref="K8:K44" si="3">I8+J8</f>
        <v>77.097243506999988</v>
      </c>
      <c r="L8" s="4">
        <v>129.25908935500001</v>
      </c>
      <c r="M8" s="5">
        <v>0</v>
      </c>
      <c r="N8" s="5">
        <f t="shared" ref="N8:N44" si="4">L8+M8</f>
        <v>129.25908935500001</v>
      </c>
      <c r="O8" s="5">
        <v>291.80391466899999</v>
      </c>
      <c r="P8" s="5">
        <v>0</v>
      </c>
      <c r="Q8" s="5">
        <f t="shared" ref="Q8:Q44" si="5">O8+P8</f>
        <v>291.80391466899999</v>
      </c>
      <c r="R8" s="5">
        <v>224.673427581</v>
      </c>
      <c r="S8" s="5">
        <v>58.761064400000009</v>
      </c>
      <c r="T8" s="5">
        <f t="shared" ref="T8:T44" si="6">R8+S8</f>
        <v>283.43449198100001</v>
      </c>
      <c r="U8" s="5">
        <v>195.56285416600002</v>
      </c>
      <c r="V8" s="5">
        <v>0</v>
      </c>
      <c r="W8" s="5">
        <f t="shared" ref="W8:W44" si="7">U8+V8</f>
        <v>195.56285416600002</v>
      </c>
      <c r="X8" s="5">
        <v>230.62170858500005</v>
      </c>
      <c r="Y8" s="5">
        <v>0</v>
      </c>
      <c r="Z8" s="5">
        <f t="shared" ref="Z8:Z44" si="8">X8+Y8</f>
        <v>230.62170858500005</v>
      </c>
      <c r="AA8" s="5">
        <v>216.701358812</v>
      </c>
      <c r="AB8" s="5">
        <v>0</v>
      </c>
      <c r="AC8" s="5">
        <f t="shared" ref="AC8:AC44" si="9">AA8+AB8</f>
        <v>216.701358812</v>
      </c>
      <c r="AD8" s="5">
        <v>174.67955018800001</v>
      </c>
      <c r="AE8" s="5">
        <v>0</v>
      </c>
      <c r="AF8" s="5">
        <f t="shared" ref="AF8:AF44" si="10">AD8+AE8</f>
        <v>174.67955018800001</v>
      </c>
      <c r="AG8" s="5">
        <v>256.52166369199995</v>
      </c>
      <c r="AH8" s="5">
        <v>158.73503009999999</v>
      </c>
      <c r="AI8" s="5">
        <f t="shared" ref="AI8:AI44" si="11">AG8+AH8</f>
        <v>415.25669379199996</v>
      </c>
      <c r="AJ8" s="5">
        <v>169.668184844</v>
      </c>
      <c r="AK8" s="5">
        <v>0</v>
      </c>
      <c r="AL8" s="5">
        <f t="shared" ref="AL8:AL44" si="12">AJ8+AK8</f>
        <v>169.668184844</v>
      </c>
      <c r="AM8" s="5">
        <v>203.67509471400001</v>
      </c>
      <c r="AN8" s="5">
        <v>90.705731499999999</v>
      </c>
      <c r="AO8" s="5">
        <f t="shared" ref="AO8:AO44" si="13">AM8+AN8</f>
        <v>294.38082621400002</v>
      </c>
    </row>
    <row r="9" spans="1:41" x14ac:dyDescent="0.3">
      <c r="A9" s="6">
        <v>3</v>
      </c>
      <c r="B9" s="3" t="s">
        <v>2</v>
      </c>
      <c r="C9" s="13">
        <f t="shared" si="1"/>
        <v>8646.5670520040003</v>
      </c>
      <c r="D9" s="13">
        <f t="shared" si="0"/>
        <v>1285.9992989</v>
      </c>
      <c r="E9" s="13">
        <f t="shared" si="0"/>
        <v>9932.5663509040005</v>
      </c>
      <c r="F9" s="9">
        <v>753.1546442770001</v>
      </c>
      <c r="G9" s="5">
        <v>0</v>
      </c>
      <c r="H9" s="5">
        <f t="shared" si="2"/>
        <v>753.1546442770001</v>
      </c>
      <c r="I9" s="4">
        <v>409.21898264200001</v>
      </c>
      <c r="J9" s="5">
        <v>0</v>
      </c>
      <c r="K9" s="5">
        <f t="shared" si="3"/>
        <v>409.21898264200001</v>
      </c>
      <c r="L9" s="4">
        <v>676.75411292100011</v>
      </c>
      <c r="M9" s="5">
        <v>0</v>
      </c>
      <c r="N9" s="5">
        <f t="shared" si="4"/>
        <v>676.75411292100011</v>
      </c>
      <c r="O9" s="5">
        <v>858.17936406800004</v>
      </c>
      <c r="P9" s="5">
        <v>0</v>
      </c>
      <c r="Q9" s="5">
        <f t="shared" si="5"/>
        <v>858.17936406800004</v>
      </c>
      <c r="R9" s="5">
        <v>848.69164915400006</v>
      </c>
      <c r="S9" s="5">
        <v>258.60343999999998</v>
      </c>
      <c r="T9" s="5">
        <f t="shared" si="6"/>
        <v>1107.2950891539999</v>
      </c>
      <c r="U9" s="5">
        <v>798.01161501199999</v>
      </c>
      <c r="V9" s="5">
        <v>0</v>
      </c>
      <c r="W9" s="5">
        <f t="shared" si="7"/>
        <v>798.01161501199999</v>
      </c>
      <c r="X9" s="5">
        <v>628.57483797999987</v>
      </c>
      <c r="Y9" s="5">
        <v>0</v>
      </c>
      <c r="Z9" s="5">
        <f t="shared" si="8"/>
        <v>628.57483797999987</v>
      </c>
      <c r="AA9" s="5">
        <v>672.8256311209999</v>
      </c>
      <c r="AB9" s="5">
        <v>0</v>
      </c>
      <c r="AC9" s="5">
        <f t="shared" si="9"/>
        <v>672.8256311209999</v>
      </c>
      <c r="AD9" s="5">
        <v>647.74247022100008</v>
      </c>
      <c r="AE9" s="5">
        <v>0</v>
      </c>
      <c r="AF9" s="5">
        <f t="shared" si="10"/>
        <v>647.74247022100008</v>
      </c>
      <c r="AG9" s="5">
        <v>813.97683739900003</v>
      </c>
      <c r="AH9" s="5">
        <v>653.79736479999997</v>
      </c>
      <c r="AI9" s="5">
        <f t="shared" si="11"/>
        <v>1467.774202199</v>
      </c>
      <c r="AJ9" s="5">
        <v>790.15394195200008</v>
      </c>
      <c r="AK9" s="5">
        <v>0</v>
      </c>
      <c r="AL9" s="5">
        <f t="shared" si="12"/>
        <v>790.15394195200008</v>
      </c>
      <c r="AM9" s="5">
        <v>749.28296525700011</v>
      </c>
      <c r="AN9" s="5">
        <v>373.59849409999998</v>
      </c>
      <c r="AO9" s="5">
        <f t="shared" si="13"/>
        <v>1122.881459357</v>
      </c>
    </row>
    <row r="10" spans="1:41" x14ac:dyDescent="0.3">
      <c r="A10" s="6">
        <v>4</v>
      </c>
      <c r="B10" s="3" t="s">
        <v>3</v>
      </c>
      <c r="C10" s="13">
        <f t="shared" si="1"/>
        <v>1065.9872281</v>
      </c>
      <c r="D10" s="13">
        <f t="shared" si="0"/>
        <v>120.73002930000001</v>
      </c>
      <c r="E10" s="13">
        <f t="shared" si="0"/>
        <v>1186.7172574000001</v>
      </c>
      <c r="F10" s="9">
        <v>96.329720944000002</v>
      </c>
      <c r="G10" s="5">
        <v>0</v>
      </c>
      <c r="H10" s="5">
        <f t="shared" si="2"/>
        <v>96.329720944000002</v>
      </c>
      <c r="I10" s="4">
        <v>40.327285741000004</v>
      </c>
      <c r="J10" s="5">
        <v>0</v>
      </c>
      <c r="K10" s="5">
        <f t="shared" si="3"/>
        <v>40.327285741000004</v>
      </c>
      <c r="L10" s="4">
        <v>54.040339598000003</v>
      </c>
      <c r="M10" s="5">
        <v>0</v>
      </c>
      <c r="N10" s="5">
        <f t="shared" si="4"/>
        <v>54.040339598000003</v>
      </c>
      <c r="O10" s="5">
        <v>93.584254611999995</v>
      </c>
      <c r="P10" s="5">
        <v>0</v>
      </c>
      <c r="Q10" s="5">
        <f t="shared" si="5"/>
        <v>93.584254611999995</v>
      </c>
      <c r="R10" s="5">
        <v>102.59732199400001</v>
      </c>
      <c r="S10" s="5">
        <v>20.578625699999996</v>
      </c>
      <c r="T10" s="5">
        <f t="shared" si="6"/>
        <v>123.175947694</v>
      </c>
      <c r="U10" s="5">
        <v>91.465108041999997</v>
      </c>
      <c r="V10" s="5">
        <v>0</v>
      </c>
      <c r="W10" s="5">
        <f t="shared" si="7"/>
        <v>91.465108041999997</v>
      </c>
      <c r="X10" s="5">
        <v>92.280232048000016</v>
      </c>
      <c r="Y10" s="5">
        <v>0</v>
      </c>
      <c r="Z10" s="5">
        <f t="shared" si="8"/>
        <v>92.280232048000016</v>
      </c>
      <c r="AA10" s="5">
        <v>102.87332026</v>
      </c>
      <c r="AB10" s="5">
        <v>0</v>
      </c>
      <c r="AC10" s="5">
        <f t="shared" si="9"/>
        <v>102.87332026</v>
      </c>
      <c r="AD10" s="5">
        <v>81.997319232000009</v>
      </c>
      <c r="AE10" s="5">
        <v>0</v>
      </c>
      <c r="AF10" s="5">
        <f t="shared" si="10"/>
        <v>81.997319232000009</v>
      </c>
      <c r="AG10" s="5">
        <v>117.89750656400001</v>
      </c>
      <c r="AH10" s="5">
        <v>63.732711399999999</v>
      </c>
      <c r="AI10" s="5">
        <f t="shared" si="11"/>
        <v>181.630217964</v>
      </c>
      <c r="AJ10" s="5">
        <v>88.04945237699998</v>
      </c>
      <c r="AK10" s="5">
        <v>0</v>
      </c>
      <c r="AL10" s="5">
        <f t="shared" si="12"/>
        <v>88.04945237699998</v>
      </c>
      <c r="AM10" s="5">
        <v>104.545366688</v>
      </c>
      <c r="AN10" s="5">
        <v>36.418692200000002</v>
      </c>
      <c r="AO10" s="5">
        <f t="shared" si="13"/>
        <v>140.96405888800001</v>
      </c>
    </row>
    <row r="11" spans="1:41" x14ac:dyDescent="0.3">
      <c r="A11" s="6">
        <v>5</v>
      </c>
      <c r="B11" s="3" t="s">
        <v>4</v>
      </c>
      <c r="C11" s="13">
        <f t="shared" si="1"/>
        <v>1932.0505316560002</v>
      </c>
      <c r="D11" s="13">
        <f t="shared" si="0"/>
        <v>449.14969990000003</v>
      </c>
      <c r="E11" s="13">
        <f t="shared" si="0"/>
        <v>2381.2002315560003</v>
      </c>
      <c r="F11" s="9">
        <v>160.68691124799997</v>
      </c>
      <c r="G11" s="5">
        <v>0</v>
      </c>
      <c r="H11" s="5">
        <f t="shared" si="2"/>
        <v>160.68691124799997</v>
      </c>
      <c r="I11" s="4">
        <v>88.136366472999995</v>
      </c>
      <c r="J11" s="5">
        <v>0</v>
      </c>
      <c r="K11" s="5">
        <f t="shared" si="3"/>
        <v>88.136366472999995</v>
      </c>
      <c r="L11" s="4">
        <v>136.92356236500001</v>
      </c>
      <c r="M11" s="5">
        <v>0</v>
      </c>
      <c r="N11" s="5">
        <f t="shared" si="4"/>
        <v>136.92356236500001</v>
      </c>
      <c r="O11" s="5">
        <v>208.61011104200003</v>
      </c>
      <c r="P11" s="5">
        <v>0</v>
      </c>
      <c r="Q11" s="5">
        <f t="shared" si="5"/>
        <v>208.61011104200003</v>
      </c>
      <c r="R11" s="5">
        <v>177.29440182300002</v>
      </c>
      <c r="S11" s="5">
        <v>108.93500690000002</v>
      </c>
      <c r="T11" s="5">
        <f t="shared" si="6"/>
        <v>286.22940872300001</v>
      </c>
      <c r="U11" s="5">
        <v>150.361463485</v>
      </c>
      <c r="V11" s="5">
        <v>0</v>
      </c>
      <c r="W11" s="5">
        <f t="shared" si="7"/>
        <v>150.361463485</v>
      </c>
      <c r="X11" s="5">
        <v>143.33964435699997</v>
      </c>
      <c r="Y11" s="5">
        <v>0</v>
      </c>
      <c r="Z11" s="5">
        <f t="shared" si="8"/>
        <v>143.33964435699997</v>
      </c>
      <c r="AA11" s="5">
        <v>190.043065945</v>
      </c>
      <c r="AB11" s="5">
        <v>0</v>
      </c>
      <c r="AC11" s="5">
        <f t="shared" si="9"/>
        <v>190.043065945</v>
      </c>
      <c r="AD11" s="5">
        <v>116.75152909100004</v>
      </c>
      <c r="AE11" s="5">
        <v>0</v>
      </c>
      <c r="AF11" s="5">
        <f t="shared" si="10"/>
        <v>116.75152909100004</v>
      </c>
      <c r="AG11" s="5">
        <v>179.37828612100003</v>
      </c>
      <c r="AH11" s="5">
        <v>216.50025919999999</v>
      </c>
      <c r="AI11" s="5">
        <f t="shared" si="11"/>
        <v>395.87854532100005</v>
      </c>
      <c r="AJ11" s="5">
        <v>204.85334591899999</v>
      </c>
      <c r="AK11" s="5">
        <v>0</v>
      </c>
      <c r="AL11" s="5">
        <f t="shared" si="12"/>
        <v>204.85334591899999</v>
      </c>
      <c r="AM11" s="5">
        <v>175.671843787</v>
      </c>
      <c r="AN11" s="5">
        <v>123.71443379999999</v>
      </c>
      <c r="AO11" s="5">
        <f t="shared" si="13"/>
        <v>299.386277587</v>
      </c>
    </row>
    <row r="12" spans="1:41" x14ac:dyDescent="0.3">
      <c r="A12" s="6">
        <v>6</v>
      </c>
      <c r="B12" s="3" t="s">
        <v>5</v>
      </c>
      <c r="C12" s="13">
        <f t="shared" si="1"/>
        <v>8696.0403426089997</v>
      </c>
      <c r="D12" s="13">
        <f t="shared" si="0"/>
        <v>1275.5173374999999</v>
      </c>
      <c r="E12" s="13">
        <f t="shared" si="0"/>
        <v>9971.5576801089992</v>
      </c>
      <c r="F12" s="9">
        <v>827.75992500999985</v>
      </c>
      <c r="G12" s="5">
        <v>0</v>
      </c>
      <c r="H12" s="5">
        <f t="shared" si="2"/>
        <v>827.75992500999985</v>
      </c>
      <c r="I12" s="4">
        <v>241.32051954899998</v>
      </c>
      <c r="J12" s="5">
        <v>0</v>
      </c>
      <c r="K12" s="5">
        <f t="shared" si="3"/>
        <v>241.32051954899998</v>
      </c>
      <c r="L12" s="4">
        <v>988.48740823399987</v>
      </c>
      <c r="M12" s="5">
        <v>0</v>
      </c>
      <c r="N12" s="5">
        <f t="shared" si="4"/>
        <v>988.48740823399987</v>
      </c>
      <c r="O12" s="5">
        <v>846.85430369800019</v>
      </c>
      <c r="P12" s="5">
        <v>0</v>
      </c>
      <c r="Q12" s="5">
        <f t="shared" si="5"/>
        <v>846.85430369800019</v>
      </c>
      <c r="R12" s="5">
        <v>1008.07503399</v>
      </c>
      <c r="S12" s="5">
        <v>230.49183069999998</v>
      </c>
      <c r="T12" s="5">
        <f t="shared" si="6"/>
        <v>1238.5668646899999</v>
      </c>
      <c r="U12" s="5">
        <v>868.5959867590002</v>
      </c>
      <c r="V12" s="5">
        <v>0</v>
      </c>
      <c r="W12" s="5">
        <f t="shared" si="7"/>
        <v>868.5959867590002</v>
      </c>
      <c r="X12" s="5">
        <v>1075.6049282360002</v>
      </c>
      <c r="Y12" s="5">
        <v>0</v>
      </c>
      <c r="Z12" s="5">
        <f t="shared" si="8"/>
        <v>1075.6049282360002</v>
      </c>
      <c r="AA12" s="5">
        <v>787.77651311599993</v>
      </c>
      <c r="AB12" s="5">
        <v>0</v>
      </c>
      <c r="AC12" s="5">
        <f t="shared" si="9"/>
        <v>787.77651311599993</v>
      </c>
      <c r="AD12" s="5">
        <v>631.58731307399989</v>
      </c>
      <c r="AE12" s="5">
        <v>0</v>
      </c>
      <c r="AF12" s="5">
        <f t="shared" si="10"/>
        <v>631.58731307399989</v>
      </c>
      <c r="AG12" s="5">
        <v>9.2528258550000615</v>
      </c>
      <c r="AH12" s="5">
        <v>665.01623159999997</v>
      </c>
      <c r="AI12" s="5">
        <f t="shared" si="11"/>
        <v>674.26905745500005</v>
      </c>
      <c r="AJ12" s="5">
        <v>724.89498337899988</v>
      </c>
      <c r="AK12" s="5">
        <v>0</v>
      </c>
      <c r="AL12" s="5">
        <f t="shared" si="12"/>
        <v>724.89498337899988</v>
      </c>
      <c r="AM12" s="5">
        <v>685.83060170900001</v>
      </c>
      <c r="AN12" s="5">
        <v>380.00927519999999</v>
      </c>
      <c r="AO12" s="5">
        <f t="shared" si="13"/>
        <v>1065.8398769089999</v>
      </c>
    </row>
    <row r="13" spans="1:41" x14ac:dyDescent="0.3">
      <c r="A13" s="6">
        <v>7</v>
      </c>
      <c r="B13" s="3" t="s">
        <v>6</v>
      </c>
      <c r="C13" s="13">
        <f t="shared" si="1"/>
        <v>10585.42002311</v>
      </c>
      <c r="D13" s="13">
        <f t="shared" si="0"/>
        <v>1413.1577810000001</v>
      </c>
      <c r="E13" s="13">
        <f t="shared" si="0"/>
        <v>11998.577804110002</v>
      </c>
      <c r="F13" s="9">
        <v>949.76685804099998</v>
      </c>
      <c r="G13" s="5">
        <v>0</v>
      </c>
      <c r="H13" s="5">
        <f t="shared" si="2"/>
        <v>949.76685804099998</v>
      </c>
      <c r="I13" s="4">
        <v>366.98612095100003</v>
      </c>
      <c r="J13" s="5">
        <v>0</v>
      </c>
      <c r="K13" s="5">
        <f t="shared" si="3"/>
        <v>366.98612095100003</v>
      </c>
      <c r="L13" s="4">
        <v>366.50583480300003</v>
      </c>
      <c r="M13" s="5">
        <v>0</v>
      </c>
      <c r="N13" s="5">
        <f t="shared" si="4"/>
        <v>366.50583480300003</v>
      </c>
      <c r="O13" s="5">
        <v>637.41544819100011</v>
      </c>
      <c r="P13" s="5">
        <v>0</v>
      </c>
      <c r="Q13" s="5">
        <f t="shared" si="5"/>
        <v>637.41544819100011</v>
      </c>
      <c r="R13" s="5">
        <v>1076.2427416389999</v>
      </c>
      <c r="S13" s="5">
        <v>261.60418960000004</v>
      </c>
      <c r="T13" s="5">
        <f t="shared" si="6"/>
        <v>1337.8469312389998</v>
      </c>
      <c r="U13" s="5">
        <v>1127.323676903</v>
      </c>
      <c r="V13" s="5">
        <v>0</v>
      </c>
      <c r="W13" s="5">
        <f t="shared" si="7"/>
        <v>1127.323676903</v>
      </c>
      <c r="X13" s="5">
        <v>848.96872679900014</v>
      </c>
      <c r="Y13" s="5">
        <v>0</v>
      </c>
      <c r="Z13" s="5">
        <f t="shared" si="8"/>
        <v>848.96872679900014</v>
      </c>
      <c r="AA13" s="5">
        <v>1011.1822709619998</v>
      </c>
      <c r="AB13" s="5">
        <v>0</v>
      </c>
      <c r="AC13" s="5">
        <f t="shared" si="9"/>
        <v>1011.1822709619998</v>
      </c>
      <c r="AD13" s="5">
        <v>1054.3484192139999</v>
      </c>
      <c r="AE13" s="5">
        <v>0</v>
      </c>
      <c r="AF13" s="5">
        <f t="shared" si="10"/>
        <v>1054.3484192139999</v>
      </c>
      <c r="AG13" s="5">
        <v>1123.2665805199999</v>
      </c>
      <c r="AH13" s="5">
        <v>732.80683090000002</v>
      </c>
      <c r="AI13" s="5">
        <f t="shared" si="11"/>
        <v>1856.07341142</v>
      </c>
      <c r="AJ13" s="5">
        <v>817.31172454000011</v>
      </c>
      <c r="AK13" s="5">
        <v>0</v>
      </c>
      <c r="AL13" s="5">
        <f t="shared" si="12"/>
        <v>817.31172454000011</v>
      </c>
      <c r="AM13" s="5">
        <v>1206.101620547</v>
      </c>
      <c r="AN13" s="5">
        <v>418.74676049999999</v>
      </c>
      <c r="AO13" s="5">
        <f t="shared" si="13"/>
        <v>1624.848381047</v>
      </c>
    </row>
    <row r="14" spans="1:41" x14ac:dyDescent="0.3">
      <c r="A14" s="6">
        <v>8</v>
      </c>
      <c r="B14" s="3" t="s">
        <v>7</v>
      </c>
      <c r="C14" s="13">
        <f t="shared" si="1"/>
        <v>13674.073870688002</v>
      </c>
      <c r="D14" s="13">
        <f t="shared" si="0"/>
        <v>1426.0509402</v>
      </c>
      <c r="E14" s="13">
        <f t="shared" si="0"/>
        <v>15100.124810887999</v>
      </c>
      <c r="F14" s="9">
        <v>1115.9383438669997</v>
      </c>
      <c r="G14" s="5">
        <v>0</v>
      </c>
      <c r="H14" s="5">
        <f t="shared" si="2"/>
        <v>1115.9383438669997</v>
      </c>
      <c r="I14" s="4">
        <v>566.56886967999992</v>
      </c>
      <c r="J14" s="5">
        <v>0</v>
      </c>
      <c r="K14" s="5">
        <f t="shared" si="3"/>
        <v>566.56886967999992</v>
      </c>
      <c r="L14" s="4">
        <v>810.92506954900011</v>
      </c>
      <c r="M14" s="5">
        <v>0</v>
      </c>
      <c r="N14" s="5">
        <f t="shared" si="4"/>
        <v>810.92506954900011</v>
      </c>
      <c r="O14" s="5">
        <v>1307.051629952</v>
      </c>
      <c r="P14" s="5">
        <v>0</v>
      </c>
      <c r="Q14" s="5">
        <f t="shared" si="5"/>
        <v>1307.051629952</v>
      </c>
      <c r="R14" s="5">
        <v>1185.3433807450001</v>
      </c>
      <c r="S14" s="5">
        <v>248.61552549999999</v>
      </c>
      <c r="T14" s="5">
        <f t="shared" si="6"/>
        <v>1433.958906245</v>
      </c>
      <c r="U14" s="5">
        <v>1177.3626457519999</v>
      </c>
      <c r="V14" s="5">
        <v>0</v>
      </c>
      <c r="W14" s="5">
        <f t="shared" si="7"/>
        <v>1177.3626457519999</v>
      </c>
      <c r="X14" s="5">
        <v>1334.5700450510001</v>
      </c>
      <c r="Y14" s="5">
        <v>0</v>
      </c>
      <c r="Z14" s="5">
        <f t="shared" si="8"/>
        <v>1334.5700450510001</v>
      </c>
      <c r="AA14" s="5">
        <v>1287.383704928</v>
      </c>
      <c r="AB14" s="5">
        <v>0</v>
      </c>
      <c r="AC14" s="5">
        <f t="shared" si="9"/>
        <v>1287.383704928</v>
      </c>
      <c r="AD14" s="5">
        <v>1085.6529305850001</v>
      </c>
      <c r="AE14" s="5">
        <v>0</v>
      </c>
      <c r="AF14" s="5">
        <f t="shared" si="10"/>
        <v>1085.6529305850001</v>
      </c>
      <c r="AG14" s="5">
        <v>1336.7331687540002</v>
      </c>
      <c r="AH14" s="5">
        <v>749.27708199999995</v>
      </c>
      <c r="AI14" s="5">
        <f t="shared" si="11"/>
        <v>2086.010250754</v>
      </c>
      <c r="AJ14" s="5">
        <v>1208.1460606579999</v>
      </c>
      <c r="AK14" s="5">
        <v>0</v>
      </c>
      <c r="AL14" s="5">
        <f t="shared" si="12"/>
        <v>1208.1460606579999</v>
      </c>
      <c r="AM14" s="5">
        <v>1258.398021167</v>
      </c>
      <c r="AN14" s="5">
        <v>428.15833270000002</v>
      </c>
      <c r="AO14" s="5">
        <f t="shared" si="13"/>
        <v>1686.5563538670001</v>
      </c>
    </row>
    <row r="15" spans="1:41" x14ac:dyDescent="0.3">
      <c r="A15" s="6">
        <v>9</v>
      </c>
      <c r="B15" s="3" t="s">
        <v>8</v>
      </c>
      <c r="C15" s="13">
        <f t="shared" si="1"/>
        <v>29875.564866412002</v>
      </c>
      <c r="D15" s="13">
        <f t="shared" si="0"/>
        <v>2708.4347680999999</v>
      </c>
      <c r="E15" s="13">
        <f t="shared" si="0"/>
        <v>32583.999634512002</v>
      </c>
      <c r="F15" s="9">
        <v>2683.1601345320005</v>
      </c>
      <c r="G15" s="5">
        <v>0</v>
      </c>
      <c r="H15" s="5">
        <f t="shared" si="2"/>
        <v>2683.1601345320005</v>
      </c>
      <c r="I15" s="4">
        <v>1552.7677720420002</v>
      </c>
      <c r="J15" s="5">
        <v>0</v>
      </c>
      <c r="K15" s="5">
        <f t="shared" si="3"/>
        <v>1552.7677720420002</v>
      </c>
      <c r="L15" s="4">
        <v>2106.472603963</v>
      </c>
      <c r="M15" s="5">
        <v>0</v>
      </c>
      <c r="N15" s="5">
        <f t="shared" si="4"/>
        <v>2106.472603963</v>
      </c>
      <c r="O15" s="5">
        <v>2849.8819449619996</v>
      </c>
      <c r="P15" s="5">
        <v>0</v>
      </c>
      <c r="Q15" s="5">
        <f t="shared" si="5"/>
        <v>2849.8819449619996</v>
      </c>
      <c r="R15" s="5">
        <v>2602.9201082290001</v>
      </c>
      <c r="S15" s="5">
        <v>417.70584870000005</v>
      </c>
      <c r="T15" s="5">
        <f t="shared" si="6"/>
        <v>3020.625956929</v>
      </c>
      <c r="U15" s="5">
        <v>2631.7310908999998</v>
      </c>
      <c r="V15" s="5">
        <v>0</v>
      </c>
      <c r="W15" s="5">
        <f t="shared" si="7"/>
        <v>2631.7310908999998</v>
      </c>
      <c r="X15" s="5">
        <v>2205.060391985</v>
      </c>
      <c r="Y15" s="5">
        <v>0</v>
      </c>
      <c r="Z15" s="5">
        <f t="shared" si="8"/>
        <v>2205.060391985</v>
      </c>
      <c r="AA15" s="5">
        <v>2587.5067045440001</v>
      </c>
      <c r="AB15" s="5">
        <v>0</v>
      </c>
      <c r="AC15" s="5">
        <f t="shared" si="9"/>
        <v>2587.5067045440001</v>
      </c>
      <c r="AD15" s="5">
        <v>2418.5138441120002</v>
      </c>
      <c r="AE15" s="5">
        <v>0</v>
      </c>
      <c r="AF15" s="5">
        <f t="shared" si="10"/>
        <v>2418.5138441120002</v>
      </c>
      <c r="AG15" s="5">
        <v>2771.1427024660002</v>
      </c>
      <c r="AH15" s="5">
        <v>1457.7365851</v>
      </c>
      <c r="AI15" s="5">
        <f t="shared" si="11"/>
        <v>4228.8792875660001</v>
      </c>
      <c r="AJ15" s="5">
        <v>2777.0305481290002</v>
      </c>
      <c r="AK15" s="5">
        <v>0</v>
      </c>
      <c r="AL15" s="5">
        <f t="shared" si="12"/>
        <v>2777.0305481290002</v>
      </c>
      <c r="AM15" s="5">
        <v>2689.3770205479996</v>
      </c>
      <c r="AN15" s="5">
        <v>832.99233430000004</v>
      </c>
      <c r="AO15" s="5">
        <f t="shared" si="13"/>
        <v>3522.3693548479996</v>
      </c>
    </row>
    <row r="16" spans="1:41" x14ac:dyDescent="0.3">
      <c r="A16" s="2">
        <v>10</v>
      </c>
      <c r="B16" s="3" t="s">
        <v>9</v>
      </c>
      <c r="C16" s="13">
        <f t="shared" si="1"/>
        <v>12305.996024087</v>
      </c>
      <c r="D16" s="13">
        <f t="shared" si="0"/>
        <v>987.27783220000003</v>
      </c>
      <c r="E16" s="13">
        <f t="shared" si="0"/>
        <v>13293.273856287002</v>
      </c>
      <c r="F16" s="9">
        <v>1090.8614278610003</v>
      </c>
      <c r="G16" s="5">
        <v>0</v>
      </c>
      <c r="H16" s="5">
        <f t="shared" si="2"/>
        <v>1090.8614278610003</v>
      </c>
      <c r="I16" s="4">
        <v>682.71020188800014</v>
      </c>
      <c r="J16" s="5">
        <v>0</v>
      </c>
      <c r="K16" s="5">
        <f t="shared" si="3"/>
        <v>682.71020188800014</v>
      </c>
      <c r="L16" s="4">
        <v>853.07214850900016</v>
      </c>
      <c r="M16" s="5">
        <v>0</v>
      </c>
      <c r="N16" s="5">
        <f t="shared" si="4"/>
        <v>853.07214850900016</v>
      </c>
      <c r="O16" s="5">
        <v>1355.186562329</v>
      </c>
      <c r="P16" s="5">
        <v>0</v>
      </c>
      <c r="Q16" s="5">
        <f t="shared" si="5"/>
        <v>1355.186562329</v>
      </c>
      <c r="R16" s="5">
        <v>1147.2032213150001</v>
      </c>
      <c r="S16" s="5">
        <v>121.5495947</v>
      </c>
      <c r="T16" s="5">
        <f t="shared" si="6"/>
        <v>1268.752816015</v>
      </c>
      <c r="U16" s="5">
        <v>968.12711257399997</v>
      </c>
      <c r="V16" s="5">
        <v>0</v>
      </c>
      <c r="W16" s="5">
        <f t="shared" si="7"/>
        <v>968.12711257399997</v>
      </c>
      <c r="X16" s="5">
        <v>997.53719355999988</v>
      </c>
      <c r="Y16" s="5">
        <v>0</v>
      </c>
      <c r="Z16" s="5">
        <f t="shared" si="8"/>
        <v>997.53719355999988</v>
      </c>
      <c r="AA16" s="5">
        <v>1030.1364605569997</v>
      </c>
      <c r="AB16" s="5">
        <v>0</v>
      </c>
      <c r="AC16" s="5">
        <f t="shared" si="9"/>
        <v>1030.1364605569997</v>
      </c>
      <c r="AD16" s="5">
        <v>919.68421512800012</v>
      </c>
      <c r="AE16" s="5">
        <v>0</v>
      </c>
      <c r="AF16" s="5">
        <f t="shared" si="10"/>
        <v>919.68421512800012</v>
      </c>
      <c r="AG16" s="5">
        <v>1114.5943251850001</v>
      </c>
      <c r="AH16" s="5">
        <v>550.91796929999998</v>
      </c>
      <c r="AI16" s="5">
        <f t="shared" si="11"/>
        <v>1665.512294485</v>
      </c>
      <c r="AJ16" s="5">
        <v>1048.972749475</v>
      </c>
      <c r="AK16" s="5">
        <v>0</v>
      </c>
      <c r="AL16" s="5">
        <f t="shared" si="12"/>
        <v>1048.972749475</v>
      </c>
      <c r="AM16" s="5">
        <v>1097.9104057060001</v>
      </c>
      <c r="AN16" s="5">
        <v>314.8102682</v>
      </c>
      <c r="AO16" s="5">
        <f t="shared" si="13"/>
        <v>1412.7206739060002</v>
      </c>
    </row>
    <row r="17" spans="1:41" x14ac:dyDescent="0.3">
      <c r="A17" s="2">
        <v>11</v>
      </c>
      <c r="B17" s="3" t="s">
        <v>10</v>
      </c>
      <c r="C17" s="13">
        <f t="shared" si="1"/>
        <v>377.67666507599995</v>
      </c>
      <c r="D17" s="13">
        <f t="shared" si="0"/>
        <v>17.078142800000002</v>
      </c>
      <c r="E17" s="13">
        <f t="shared" si="0"/>
        <v>394.75480787599997</v>
      </c>
      <c r="F17" s="9">
        <v>33.514291443999994</v>
      </c>
      <c r="G17" s="5">
        <v>0</v>
      </c>
      <c r="H17" s="5">
        <f t="shared" si="2"/>
        <v>33.514291443999994</v>
      </c>
      <c r="I17" s="4">
        <v>19.230791502000002</v>
      </c>
      <c r="J17" s="5">
        <v>0</v>
      </c>
      <c r="K17" s="5">
        <f t="shared" si="3"/>
        <v>19.230791502000002</v>
      </c>
      <c r="L17" s="4">
        <v>19.866406818000002</v>
      </c>
      <c r="M17" s="5">
        <v>0</v>
      </c>
      <c r="N17" s="5">
        <f t="shared" si="4"/>
        <v>19.866406818000002</v>
      </c>
      <c r="O17" s="5">
        <v>32.077738248999999</v>
      </c>
      <c r="P17" s="5">
        <v>0</v>
      </c>
      <c r="Q17" s="5">
        <f t="shared" si="5"/>
        <v>32.077738248999999</v>
      </c>
      <c r="R17" s="5">
        <v>32.262943301999996</v>
      </c>
      <c r="S17" s="5">
        <v>0.19869279999999989</v>
      </c>
      <c r="T17" s="5">
        <f t="shared" si="6"/>
        <v>32.461636102</v>
      </c>
      <c r="U17" s="5">
        <v>36.057613872999994</v>
      </c>
      <c r="V17" s="5">
        <v>0</v>
      </c>
      <c r="W17" s="5">
        <f t="shared" si="7"/>
        <v>36.057613872999994</v>
      </c>
      <c r="X17" s="5">
        <v>30.692365565999996</v>
      </c>
      <c r="Y17" s="5">
        <v>0</v>
      </c>
      <c r="Z17" s="5">
        <f t="shared" si="8"/>
        <v>30.692365565999996</v>
      </c>
      <c r="AA17" s="5">
        <v>31.083046376999999</v>
      </c>
      <c r="AB17" s="5">
        <v>0</v>
      </c>
      <c r="AC17" s="5">
        <f t="shared" si="9"/>
        <v>31.083046376999999</v>
      </c>
      <c r="AD17" s="5">
        <v>29.026434769000002</v>
      </c>
      <c r="AE17" s="5">
        <v>0</v>
      </c>
      <c r="AF17" s="5">
        <f t="shared" si="10"/>
        <v>29.026434769000002</v>
      </c>
      <c r="AG17" s="5">
        <v>39.883956530999995</v>
      </c>
      <c r="AH17" s="5">
        <v>10.7414682</v>
      </c>
      <c r="AI17" s="5">
        <f t="shared" si="11"/>
        <v>50.625424730999995</v>
      </c>
      <c r="AJ17" s="5">
        <v>33.072003332000001</v>
      </c>
      <c r="AK17" s="5">
        <v>0</v>
      </c>
      <c r="AL17" s="5">
        <f t="shared" si="12"/>
        <v>33.072003332000001</v>
      </c>
      <c r="AM17" s="5">
        <v>40.909073313</v>
      </c>
      <c r="AN17" s="5">
        <v>6.1379818000000004</v>
      </c>
      <c r="AO17" s="5">
        <f t="shared" si="13"/>
        <v>47.047055112999999</v>
      </c>
    </row>
    <row r="18" spans="1:41" x14ac:dyDescent="0.3">
      <c r="A18" s="2">
        <v>12</v>
      </c>
      <c r="B18" s="3" t="s">
        <v>11</v>
      </c>
      <c r="C18" s="13">
        <f t="shared" si="1"/>
        <v>789.15678973700005</v>
      </c>
      <c r="D18" s="13">
        <f t="shared" si="0"/>
        <v>8.7949836999999995</v>
      </c>
      <c r="E18" s="13">
        <f t="shared" si="0"/>
        <v>797.95177343699993</v>
      </c>
      <c r="F18" s="9">
        <v>63.211842284000006</v>
      </c>
      <c r="G18" s="5">
        <v>0</v>
      </c>
      <c r="H18" s="5">
        <f t="shared" si="2"/>
        <v>63.211842284000006</v>
      </c>
      <c r="I18" s="4">
        <v>44.169819351999998</v>
      </c>
      <c r="J18" s="5">
        <v>0</v>
      </c>
      <c r="K18" s="5">
        <f t="shared" si="3"/>
        <v>44.169819351999998</v>
      </c>
      <c r="L18" s="4">
        <v>41.478061433999997</v>
      </c>
      <c r="M18" s="5">
        <v>0</v>
      </c>
      <c r="N18" s="5">
        <f t="shared" si="4"/>
        <v>41.478061433999997</v>
      </c>
      <c r="O18" s="5">
        <v>81.877773503</v>
      </c>
      <c r="P18" s="5">
        <v>0</v>
      </c>
      <c r="Q18" s="5">
        <f t="shared" si="5"/>
        <v>81.877773503</v>
      </c>
      <c r="R18" s="5">
        <v>73.250248599000003</v>
      </c>
      <c r="S18" s="5">
        <v>-8.8346641000000012</v>
      </c>
      <c r="T18" s="5">
        <f t="shared" si="6"/>
        <v>64.415584499000005</v>
      </c>
      <c r="U18" s="5">
        <v>58.048549103999996</v>
      </c>
      <c r="V18" s="5">
        <v>0</v>
      </c>
      <c r="W18" s="5">
        <f t="shared" si="7"/>
        <v>58.048549103999996</v>
      </c>
      <c r="X18" s="5">
        <v>65.40486903099999</v>
      </c>
      <c r="Y18" s="5">
        <v>0</v>
      </c>
      <c r="Z18" s="5">
        <f t="shared" si="8"/>
        <v>65.40486903099999</v>
      </c>
      <c r="AA18" s="5">
        <v>57.47373189599999</v>
      </c>
      <c r="AB18" s="5">
        <v>0</v>
      </c>
      <c r="AC18" s="5">
        <f t="shared" si="9"/>
        <v>57.47373189599999</v>
      </c>
      <c r="AD18" s="5">
        <v>61.540936372000004</v>
      </c>
      <c r="AE18" s="5">
        <v>0</v>
      </c>
      <c r="AF18" s="5">
        <f t="shared" si="10"/>
        <v>61.540936372000004</v>
      </c>
      <c r="AG18" s="5">
        <v>82.050233661000007</v>
      </c>
      <c r="AH18" s="5">
        <v>11.218866800000001</v>
      </c>
      <c r="AI18" s="5">
        <f t="shared" si="11"/>
        <v>93.269100461000008</v>
      </c>
      <c r="AJ18" s="5">
        <v>82.242453503999997</v>
      </c>
      <c r="AK18" s="5">
        <v>0</v>
      </c>
      <c r="AL18" s="5">
        <f t="shared" si="12"/>
        <v>82.242453503999997</v>
      </c>
      <c r="AM18" s="5">
        <v>78.408270997000002</v>
      </c>
      <c r="AN18" s="5">
        <v>6.4107810000000001</v>
      </c>
      <c r="AO18" s="5">
        <f t="shared" si="13"/>
        <v>84.819051997000003</v>
      </c>
    </row>
    <row r="19" spans="1:41" x14ac:dyDescent="0.3">
      <c r="A19" s="2">
        <v>13</v>
      </c>
      <c r="B19" s="3" t="s">
        <v>12</v>
      </c>
      <c r="C19" s="13">
        <f t="shared" si="1"/>
        <v>634.07210111500001</v>
      </c>
      <c r="D19" s="13">
        <f t="shared" si="0"/>
        <v>8.7970794000000012</v>
      </c>
      <c r="E19" s="13">
        <f t="shared" si="0"/>
        <v>642.86918051499993</v>
      </c>
      <c r="F19" s="9">
        <v>55.446935718999995</v>
      </c>
      <c r="G19" s="5">
        <v>0</v>
      </c>
      <c r="H19" s="5">
        <f t="shared" si="2"/>
        <v>55.446935718999995</v>
      </c>
      <c r="I19" s="4">
        <v>26.982457519</v>
      </c>
      <c r="J19" s="5">
        <v>0</v>
      </c>
      <c r="K19" s="5">
        <f t="shared" si="3"/>
        <v>26.982457519</v>
      </c>
      <c r="L19" s="4">
        <v>33.870241508999996</v>
      </c>
      <c r="M19" s="5">
        <v>0</v>
      </c>
      <c r="N19" s="5">
        <f t="shared" si="4"/>
        <v>33.870241508999996</v>
      </c>
      <c r="O19" s="5">
        <v>55.519858268999997</v>
      </c>
      <c r="P19" s="5">
        <v>0</v>
      </c>
      <c r="Q19" s="5">
        <f t="shared" si="5"/>
        <v>55.519858268999997</v>
      </c>
      <c r="R19" s="5">
        <v>74.432209513999993</v>
      </c>
      <c r="S19" s="5">
        <v>-8.8325683999999995</v>
      </c>
      <c r="T19" s="5">
        <f t="shared" si="6"/>
        <v>65.599641113999994</v>
      </c>
      <c r="U19" s="5">
        <v>55.702558199999999</v>
      </c>
      <c r="V19" s="5">
        <v>0</v>
      </c>
      <c r="W19" s="5">
        <f t="shared" si="7"/>
        <v>55.702558199999999</v>
      </c>
      <c r="X19" s="5">
        <v>53.391010627</v>
      </c>
      <c r="Y19" s="5">
        <v>0</v>
      </c>
      <c r="Z19" s="5">
        <f t="shared" si="8"/>
        <v>53.391010627</v>
      </c>
      <c r="AA19" s="5">
        <v>54.216778329999997</v>
      </c>
      <c r="AB19" s="5">
        <v>0</v>
      </c>
      <c r="AC19" s="5">
        <f t="shared" si="9"/>
        <v>54.216778329999997</v>
      </c>
      <c r="AD19" s="5">
        <v>52.177965663999998</v>
      </c>
      <c r="AE19" s="5">
        <v>0</v>
      </c>
      <c r="AF19" s="5">
        <f t="shared" si="10"/>
        <v>52.177965663999998</v>
      </c>
      <c r="AG19" s="5">
        <v>64.32526207299999</v>
      </c>
      <c r="AH19" s="5">
        <v>11.218866800000001</v>
      </c>
      <c r="AI19" s="5">
        <f t="shared" si="11"/>
        <v>75.544128872999991</v>
      </c>
      <c r="AJ19" s="5">
        <v>55.424290574000004</v>
      </c>
      <c r="AK19" s="5">
        <v>0</v>
      </c>
      <c r="AL19" s="5">
        <f t="shared" si="12"/>
        <v>55.424290574000004</v>
      </c>
      <c r="AM19" s="5">
        <v>52.582533117000004</v>
      </c>
      <c r="AN19" s="5">
        <v>6.4107810000000001</v>
      </c>
      <c r="AO19" s="5">
        <f t="shared" si="13"/>
        <v>58.993314117000004</v>
      </c>
    </row>
    <row r="20" spans="1:41" x14ac:dyDescent="0.3">
      <c r="A20" s="2">
        <v>14</v>
      </c>
      <c r="B20" s="3" t="s">
        <v>13</v>
      </c>
      <c r="C20" s="13">
        <f t="shared" si="1"/>
        <v>825.11083327699987</v>
      </c>
      <c r="D20" s="13">
        <f t="shared" si="0"/>
        <v>17.522061000000001</v>
      </c>
      <c r="E20" s="13">
        <f t="shared" si="0"/>
        <v>842.63289427699988</v>
      </c>
      <c r="F20" s="9">
        <v>65.803051660000008</v>
      </c>
      <c r="G20" s="5">
        <v>0</v>
      </c>
      <c r="H20" s="5">
        <f t="shared" si="2"/>
        <v>65.803051660000008</v>
      </c>
      <c r="I20" s="4">
        <v>33.725217855000004</v>
      </c>
      <c r="J20" s="5">
        <v>0</v>
      </c>
      <c r="K20" s="5">
        <f t="shared" si="3"/>
        <v>33.725217855000004</v>
      </c>
      <c r="L20" s="4">
        <v>42.536459803</v>
      </c>
      <c r="M20" s="5">
        <v>0</v>
      </c>
      <c r="N20" s="5">
        <f t="shared" si="4"/>
        <v>42.536459803</v>
      </c>
      <c r="O20" s="5">
        <v>71.454009959000004</v>
      </c>
      <c r="P20" s="5">
        <v>0</v>
      </c>
      <c r="Q20" s="5">
        <f t="shared" si="5"/>
        <v>71.454009959000004</v>
      </c>
      <c r="R20" s="5">
        <v>73.251939151000002</v>
      </c>
      <c r="S20" s="5">
        <v>-6.1091691000000008</v>
      </c>
      <c r="T20" s="5">
        <f t="shared" si="6"/>
        <v>67.142770050999999</v>
      </c>
      <c r="U20" s="5">
        <v>69.626843976999993</v>
      </c>
      <c r="V20" s="5">
        <v>0</v>
      </c>
      <c r="W20" s="5">
        <f t="shared" si="7"/>
        <v>69.626843976999993</v>
      </c>
      <c r="X20" s="5">
        <v>72.964909417999991</v>
      </c>
      <c r="Y20" s="5">
        <v>0</v>
      </c>
      <c r="Z20" s="5">
        <f t="shared" si="8"/>
        <v>72.964909417999991</v>
      </c>
      <c r="AA20" s="5">
        <v>74.343010667000001</v>
      </c>
      <c r="AB20" s="5">
        <v>0</v>
      </c>
      <c r="AC20" s="5">
        <f t="shared" si="9"/>
        <v>74.343010667000001</v>
      </c>
      <c r="AD20" s="5">
        <v>71.664948718000005</v>
      </c>
      <c r="AE20" s="5">
        <v>0</v>
      </c>
      <c r="AF20" s="5">
        <f t="shared" si="10"/>
        <v>71.664948718000005</v>
      </c>
      <c r="AG20" s="5">
        <v>86.596845361999996</v>
      </c>
      <c r="AH20" s="5">
        <v>15.0380555</v>
      </c>
      <c r="AI20" s="5">
        <f t="shared" si="11"/>
        <v>101.63490086199999</v>
      </c>
      <c r="AJ20" s="5">
        <v>75.98824727200001</v>
      </c>
      <c r="AK20" s="5">
        <v>0</v>
      </c>
      <c r="AL20" s="5">
        <f t="shared" si="12"/>
        <v>75.98824727200001</v>
      </c>
      <c r="AM20" s="5">
        <v>87.155349434999991</v>
      </c>
      <c r="AN20" s="5">
        <v>8.5931745999999993</v>
      </c>
      <c r="AO20" s="5">
        <f t="shared" si="13"/>
        <v>95.748524034999988</v>
      </c>
    </row>
    <row r="21" spans="1:41" x14ac:dyDescent="0.3">
      <c r="A21" s="2">
        <v>15</v>
      </c>
      <c r="B21" s="3" t="s">
        <v>14</v>
      </c>
      <c r="C21" s="13">
        <f t="shared" si="1"/>
        <v>556.1448203970001</v>
      </c>
      <c r="D21" s="13">
        <f t="shared" si="0"/>
        <v>8.8842773000000008</v>
      </c>
      <c r="E21" s="13">
        <f t="shared" si="0"/>
        <v>565.029097697</v>
      </c>
      <c r="F21" s="9">
        <v>58.349286135</v>
      </c>
      <c r="G21" s="5">
        <v>0</v>
      </c>
      <c r="H21" s="5">
        <f t="shared" si="2"/>
        <v>58.349286135</v>
      </c>
      <c r="I21" s="4">
        <v>21.885488261999999</v>
      </c>
      <c r="J21" s="5">
        <v>0</v>
      </c>
      <c r="K21" s="5">
        <f t="shared" si="3"/>
        <v>21.885488261999999</v>
      </c>
      <c r="L21" s="4">
        <v>28.562641287000002</v>
      </c>
      <c r="M21" s="5">
        <v>0</v>
      </c>
      <c r="N21" s="5">
        <f t="shared" si="4"/>
        <v>28.562641287000002</v>
      </c>
      <c r="O21" s="5">
        <v>53.423377472000006</v>
      </c>
      <c r="P21" s="5">
        <v>0</v>
      </c>
      <c r="Q21" s="5">
        <f t="shared" si="5"/>
        <v>53.423377472000006</v>
      </c>
      <c r="R21" s="5">
        <v>44.003480816</v>
      </c>
      <c r="S21" s="5">
        <v>-4.2441839000000003</v>
      </c>
      <c r="T21" s="5">
        <f t="shared" si="6"/>
        <v>39.759296915999997</v>
      </c>
      <c r="U21" s="5">
        <v>38.231807480999997</v>
      </c>
      <c r="V21" s="5">
        <v>0</v>
      </c>
      <c r="W21" s="5">
        <f t="shared" si="7"/>
        <v>38.231807480999997</v>
      </c>
      <c r="X21" s="5">
        <v>40.569139976000002</v>
      </c>
      <c r="Y21" s="5">
        <v>0</v>
      </c>
      <c r="Z21" s="5">
        <f t="shared" si="8"/>
        <v>40.569139976000002</v>
      </c>
      <c r="AA21" s="5">
        <v>49.193665887999998</v>
      </c>
      <c r="AB21" s="5">
        <v>0</v>
      </c>
      <c r="AC21" s="5">
        <f t="shared" si="9"/>
        <v>49.193665887999998</v>
      </c>
      <c r="AD21" s="5">
        <v>43.109038309000006</v>
      </c>
      <c r="AE21" s="5">
        <v>0</v>
      </c>
      <c r="AF21" s="5">
        <f t="shared" si="10"/>
        <v>43.109038309000006</v>
      </c>
      <c r="AG21" s="5">
        <v>63.652466449999999</v>
      </c>
      <c r="AH21" s="5">
        <v>8.3544753000000007</v>
      </c>
      <c r="AI21" s="5">
        <f t="shared" si="11"/>
        <v>72.006941749999996</v>
      </c>
      <c r="AJ21" s="5">
        <v>52.784318449000004</v>
      </c>
      <c r="AK21" s="5">
        <v>0</v>
      </c>
      <c r="AL21" s="5">
        <f t="shared" si="12"/>
        <v>52.784318449000004</v>
      </c>
      <c r="AM21" s="5">
        <v>62.380109872000006</v>
      </c>
      <c r="AN21" s="5">
        <v>4.7739858999999996</v>
      </c>
      <c r="AO21" s="5">
        <f t="shared" si="13"/>
        <v>67.154095772000005</v>
      </c>
    </row>
    <row r="22" spans="1:41" x14ac:dyDescent="0.3">
      <c r="A22" s="2">
        <v>16</v>
      </c>
      <c r="B22" s="3" t="s">
        <v>15</v>
      </c>
      <c r="C22" s="13">
        <f t="shared" si="1"/>
        <v>834.55716102600002</v>
      </c>
      <c r="D22" s="13">
        <f t="shared" si="0"/>
        <v>61.678193200000003</v>
      </c>
      <c r="E22" s="13">
        <f t="shared" si="0"/>
        <v>896.23535422600014</v>
      </c>
      <c r="F22" s="9">
        <v>79.510432222999995</v>
      </c>
      <c r="G22" s="5">
        <v>0</v>
      </c>
      <c r="H22" s="5">
        <f t="shared" si="2"/>
        <v>79.510432222999995</v>
      </c>
      <c r="I22" s="4">
        <v>45.357734676999996</v>
      </c>
      <c r="J22" s="5">
        <v>0</v>
      </c>
      <c r="K22" s="5">
        <f t="shared" si="3"/>
        <v>45.357734676999996</v>
      </c>
      <c r="L22" s="4">
        <v>55.966669585000005</v>
      </c>
      <c r="M22" s="5">
        <v>0</v>
      </c>
      <c r="N22" s="5">
        <f t="shared" si="4"/>
        <v>55.966669585000005</v>
      </c>
      <c r="O22" s="5">
        <v>76.332013294000006</v>
      </c>
      <c r="P22" s="5">
        <v>0</v>
      </c>
      <c r="Q22" s="5">
        <f t="shared" si="5"/>
        <v>76.332013294000006</v>
      </c>
      <c r="R22" s="5">
        <v>70.680755670000011</v>
      </c>
      <c r="S22" s="5">
        <v>7.6639529999999993</v>
      </c>
      <c r="T22" s="5">
        <f t="shared" si="6"/>
        <v>78.344708670000017</v>
      </c>
      <c r="U22" s="5">
        <v>63.290820386</v>
      </c>
      <c r="V22" s="5">
        <v>0</v>
      </c>
      <c r="W22" s="5">
        <f t="shared" si="7"/>
        <v>63.290820386</v>
      </c>
      <c r="X22" s="5">
        <v>70.602405547000004</v>
      </c>
      <c r="Y22" s="5">
        <v>0</v>
      </c>
      <c r="Z22" s="5">
        <f t="shared" si="8"/>
        <v>70.602405547000004</v>
      </c>
      <c r="AA22" s="5">
        <v>66.77894797399999</v>
      </c>
      <c r="AB22" s="5">
        <v>0</v>
      </c>
      <c r="AC22" s="5">
        <f t="shared" si="9"/>
        <v>66.77894797399999</v>
      </c>
      <c r="AD22" s="5">
        <v>66.857000227</v>
      </c>
      <c r="AE22" s="5">
        <v>0</v>
      </c>
      <c r="AF22" s="5">
        <f t="shared" si="10"/>
        <v>66.857000227</v>
      </c>
      <c r="AG22" s="5">
        <v>85.197781434999996</v>
      </c>
      <c r="AH22" s="5">
        <v>34.372698300000003</v>
      </c>
      <c r="AI22" s="5">
        <f t="shared" si="11"/>
        <v>119.57047973499999</v>
      </c>
      <c r="AJ22" s="5">
        <v>77.140772635000019</v>
      </c>
      <c r="AK22" s="5">
        <v>0</v>
      </c>
      <c r="AL22" s="5">
        <f t="shared" si="12"/>
        <v>77.140772635000019</v>
      </c>
      <c r="AM22" s="5">
        <v>76.841827372999987</v>
      </c>
      <c r="AN22" s="5">
        <v>19.6415419</v>
      </c>
      <c r="AO22" s="5">
        <f t="shared" si="13"/>
        <v>96.483369272999994</v>
      </c>
    </row>
    <row r="23" spans="1:41" x14ac:dyDescent="0.3">
      <c r="A23" s="2">
        <v>17</v>
      </c>
      <c r="B23" s="3" t="s">
        <v>16</v>
      </c>
      <c r="C23" s="13">
        <f t="shared" si="1"/>
        <v>723.66745905400001</v>
      </c>
      <c r="D23" s="13">
        <f t="shared" si="1"/>
        <v>46.607898300000002</v>
      </c>
      <c r="E23" s="13">
        <f t="shared" si="1"/>
        <v>770.27535735399988</v>
      </c>
      <c r="F23" s="9">
        <v>60.955572410999999</v>
      </c>
      <c r="G23" s="5">
        <v>0</v>
      </c>
      <c r="H23" s="5">
        <f t="shared" si="2"/>
        <v>60.955572410999999</v>
      </c>
      <c r="I23" s="4">
        <v>29.796351849000001</v>
      </c>
      <c r="J23" s="5">
        <v>0</v>
      </c>
      <c r="K23" s="5">
        <f t="shared" si="3"/>
        <v>29.796351849000001</v>
      </c>
      <c r="L23" s="4">
        <v>33.729750959</v>
      </c>
      <c r="M23" s="5">
        <v>0</v>
      </c>
      <c r="N23" s="5">
        <f t="shared" si="4"/>
        <v>33.729750959</v>
      </c>
      <c r="O23" s="5">
        <v>60.086440690000011</v>
      </c>
      <c r="P23" s="5">
        <v>0</v>
      </c>
      <c r="Q23" s="5">
        <f t="shared" si="5"/>
        <v>60.086440690000011</v>
      </c>
      <c r="R23" s="5">
        <v>70.929385460999995</v>
      </c>
      <c r="S23" s="5">
        <v>3.0964270999999997</v>
      </c>
      <c r="T23" s="5">
        <f t="shared" si="6"/>
        <v>74.025812560999995</v>
      </c>
      <c r="U23" s="5">
        <v>71.660495508999986</v>
      </c>
      <c r="V23" s="5">
        <v>0</v>
      </c>
      <c r="W23" s="5">
        <f t="shared" si="7"/>
        <v>71.660495508999986</v>
      </c>
      <c r="X23" s="5">
        <v>64.13079609399999</v>
      </c>
      <c r="Y23" s="5">
        <v>0</v>
      </c>
      <c r="Z23" s="5">
        <f t="shared" si="8"/>
        <v>64.13079609399999</v>
      </c>
      <c r="AA23" s="5">
        <v>58.885501744999992</v>
      </c>
      <c r="AB23" s="5">
        <v>0</v>
      </c>
      <c r="AC23" s="5">
        <f t="shared" si="9"/>
        <v>58.885501744999992</v>
      </c>
      <c r="AD23" s="5">
        <v>57.159395911000004</v>
      </c>
      <c r="AE23" s="5">
        <v>0</v>
      </c>
      <c r="AF23" s="5">
        <f t="shared" si="10"/>
        <v>57.159395911000004</v>
      </c>
      <c r="AG23" s="5">
        <v>81.280005628000012</v>
      </c>
      <c r="AH23" s="5">
        <v>27.689118000000001</v>
      </c>
      <c r="AI23" s="5">
        <f t="shared" si="11"/>
        <v>108.96912362800001</v>
      </c>
      <c r="AJ23" s="5">
        <v>71.349355682999999</v>
      </c>
      <c r="AK23" s="5">
        <v>0</v>
      </c>
      <c r="AL23" s="5">
        <f t="shared" si="12"/>
        <v>71.349355682999999</v>
      </c>
      <c r="AM23" s="5">
        <v>63.704407113999984</v>
      </c>
      <c r="AN23" s="5">
        <v>15.8223532</v>
      </c>
      <c r="AO23" s="5">
        <f t="shared" si="13"/>
        <v>79.526760313999986</v>
      </c>
    </row>
    <row r="24" spans="1:41" x14ac:dyDescent="0.3">
      <c r="A24" s="2">
        <v>18</v>
      </c>
      <c r="B24" s="3" t="s">
        <v>17</v>
      </c>
      <c r="C24" s="13">
        <f t="shared" si="1"/>
        <v>5513.7983397990001</v>
      </c>
      <c r="D24" s="13">
        <f t="shared" si="1"/>
        <v>491.48442499999999</v>
      </c>
      <c r="E24" s="13">
        <f t="shared" si="1"/>
        <v>6005.2827647989998</v>
      </c>
      <c r="F24" s="9">
        <v>512.73418738599992</v>
      </c>
      <c r="G24" s="5">
        <v>0</v>
      </c>
      <c r="H24" s="5">
        <f t="shared" si="2"/>
        <v>512.73418738599992</v>
      </c>
      <c r="I24" s="4">
        <v>319.14634905700001</v>
      </c>
      <c r="J24" s="5">
        <v>0</v>
      </c>
      <c r="K24" s="5">
        <f t="shared" si="3"/>
        <v>319.14634905700001</v>
      </c>
      <c r="L24" s="4">
        <v>401.71276080999996</v>
      </c>
      <c r="M24" s="5">
        <v>0</v>
      </c>
      <c r="N24" s="5">
        <f t="shared" si="4"/>
        <v>401.71276080999996</v>
      </c>
      <c r="O24" s="5">
        <v>486.08756006900006</v>
      </c>
      <c r="P24" s="5">
        <v>0</v>
      </c>
      <c r="Q24" s="5">
        <f t="shared" si="5"/>
        <v>486.08756006900006</v>
      </c>
      <c r="R24" s="5">
        <v>440.23614239200003</v>
      </c>
      <c r="S24" s="5">
        <v>80.751140799999988</v>
      </c>
      <c r="T24" s="5">
        <f t="shared" si="6"/>
        <v>520.98728319200006</v>
      </c>
      <c r="U24" s="5">
        <v>447.383993524</v>
      </c>
      <c r="V24" s="5">
        <v>0</v>
      </c>
      <c r="W24" s="5">
        <f t="shared" si="7"/>
        <v>447.383993524</v>
      </c>
      <c r="X24" s="5">
        <v>429.206197567</v>
      </c>
      <c r="Y24" s="5">
        <v>0</v>
      </c>
      <c r="Z24" s="5">
        <f t="shared" si="8"/>
        <v>429.206197567</v>
      </c>
      <c r="AA24" s="5">
        <v>466.64482160499995</v>
      </c>
      <c r="AB24" s="5">
        <v>0</v>
      </c>
      <c r="AC24" s="5">
        <f t="shared" si="9"/>
        <v>466.64482160499995</v>
      </c>
      <c r="AD24" s="5">
        <v>430.82092946299991</v>
      </c>
      <c r="AE24" s="5">
        <v>0</v>
      </c>
      <c r="AF24" s="5">
        <f t="shared" si="10"/>
        <v>430.82092946299991</v>
      </c>
      <c r="AG24" s="5">
        <v>558.21500211599994</v>
      </c>
      <c r="AH24" s="5">
        <v>261.3757263</v>
      </c>
      <c r="AI24" s="5">
        <f t="shared" si="11"/>
        <v>819.59072841599993</v>
      </c>
      <c r="AJ24" s="5">
        <v>497.8266223</v>
      </c>
      <c r="AK24" s="5">
        <v>0</v>
      </c>
      <c r="AL24" s="5">
        <f t="shared" si="12"/>
        <v>497.8266223</v>
      </c>
      <c r="AM24" s="5">
        <v>523.78377351000006</v>
      </c>
      <c r="AN24" s="5">
        <v>149.35755789999999</v>
      </c>
      <c r="AO24" s="5">
        <f t="shared" si="13"/>
        <v>673.14133141000002</v>
      </c>
    </row>
    <row r="25" spans="1:41" x14ac:dyDescent="0.3">
      <c r="A25" s="2">
        <v>19</v>
      </c>
      <c r="B25" s="3" t="s">
        <v>18</v>
      </c>
      <c r="C25" s="13">
        <f t="shared" si="1"/>
        <v>12323.526991505001</v>
      </c>
      <c r="D25" s="13">
        <f t="shared" si="1"/>
        <v>1733.0733757999999</v>
      </c>
      <c r="E25" s="13">
        <f t="shared" si="1"/>
        <v>14056.600367305004</v>
      </c>
      <c r="F25" s="9">
        <v>1130.5395430050003</v>
      </c>
      <c r="G25" s="5">
        <v>0</v>
      </c>
      <c r="H25" s="5">
        <f t="shared" si="2"/>
        <v>1130.5395430050003</v>
      </c>
      <c r="I25" s="4">
        <v>723.47446660799994</v>
      </c>
      <c r="J25" s="5">
        <v>0</v>
      </c>
      <c r="K25" s="5">
        <f t="shared" si="3"/>
        <v>723.47446660799994</v>
      </c>
      <c r="L25" s="4">
        <v>782.56200094500002</v>
      </c>
      <c r="M25" s="5">
        <v>0</v>
      </c>
      <c r="N25" s="5">
        <f t="shared" si="4"/>
        <v>782.56200094500002</v>
      </c>
      <c r="O25" s="5">
        <v>1047.2067344060001</v>
      </c>
      <c r="P25" s="5">
        <v>0</v>
      </c>
      <c r="Q25" s="5">
        <f t="shared" si="5"/>
        <v>1047.2067344060001</v>
      </c>
      <c r="R25" s="5">
        <v>1106.5574373700001</v>
      </c>
      <c r="S25" s="5">
        <v>354.20985729999995</v>
      </c>
      <c r="T25" s="5">
        <f t="shared" si="6"/>
        <v>1460.76729467</v>
      </c>
      <c r="U25" s="5">
        <v>1217.6843816410001</v>
      </c>
      <c r="V25" s="5">
        <v>0</v>
      </c>
      <c r="W25" s="5">
        <f t="shared" si="7"/>
        <v>1217.6843816410001</v>
      </c>
      <c r="X25" s="5">
        <v>1024.7792236860003</v>
      </c>
      <c r="Y25" s="5">
        <v>0</v>
      </c>
      <c r="Z25" s="5">
        <f t="shared" si="8"/>
        <v>1024.7792236860003</v>
      </c>
      <c r="AA25" s="5">
        <v>928.65730894000001</v>
      </c>
      <c r="AB25" s="5">
        <v>0</v>
      </c>
      <c r="AC25" s="5">
        <f t="shared" si="9"/>
        <v>928.65730894000001</v>
      </c>
      <c r="AD25" s="5">
        <v>862.42377700200007</v>
      </c>
      <c r="AE25" s="5">
        <v>0</v>
      </c>
      <c r="AF25" s="5">
        <f t="shared" si="10"/>
        <v>862.42377700200007</v>
      </c>
      <c r="AG25" s="5">
        <v>1125.7048293760001</v>
      </c>
      <c r="AH25" s="5">
        <v>877.45860270000003</v>
      </c>
      <c r="AI25" s="5">
        <f t="shared" si="11"/>
        <v>2003.1634320760002</v>
      </c>
      <c r="AJ25" s="5">
        <v>1116.0578631769999</v>
      </c>
      <c r="AK25" s="5">
        <v>0</v>
      </c>
      <c r="AL25" s="5">
        <f t="shared" si="12"/>
        <v>1116.0578631769999</v>
      </c>
      <c r="AM25" s="5">
        <v>1257.8794253490003</v>
      </c>
      <c r="AN25" s="5">
        <v>501.40491580000003</v>
      </c>
      <c r="AO25" s="5">
        <f t="shared" si="13"/>
        <v>1759.2843411490003</v>
      </c>
    </row>
    <row r="26" spans="1:41" x14ac:dyDescent="0.3">
      <c r="A26" s="2">
        <v>20</v>
      </c>
      <c r="B26" s="3" t="s">
        <v>19</v>
      </c>
      <c r="C26" s="13">
        <f t="shared" si="1"/>
        <v>2818.4729233459998</v>
      </c>
      <c r="D26" s="13">
        <f t="shared" si="1"/>
        <v>557.11660200000006</v>
      </c>
      <c r="E26" s="13">
        <f t="shared" si="1"/>
        <v>3375.5895253459998</v>
      </c>
      <c r="F26" s="9">
        <v>150.03394828</v>
      </c>
      <c r="G26" s="5">
        <v>0</v>
      </c>
      <c r="H26" s="5">
        <f t="shared" si="2"/>
        <v>150.03394828</v>
      </c>
      <c r="I26" s="4">
        <v>109.99313017899999</v>
      </c>
      <c r="J26" s="5">
        <v>0</v>
      </c>
      <c r="K26" s="5">
        <f t="shared" si="3"/>
        <v>109.99313017899999</v>
      </c>
      <c r="L26" s="4">
        <v>204.22130509600001</v>
      </c>
      <c r="M26" s="5">
        <v>0</v>
      </c>
      <c r="N26" s="5">
        <f t="shared" si="4"/>
        <v>204.22130509600001</v>
      </c>
      <c r="O26" s="5">
        <v>348.33932601399999</v>
      </c>
      <c r="P26" s="5">
        <v>0</v>
      </c>
      <c r="Q26" s="5">
        <f t="shared" si="5"/>
        <v>348.33932601399999</v>
      </c>
      <c r="R26" s="5">
        <v>334.68679616399999</v>
      </c>
      <c r="S26" s="5">
        <v>117.1256044</v>
      </c>
      <c r="T26" s="5">
        <f t="shared" si="6"/>
        <v>451.81240056399997</v>
      </c>
      <c r="U26" s="5">
        <v>274.71436137500001</v>
      </c>
      <c r="V26" s="5">
        <v>0</v>
      </c>
      <c r="W26" s="5">
        <f t="shared" si="7"/>
        <v>274.71436137500001</v>
      </c>
      <c r="X26" s="5">
        <v>293.61235231300003</v>
      </c>
      <c r="Y26" s="5">
        <v>0</v>
      </c>
      <c r="Z26" s="5">
        <f t="shared" si="8"/>
        <v>293.61235231300003</v>
      </c>
      <c r="AA26" s="5">
        <v>290.95407280699999</v>
      </c>
      <c r="AB26" s="5">
        <v>0</v>
      </c>
      <c r="AC26" s="5">
        <f t="shared" si="9"/>
        <v>290.95407280699999</v>
      </c>
      <c r="AD26" s="5">
        <v>288.13368390700003</v>
      </c>
      <c r="AE26" s="5">
        <v>0</v>
      </c>
      <c r="AF26" s="5">
        <f t="shared" si="10"/>
        <v>288.13368390700003</v>
      </c>
      <c r="AG26" s="5">
        <v>247.31680197599997</v>
      </c>
      <c r="AH26" s="5">
        <v>279.99427120000001</v>
      </c>
      <c r="AI26" s="5">
        <f t="shared" si="11"/>
        <v>527.31107317600004</v>
      </c>
      <c r="AJ26" s="5">
        <v>165.45433187599997</v>
      </c>
      <c r="AK26" s="5">
        <v>0</v>
      </c>
      <c r="AL26" s="5">
        <f t="shared" si="12"/>
        <v>165.45433187599997</v>
      </c>
      <c r="AM26" s="5">
        <v>111.01281335900002</v>
      </c>
      <c r="AN26" s="5">
        <v>159.9967264</v>
      </c>
      <c r="AO26" s="5">
        <f t="shared" si="13"/>
        <v>271.00953975900001</v>
      </c>
    </row>
    <row r="27" spans="1:41" x14ac:dyDescent="0.3">
      <c r="A27" s="2">
        <v>21</v>
      </c>
      <c r="B27" s="3" t="s">
        <v>20</v>
      </c>
      <c r="C27" s="13">
        <f t="shared" si="1"/>
        <v>3548.1614803220004</v>
      </c>
      <c r="D27" s="13">
        <f t="shared" si="1"/>
        <v>994.28336540000009</v>
      </c>
      <c r="E27" s="13">
        <f t="shared" si="1"/>
        <v>4542.4448457220005</v>
      </c>
      <c r="F27" s="9">
        <v>578.74481596999999</v>
      </c>
      <c r="G27" s="5">
        <v>0</v>
      </c>
      <c r="H27" s="5">
        <f t="shared" si="2"/>
        <v>578.74481596999999</v>
      </c>
      <c r="I27" s="4">
        <v>160.71832786800002</v>
      </c>
      <c r="J27" s="5">
        <v>0</v>
      </c>
      <c r="K27" s="5">
        <f t="shared" si="3"/>
        <v>160.71832786800002</v>
      </c>
      <c r="L27" s="4">
        <v>201.90896256900001</v>
      </c>
      <c r="M27" s="5">
        <v>0</v>
      </c>
      <c r="N27" s="5">
        <f t="shared" si="4"/>
        <v>201.90896256900001</v>
      </c>
      <c r="O27" s="5">
        <v>330.38238989299998</v>
      </c>
      <c r="P27" s="5">
        <v>0</v>
      </c>
      <c r="Q27" s="5">
        <f t="shared" si="5"/>
        <v>330.38238989299998</v>
      </c>
      <c r="R27" s="5">
        <v>423.25742238800001</v>
      </c>
      <c r="S27" s="5">
        <v>236.20850930000003</v>
      </c>
      <c r="T27" s="5">
        <f t="shared" si="6"/>
        <v>659.46593168800007</v>
      </c>
      <c r="U27" s="5">
        <v>301.24112456200004</v>
      </c>
      <c r="V27" s="5">
        <v>0</v>
      </c>
      <c r="W27" s="5">
        <f t="shared" si="7"/>
        <v>301.24112456200004</v>
      </c>
      <c r="X27" s="5">
        <v>384.93406543599997</v>
      </c>
      <c r="Y27" s="5">
        <v>0</v>
      </c>
      <c r="Z27" s="5">
        <f t="shared" si="8"/>
        <v>384.93406543599997</v>
      </c>
      <c r="AA27" s="5">
        <v>298.88972769500003</v>
      </c>
      <c r="AB27" s="5">
        <v>0</v>
      </c>
      <c r="AC27" s="5">
        <f t="shared" si="9"/>
        <v>298.88972769500003</v>
      </c>
      <c r="AD27" s="5">
        <v>219.406651783</v>
      </c>
      <c r="AE27" s="5">
        <v>0</v>
      </c>
      <c r="AF27" s="5">
        <f t="shared" si="10"/>
        <v>219.406651783</v>
      </c>
      <c r="AG27" s="5">
        <v>316.44876333300004</v>
      </c>
      <c r="AH27" s="5">
        <v>482.41127210000002</v>
      </c>
      <c r="AI27" s="5">
        <f t="shared" si="11"/>
        <v>798.86003543300012</v>
      </c>
      <c r="AJ27" s="5">
        <v>122.99091838900002</v>
      </c>
      <c r="AK27" s="5">
        <v>0</v>
      </c>
      <c r="AL27" s="5">
        <f t="shared" si="12"/>
        <v>122.99091838900002</v>
      </c>
      <c r="AM27" s="5">
        <v>209.23831043599998</v>
      </c>
      <c r="AN27" s="5">
        <v>275.66358400000001</v>
      </c>
      <c r="AO27" s="5">
        <f t="shared" si="13"/>
        <v>484.90189443600002</v>
      </c>
    </row>
    <row r="28" spans="1:41" x14ac:dyDescent="0.3">
      <c r="A28" s="2">
        <v>22</v>
      </c>
      <c r="B28" s="3" t="s">
        <v>33</v>
      </c>
      <c r="C28" s="13">
        <f t="shared" si="1"/>
        <v>2113.2460332819996</v>
      </c>
      <c r="D28" s="13">
        <f t="shared" si="1"/>
        <v>652.00874659999999</v>
      </c>
      <c r="E28" s="13">
        <f t="shared" si="1"/>
        <v>2765.2547798819996</v>
      </c>
      <c r="F28" s="9">
        <v>137.56792216399998</v>
      </c>
      <c r="G28" s="5">
        <v>0</v>
      </c>
      <c r="H28" s="5">
        <f t="shared" si="2"/>
        <v>137.56792216399998</v>
      </c>
      <c r="I28" s="4">
        <v>31.516317563000005</v>
      </c>
      <c r="J28" s="5">
        <v>0</v>
      </c>
      <c r="K28" s="5">
        <f t="shared" si="3"/>
        <v>31.516317563000005</v>
      </c>
      <c r="L28" s="4">
        <v>94.283549527999995</v>
      </c>
      <c r="M28" s="5">
        <v>0</v>
      </c>
      <c r="N28" s="5">
        <f t="shared" si="4"/>
        <v>94.283549527999995</v>
      </c>
      <c r="O28" s="5">
        <v>232.936316189</v>
      </c>
      <c r="P28" s="5">
        <v>0</v>
      </c>
      <c r="Q28" s="5">
        <f t="shared" si="5"/>
        <v>232.936316189</v>
      </c>
      <c r="R28" s="5">
        <v>326.36530239799998</v>
      </c>
      <c r="S28" s="5">
        <v>147.125641</v>
      </c>
      <c r="T28" s="5">
        <f t="shared" si="6"/>
        <v>473.49094339800001</v>
      </c>
      <c r="U28" s="5">
        <v>206.85502395699999</v>
      </c>
      <c r="V28" s="5">
        <v>0</v>
      </c>
      <c r="W28" s="5">
        <f t="shared" si="7"/>
        <v>206.85502395699999</v>
      </c>
      <c r="X28" s="5">
        <v>227.966240629</v>
      </c>
      <c r="Y28" s="5">
        <v>0</v>
      </c>
      <c r="Z28" s="5">
        <f t="shared" si="8"/>
        <v>227.966240629</v>
      </c>
      <c r="AA28" s="5">
        <v>109.558472721</v>
      </c>
      <c r="AB28" s="5">
        <v>0</v>
      </c>
      <c r="AC28" s="5">
        <f t="shared" si="9"/>
        <v>109.558472721</v>
      </c>
      <c r="AD28" s="5">
        <v>186.14604451399998</v>
      </c>
      <c r="AE28" s="5">
        <v>0</v>
      </c>
      <c r="AF28" s="5">
        <f t="shared" si="10"/>
        <v>186.14604451399998</v>
      </c>
      <c r="AG28" s="5">
        <v>175.31399050199997</v>
      </c>
      <c r="AH28" s="5">
        <v>321.28924899999998</v>
      </c>
      <c r="AI28" s="5">
        <f t="shared" si="11"/>
        <v>496.60323950199995</v>
      </c>
      <c r="AJ28" s="5">
        <v>192.63858192500001</v>
      </c>
      <c r="AK28" s="5">
        <v>0</v>
      </c>
      <c r="AL28" s="5">
        <f t="shared" si="12"/>
        <v>192.63858192500001</v>
      </c>
      <c r="AM28" s="5">
        <v>192.09827119199997</v>
      </c>
      <c r="AN28" s="5">
        <v>183.59385660000001</v>
      </c>
      <c r="AO28" s="5">
        <f t="shared" si="13"/>
        <v>375.69212779199995</v>
      </c>
    </row>
    <row r="29" spans="1:41" x14ac:dyDescent="0.3">
      <c r="A29" s="2">
        <v>23</v>
      </c>
      <c r="B29" s="3" t="s">
        <v>21</v>
      </c>
      <c r="C29" s="13">
        <f t="shared" si="1"/>
        <v>12082.66632738</v>
      </c>
      <c r="D29" s="13">
        <f t="shared" si="1"/>
        <v>1264.8714229</v>
      </c>
      <c r="E29" s="13">
        <f t="shared" si="1"/>
        <v>13347.53775028</v>
      </c>
      <c r="F29" s="9">
        <v>1051.5912116279999</v>
      </c>
      <c r="G29" s="5">
        <v>0</v>
      </c>
      <c r="H29" s="5">
        <f t="shared" si="2"/>
        <v>1051.5912116279999</v>
      </c>
      <c r="I29" s="4">
        <v>609.78979784699993</v>
      </c>
      <c r="J29" s="5">
        <v>0</v>
      </c>
      <c r="K29" s="5">
        <f t="shared" si="3"/>
        <v>609.78979784699993</v>
      </c>
      <c r="L29" s="4">
        <v>785.8476153969998</v>
      </c>
      <c r="M29" s="5">
        <v>0</v>
      </c>
      <c r="N29" s="5">
        <f t="shared" si="4"/>
        <v>785.8476153969998</v>
      </c>
      <c r="O29" s="5">
        <v>1330.3186461400001</v>
      </c>
      <c r="P29" s="5">
        <v>0</v>
      </c>
      <c r="Q29" s="5">
        <f t="shared" si="5"/>
        <v>1330.3186461400001</v>
      </c>
      <c r="R29" s="5">
        <v>1098.5591008700001</v>
      </c>
      <c r="S29" s="5">
        <v>213.09413620000001</v>
      </c>
      <c r="T29" s="5">
        <f t="shared" si="6"/>
        <v>1311.6532370700002</v>
      </c>
      <c r="U29" s="5">
        <v>1008.5677508869999</v>
      </c>
      <c r="V29" s="5">
        <v>0</v>
      </c>
      <c r="W29" s="5">
        <f t="shared" si="7"/>
        <v>1008.5677508869999</v>
      </c>
      <c r="X29" s="5">
        <v>1024.933656701</v>
      </c>
      <c r="Y29" s="5">
        <v>0</v>
      </c>
      <c r="Z29" s="5">
        <f t="shared" si="8"/>
        <v>1024.933656701</v>
      </c>
      <c r="AA29" s="5">
        <v>1124.0185624360001</v>
      </c>
      <c r="AB29" s="5">
        <v>0</v>
      </c>
      <c r="AC29" s="5">
        <f t="shared" si="9"/>
        <v>1124.0185624360001</v>
      </c>
      <c r="AD29" s="5">
        <v>950.57193713200013</v>
      </c>
      <c r="AE29" s="5">
        <v>0</v>
      </c>
      <c r="AF29" s="5">
        <f t="shared" si="10"/>
        <v>950.57193713200013</v>
      </c>
      <c r="AG29" s="5">
        <v>1111.4213352859999</v>
      </c>
      <c r="AH29" s="5">
        <v>669.31281879999995</v>
      </c>
      <c r="AI29" s="5">
        <f t="shared" si="11"/>
        <v>1780.7341540859998</v>
      </c>
      <c r="AJ29" s="5">
        <v>973.06265677100009</v>
      </c>
      <c r="AK29" s="5">
        <v>0</v>
      </c>
      <c r="AL29" s="5">
        <f t="shared" si="12"/>
        <v>973.06265677100009</v>
      </c>
      <c r="AM29" s="5">
        <v>1013.9840562850001</v>
      </c>
      <c r="AN29" s="5">
        <v>382.46446789999999</v>
      </c>
      <c r="AO29" s="5">
        <f t="shared" si="13"/>
        <v>1396.448524185</v>
      </c>
    </row>
    <row r="30" spans="1:41" x14ac:dyDescent="0.3">
      <c r="A30" s="2">
        <v>24</v>
      </c>
      <c r="B30" s="3" t="s">
        <v>34</v>
      </c>
      <c r="C30" s="13">
        <f t="shared" si="1"/>
        <v>13045.228955100001</v>
      </c>
      <c r="D30" s="13">
        <f t="shared" si="1"/>
        <v>2547.2594564999999</v>
      </c>
      <c r="E30" s="13">
        <f t="shared" si="1"/>
        <v>15592.488411599999</v>
      </c>
      <c r="F30" s="9">
        <v>956.07358947099988</v>
      </c>
      <c r="G30" s="5">
        <v>0</v>
      </c>
      <c r="H30" s="5">
        <f t="shared" si="2"/>
        <v>956.07358947099988</v>
      </c>
      <c r="I30" s="4">
        <v>594.251008899</v>
      </c>
      <c r="J30" s="5">
        <v>0</v>
      </c>
      <c r="K30" s="5">
        <f t="shared" si="3"/>
        <v>594.251008899</v>
      </c>
      <c r="L30" s="4">
        <v>793.00429273600002</v>
      </c>
      <c r="M30" s="5">
        <v>0</v>
      </c>
      <c r="N30" s="5">
        <f t="shared" si="4"/>
        <v>793.00429273600002</v>
      </c>
      <c r="O30" s="5">
        <v>1188.7457789489999</v>
      </c>
      <c r="P30" s="5">
        <v>0</v>
      </c>
      <c r="Q30" s="5">
        <f t="shared" si="5"/>
        <v>1188.7457789489999</v>
      </c>
      <c r="R30" s="5">
        <v>1326.1753057599999</v>
      </c>
      <c r="S30" s="5">
        <v>567.48751670000001</v>
      </c>
      <c r="T30" s="5">
        <f t="shared" si="6"/>
        <v>1893.6628224599999</v>
      </c>
      <c r="U30" s="5">
        <v>1162.6994425130001</v>
      </c>
      <c r="V30" s="5">
        <v>0</v>
      </c>
      <c r="W30" s="5">
        <f t="shared" si="7"/>
        <v>1162.6994425130001</v>
      </c>
      <c r="X30" s="5">
        <v>1048.0368178879999</v>
      </c>
      <c r="Y30" s="5">
        <v>0</v>
      </c>
      <c r="Z30" s="5">
        <f t="shared" si="8"/>
        <v>1048.0368178879999</v>
      </c>
      <c r="AA30" s="5">
        <v>798.78382419500031</v>
      </c>
      <c r="AB30" s="5">
        <v>0</v>
      </c>
      <c r="AC30" s="5">
        <f t="shared" si="9"/>
        <v>798.78382419500031</v>
      </c>
      <c r="AD30" s="5">
        <v>1139.4170269860001</v>
      </c>
      <c r="AE30" s="5">
        <v>0</v>
      </c>
      <c r="AF30" s="5">
        <f t="shared" si="10"/>
        <v>1139.4170269860001</v>
      </c>
      <c r="AG30" s="5">
        <v>1408.8364389000001</v>
      </c>
      <c r="AH30" s="5">
        <v>1259.8548708000001</v>
      </c>
      <c r="AI30" s="5">
        <f t="shared" si="11"/>
        <v>2668.6913097000001</v>
      </c>
      <c r="AJ30" s="5">
        <v>1179.7408994800001</v>
      </c>
      <c r="AK30" s="5">
        <v>0</v>
      </c>
      <c r="AL30" s="5">
        <f t="shared" si="12"/>
        <v>1179.7408994800001</v>
      </c>
      <c r="AM30" s="5">
        <v>1449.4645293229999</v>
      </c>
      <c r="AN30" s="5">
        <v>719.91706899999997</v>
      </c>
      <c r="AO30" s="5">
        <f t="shared" si="13"/>
        <v>2169.3815983229997</v>
      </c>
    </row>
    <row r="31" spans="1:41" x14ac:dyDescent="0.3">
      <c r="A31" s="2">
        <v>25</v>
      </c>
      <c r="B31" s="3" t="s">
        <v>22</v>
      </c>
      <c r="C31" s="13">
        <f t="shared" si="1"/>
        <v>26.204988633999999</v>
      </c>
      <c r="D31" s="13">
        <f t="shared" si="1"/>
        <v>63.61295890000001</v>
      </c>
      <c r="E31" s="13">
        <f t="shared" si="1"/>
        <v>89.817947533999998</v>
      </c>
      <c r="F31" s="9">
        <v>0.26271522899999999</v>
      </c>
      <c r="G31" s="5">
        <v>0</v>
      </c>
      <c r="H31" s="5">
        <f t="shared" si="2"/>
        <v>0.26271522899999999</v>
      </c>
      <c r="I31" s="4">
        <v>0.13862332599999999</v>
      </c>
      <c r="J31" s="5">
        <v>0</v>
      </c>
      <c r="K31" s="5">
        <f t="shared" si="3"/>
        <v>0.13862332599999999</v>
      </c>
      <c r="L31" s="4">
        <v>0.15664924</v>
      </c>
      <c r="M31" s="5">
        <v>0</v>
      </c>
      <c r="N31" s="5">
        <f t="shared" si="4"/>
        <v>0.15664924</v>
      </c>
      <c r="O31" s="5">
        <v>8.6785781999999992E-2</v>
      </c>
      <c r="P31" s="5">
        <v>0</v>
      </c>
      <c r="Q31" s="5">
        <f t="shared" si="5"/>
        <v>8.6785781999999992E-2</v>
      </c>
      <c r="R31" s="5">
        <v>8.8003704000000002E-2</v>
      </c>
      <c r="S31" s="5">
        <v>19.351289900000001</v>
      </c>
      <c r="T31" s="5">
        <f t="shared" si="6"/>
        <v>19.439293604</v>
      </c>
      <c r="U31" s="5">
        <v>24.673421406999999</v>
      </c>
      <c r="V31" s="5">
        <v>0</v>
      </c>
      <c r="W31" s="5">
        <f t="shared" si="7"/>
        <v>24.673421406999999</v>
      </c>
      <c r="X31" s="5">
        <v>0.12710150200000001</v>
      </c>
      <c r="Y31" s="5">
        <v>0</v>
      </c>
      <c r="Z31" s="5">
        <f t="shared" si="8"/>
        <v>0.12710150200000001</v>
      </c>
      <c r="AA31" s="5">
        <v>0.15666018399999998</v>
      </c>
      <c r="AB31" s="5">
        <v>0</v>
      </c>
      <c r="AC31" s="5">
        <f t="shared" si="9"/>
        <v>0.15666018399999998</v>
      </c>
      <c r="AD31" s="5">
        <v>-4.3248657999999995E-2</v>
      </c>
      <c r="AE31" s="5">
        <v>0</v>
      </c>
      <c r="AF31" s="5">
        <f t="shared" si="10"/>
        <v>-4.3248657999999995E-2</v>
      </c>
      <c r="AG31" s="5">
        <v>0.26708894499999997</v>
      </c>
      <c r="AH31" s="5">
        <v>28.166516600000001</v>
      </c>
      <c r="AI31" s="5">
        <f t="shared" si="11"/>
        <v>28.433605545000002</v>
      </c>
      <c r="AJ31" s="5">
        <v>7.9747617999999992E-2</v>
      </c>
      <c r="AK31" s="5">
        <v>0</v>
      </c>
      <c r="AL31" s="5">
        <f t="shared" si="12"/>
        <v>7.9747617999999992E-2</v>
      </c>
      <c r="AM31" s="5">
        <v>0.21144035499999997</v>
      </c>
      <c r="AN31" s="5">
        <v>16.0951524</v>
      </c>
      <c r="AO31" s="5">
        <f t="shared" si="13"/>
        <v>16.306592755</v>
      </c>
    </row>
    <row r="32" spans="1:41" x14ac:dyDescent="0.3">
      <c r="A32" s="2">
        <v>26</v>
      </c>
      <c r="B32" s="3" t="s">
        <v>23</v>
      </c>
      <c r="C32" s="13">
        <f t="shared" si="1"/>
        <v>405.59871454699999</v>
      </c>
      <c r="D32" s="13">
        <f t="shared" si="1"/>
        <v>62.258945400000002</v>
      </c>
      <c r="E32" s="13">
        <f t="shared" si="1"/>
        <v>467.85765994700006</v>
      </c>
      <c r="F32" s="9">
        <v>37.008024620999997</v>
      </c>
      <c r="G32" s="5">
        <v>0</v>
      </c>
      <c r="H32" s="5">
        <f t="shared" si="2"/>
        <v>37.008024620999997</v>
      </c>
      <c r="I32" s="4">
        <v>-2.5350601239999992</v>
      </c>
      <c r="J32" s="5">
        <v>0</v>
      </c>
      <c r="K32" s="5">
        <f t="shared" si="3"/>
        <v>-2.5350601239999992</v>
      </c>
      <c r="L32" s="4">
        <v>16.905066845</v>
      </c>
      <c r="M32" s="5">
        <v>0</v>
      </c>
      <c r="N32" s="5">
        <f t="shared" si="4"/>
        <v>16.905066845</v>
      </c>
      <c r="O32" s="5">
        <v>41.173260775000003</v>
      </c>
      <c r="P32" s="5">
        <v>0</v>
      </c>
      <c r="Q32" s="5">
        <f t="shared" si="5"/>
        <v>41.173260775000003</v>
      </c>
      <c r="R32" s="5">
        <v>59.118725628999997</v>
      </c>
      <c r="S32" s="5">
        <v>9.7451007999999995</v>
      </c>
      <c r="T32" s="5">
        <f t="shared" si="6"/>
        <v>68.863826429</v>
      </c>
      <c r="U32" s="5">
        <v>53.447574445000001</v>
      </c>
      <c r="V32" s="5">
        <v>0</v>
      </c>
      <c r="W32" s="5">
        <f t="shared" si="7"/>
        <v>53.447574445000001</v>
      </c>
      <c r="X32" s="5">
        <v>23.502974975999997</v>
      </c>
      <c r="Y32" s="5">
        <v>0</v>
      </c>
      <c r="Z32" s="5">
        <f t="shared" si="8"/>
        <v>23.502974975999997</v>
      </c>
      <c r="AA32" s="5">
        <v>24.747110203000002</v>
      </c>
      <c r="AB32" s="5">
        <v>0</v>
      </c>
      <c r="AC32" s="5">
        <f t="shared" si="9"/>
        <v>24.747110203000002</v>
      </c>
      <c r="AD32" s="5">
        <v>22.825298024000002</v>
      </c>
      <c r="AE32" s="5">
        <v>0</v>
      </c>
      <c r="AF32" s="5">
        <f t="shared" si="10"/>
        <v>22.825298024000002</v>
      </c>
      <c r="AG32" s="5">
        <v>13.428919444999998</v>
      </c>
      <c r="AH32" s="5">
        <v>33.417901100000002</v>
      </c>
      <c r="AI32" s="5">
        <f t="shared" si="11"/>
        <v>46.846820545</v>
      </c>
      <c r="AJ32" s="5">
        <v>36.285437008999999</v>
      </c>
      <c r="AK32" s="5">
        <v>0</v>
      </c>
      <c r="AL32" s="5">
        <f t="shared" si="12"/>
        <v>36.285437008999999</v>
      </c>
      <c r="AM32" s="5">
        <v>79.691382698999988</v>
      </c>
      <c r="AN32" s="5">
        <v>19.095943500000001</v>
      </c>
      <c r="AO32" s="5">
        <f t="shared" si="13"/>
        <v>98.787326198999992</v>
      </c>
    </row>
    <row r="33" spans="1:41" x14ac:dyDescent="0.3">
      <c r="A33" s="2">
        <v>27</v>
      </c>
      <c r="B33" s="3" t="s">
        <v>35</v>
      </c>
      <c r="C33" s="13">
        <f t="shared" si="1"/>
        <v>29958.583572092</v>
      </c>
      <c r="D33" s="13">
        <f t="shared" si="1"/>
        <v>5351.6293307000005</v>
      </c>
      <c r="E33" s="13">
        <f t="shared" si="1"/>
        <v>35310.212902791995</v>
      </c>
      <c r="F33" s="9">
        <v>1978.0537979610001</v>
      </c>
      <c r="G33" s="5">
        <v>0</v>
      </c>
      <c r="H33" s="5">
        <f t="shared" si="2"/>
        <v>1978.0537979610001</v>
      </c>
      <c r="I33" s="4">
        <v>699.3150533119998</v>
      </c>
      <c r="J33" s="5">
        <v>0</v>
      </c>
      <c r="K33" s="5">
        <f t="shared" si="3"/>
        <v>699.3150533119998</v>
      </c>
      <c r="L33" s="4">
        <v>1930.2513078010002</v>
      </c>
      <c r="M33" s="5">
        <v>0</v>
      </c>
      <c r="N33" s="5">
        <f t="shared" si="4"/>
        <v>1930.2513078010002</v>
      </c>
      <c r="O33" s="5">
        <v>2568.5640101419999</v>
      </c>
      <c r="P33" s="5">
        <v>0</v>
      </c>
      <c r="Q33" s="5">
        <f t="shared" si="5"/>
        <v>2568.5640101419999</v>
      </c>
      <c r="R33" s="5">
        <v>2732.9254386120001</v>
      </c>
      <c r="S33" s="5">
        <v>1200.4099184000002</v>
      </c>
      <c r="T33" s="5">
        <f t="shared" si="6"/>
        <v>3933.3353570120003</v>
      </c>
      <c r="U33" s="5">
        <v>2825.0261114099999</v>
      </c>
      <c r="V33" s="5">
        <v>0</v>
      </c>
      <c r="W33" s="5">
        <f t="shared" si="7"/>
        <v>2825.0261114099999</v>
      </c>
      <c r="X33" s="5">
        <v>2531.8223569089996</v>
      </c>
      <c r="Y33" s="5">
        <v>0</v>
      </c>
      <c r="Z33" s="5">
        <f t="shared" si="8"/>
        <v>2531.8223569089996</v>
      </c>
      <c r="AA33" s="5">
        <v>2631.5585555409998</v>
      </c>
      <c r="AB33" s="5">
        <v>0</v>
      </c>
      <c r="AC33" s="5">
        <f t="shared" si="9"/>
        <v>2631.5585555409998</v>
      </c>
      <c r="AD33" s="5">
        <v>3207.454579362</v>
      </c>
      <c r="AE33" s="5">
        <v>0</v>
      </c>
      <c r="AF33" s="5">
        <f t="shared" si="10"/>
        <v>3207.454579362</v>
      </c>
      <c r="AG33" s="5">
        <v>3330.6775786599997</v>
      </c>
      <c r="AH33" s="5">
        <v>2641.6850806000002</v>
      </c>
      <c r="AI33" s="5">
        <f t="shared" si="11"/>
        <v>5972.3626592599994</v>
      </c>
      <c r="AJ33" s="5">
        <v>2273.4620553959994</v>
      </c>
      <c r="AK33" s="5">
        <v>0</v>
      </c>
      <c r="AL33" s="5">
        <f t="shared" si="12"/>
        <v>2273.4620553959994</v>
      </c>
      <c r="AM33" s="5">
        <v>3249.4727269860005</v>
      </c>
      <c r="AN33" s="5">
        <v>1509.5343316999999</v>
      </c>
      <c r="AO33" s="5">
        <f t="shared" si="13"/>
        <v>4759.0070586860002</v>
      </c>
    </row>
    <row r="34" spans="1:41" x14ac:dyDescent="0.3">
      <c r="A34" s="2">
        <v>29</v>
      </c>
      <c r="B34" s="3" t="s">
        <v>24</v>
      </c>
      <c r="C34" s="13">
        <f t="shared" si="1"/>
        <v>22434.819161627001</v>
      </c>
      <c r="D34" s="13">
        <f t="shared" si="1"/>
        <v>3099.3560527999998</v>
      </c>
      <c r="E34" s="13">
        <f t="shared" si="1"/>
        <v>25534.175214427003</v>
      </c>
      <c r="F34" s="9">
        <v>2040.4835023190003</v>
      </c>
      <c r="G34" s="5">
        <v>0</v>
      </c>
      <c r="H34" s="5">
        <f t="shared" si="2"/>
        <v>2040.4835023190003</v>
      </c>
      <c r="I34" s="4">
        <v>1056.2898548879998</v>
      </c>
      <c r="J34" s="5">
        <v>0</v>
      </c>
      <c r="K34" s="5">
        <f t="shared" si="3"/>
        <v>1056.2898548879998</v>
      </c>
      <c r="L34" s="4">
        <v>1250.6562115659999</v>
      </c>
      <c r="M34" s="5">
        <v>0</v>
      </c>
      <c r="N34" s="5">
        <f t="shared" si="4"/>
        <v>1250.6562115659999</v>
      </c>
      <c r="O34" s="5">
        <v>1886.471432477</v>
      </c>
      <c r="P34" s="5">
        <v>0</v>
      </c>
      <c r="Q34" s="5">
        <f t="shared" si="5"/>
        <v>1886.471432477</v>
      </c>
      <c r="R34" s="5">
        <v>2068.2082793990003</v>
      </c>
      <c r="S34" s="5">
        <v>619.57729289999997</v>
      </c>
      <c r="T34" s="5">
        <f t="shared" si="6"/>
        <v>2687.7855722990003</v>
      </c>
      <c r="U34" s="5">
        <v>2340.5623576020002</v>
      </c>
      <c r="V34" s="5">
        <v>0</v>
      </c>
      <c r="W34" s="5">
        <f t="shared" si="7"/>
        <v>2340.5623576020002</v>
      </c>
      <c r="X34" s="5">
        <v>2159.702369099</v>
      </c>
      <c r="Y34" s="5">
        <v>0</v>
      </c>
      <c r="Z34" s="5">
        <f t="shared" si="8"/>
        <v>2159.702369099</v>
      </c>
      <c r="AA34" s="5">
        <v>2292.2737374269996</v>
      </c>
      <c r="AB34" s="5">
        <v>0</v>
      </c>
      <c r="AC34" s="5">
        <f t="shared" si="9"/>
        <v>2292.2737374269996</v>
      </c>
      <c r="AD34" s="5">
        <v>1451.7922067510001</v>
      </c>
      <c r="AE34" s="5">
        <v>0</v>
      </c>
      <c r="AF34" s="5">
        <f t="shared" si="10"/>
        <v>1451.7922067510001</v>
      </c>
      <c r="AG34" s="5">
        <v>1875.2299068750001</v>
      </c>
      <c r="AH34" s="5">
        <v>1578.041029</v>
      </c>
      <c r="AI34" s="5">
        <f t="shared" si="11"/>
        <v>3453.2709358749999</v>
      </c>
      <c r="AJ34" s="5">
        <v>1857.0838629760003</v>
      </c>
      <c r="AK34" s="5">
        <v>0</v>
      </c>
      <c r="AL34" s="5">
        <f t="shared" si="12"/>
        <v>1857.0838629760003</v>
      </c>
      <c r="AM34" s="5">
        <v>2156.065440248</v>
      </c>
      <c r="AN34" s="5">
        <v>901.73773089999997</v>
      </c>
      <c r="AO34" s="5">
        <f t="shared" si="13"/>
        <v>3057.8031711479998</v>
      </c>
    </row>
    <row r="35" spans="1:41" x14ac:dyDescent="0.3">
      <c r="A35" s="2">
        <v>30</v>
      </c>
      <c r="B35" s="3" t="s">
        <v>25</v>
      </c>
      <c r="C35" s="13">
        <f t="shared" si="1"/>
        <v>1242.509324267</v>
      </c>
      <c r="D35" s="13">
        <f t="shared" si="1"/>
        <v>195.72325069999999</v>
      </c>
      <c r="E35" s="13">
        <f t="shared" si="1"/>
        <v>1438.2325749670001</v>
      </c>
      <c r="F35" s="9">
        <v>115.878028601</v>
      </c>
      <c r="G35" s="5">
        <v>0</v>
      </c>
      <c r="H35" s="5">
        <f t="shared" si="2"/>
        <v>115.878028601</v>
      </c>
      <c r="I35" s="4">
        <v>49.807341164</v>
      </c>
      <c r="J35" s="5">
        <v>0</v>
      </c>
      <c r="K35" s="5">
        <f t="shared" si="3"/>
        <v>49.807341164</v>
      </c>
      <c r="L35" s="4">
        <v>69.166114994000012</v>
      </c>
      <c r="M35" s="5">
        <v>0</v>
      </c>
      <c r="N35" s="5">
        <f t="shared" si="4"/>
        <v>69.166114994000012</v>
      </c>
      <c r="O35" s="5">
        <v>89.950502336</v>
      </c>
      <c r="P35" s="5">
        <v>0</v>
      </c>
      <c r="Q35" s="5">
        <f t="shared" si="5"/>
        <v>89.950502336</v>
      </c>
      <c r="R35" s="5">
        <v>85.597244571999994</v>
      </c>
      <c r="S35" s="5">
        <v>46.058793699999995</v>
      </c>
      <c r="T35" s="5">
        <f t="shared" si="6"/>
        <v>131.65603827199999</v>
      </c>
      <c r="U35" s="5">
        <v>93.191227138000002</v>
      </c>
      <c r="V35" s="5">
        <v>0</v>
      </c>
      <c r="W35" s="5">
        <f t="shared" si="7"/>
        <v>93.191227138000002</v>
      </c>
      <c r="X35" s="5">
        <v>99.151976840999978</v>
      </c>
      <c r="Y35" s="5">
        <v>0</v>
      </c>
      <c r="Z35" s="5">
        <f t="shared" si="8"/>
        <v>99.151976840999978</v>
      </c>
      <c r="AA35" s="5">
        <v>99.341080551000005</v>
      </c>
      <c r="AB35" s="5">
        <v>0</v>
      </c>
      <c r="AC35" s="5">
        <f t="shared" si="9"/>
        <v>99.341080551000005</v>
      </c>
      <c r="AD35" s="5">
        <v>194.465358689</v>
      </c>
      <c r="AE35" s="5">
        <v>0</v>
      </c>
      <c r="AF35" s="5">
        <f t="shared" si="10"/>
        <v>194.465358689</v>
      </c>
      <c r="AG35" s="5">
        <v>122.81787760499998</v>
      </c>
      <c r="AH35" s="5">
        <v>95.241018100000005</v>
      </c>
      <c r="AI35" s="5">
        <f t="shared" si="11"/>
        <v>218.058895705</v>
      </c>
      <c r="AJ35" s="5">
        <v>108.90558213</v>
      </c>
      <c r="AK35" s="5">
        <v>0</v>
      </c>
      <c r="AL35" s="5">
        <f t="shared" si="12"/>
        <v>108.90558213</v>
      </c>
      <c r="AM35" s="5">
        <v>114.236989646</v>
      </c>
      <c r="AN35" s="5">
        <v>54.423438900000001</v>
      </c>
      <c r="AO35" s="5">
        <f t="shared" si="13"/>
        <v>168.66042854599999</v>
      </c>
    </row>
    <row r="36" spans="1:41" x14ac:dyDescent="0.3">
      <c r="A36" s="2">
        <v>31</v>
      </c>
      <c r="B36" s="3" t="s">
        <v>26</v>
      </c>
      <c r="C36" s="13">
        <f t="shared" si="1"/>
        <v>23.34709677</v>
      </c>
      <c r="D36" s="13">
        <f t="shared" si="1"/>
        <v>0</v>
      </c>
      <c r="E36" s="13">
        <f t="shared" si="1"/>
        <v>23.34709677</v>
      </c>
      <c r="F36" s="9">
        <v>2.1150045149999999</v>
      </c>
      <c r="G36" s="5">
        <v>0</v>
      </c>
      <c r="H36" s="5">
        <f t="shared" si="2"/>
        <v>2.1150045149999999</v>
      </c>
      <c r="I36" s="4">
        <v>0.97454962099999987</v>
      </c>
      <c r="J36" s="5">
        <v>0</v>
      </c>
      <c r="K36" s="5">
        <f t="shared" si="3"/>
        <v>0.97454962099999987</v>
      </c>
      <c r="L36" s="4">
        <v>1.4008445859999998</v>
      </c>
      <c r="M36" s="5">
        <v>0</v>
      </c>
      <c r="N36" s="5">
        <f t="shared" si="4"/>
        <v>1.4008445859999998</v>
      </c>
      <c r="O36" s="5">
        <v>2.6659175729999998</v>
      </c>
      <c r="P36" s="5">
        <v>0</v>
      </c>
      <c r="Q36" s="5">
        <f t="shared" si="5"/>
        <v>2.6659175729999998</v>
      </c>
      <c r="R36" s="5">
        <v>4.1225590480000003</v>
      </c>
      <c r="S36" s="5">
        <v>0</v>
      </c>
      <c r="T36" s="5">
        <f t="shared" si="6"/>
        <v>4.1225590480000003</v>
      </c>
      <c r="U36" s="5">
        <v>1.8563245290000003</v>
      </c>
      <c r="V36" s="5">
        <v>0</v>
      </c>
      <c r="W36" s="5">
        <f t="shared" si="7"/>
        <v>1.8563245290000003</v>
      </c>
      <c r="X36" s="5">
        <v>2.401277844</v>
      </c>
      <c r="Y36" s="5">
        <v>0</v>
      </c>
      <c r="Z36" s="5">
        <f t="shared" si="8"/>
        <v>2.401277844</v>
      </c>
      <c r="AA36" s="5">
        <v>1.3457157470000001</v>
      </c>
      <c r="AB36" s="5">
        <v>0</v>
      </c>
      <c r="AC36" s="5">
        <f t="shared" si="9"/>
        <v>1.3457157470000001</v>
      </c>
      <c r="AD36" s="5">
        <v>1.4309718760000001</v>
      </c>
      <c r="AE36" s="5">
        <v>0</v>
      </c>
      <c r="AF36" s="5">
        <f t="shared" si="10"/>
        <v>1.4309718760000001</v>
      </c>
      <c r="AG36" s="5">
        <v>1.873360377</v>
      </c>
      <c r="AH36" s="5">
        <v>0</v>
      </c>
      <c r="AI36" s="5">
        <f t="shared" si="11"/>
        <v>1.873360377</v>
      </c>
      <c r="AJ36" s="5">
        <v>1.2504748000000001</v>
      </c>
      <c r="AK36" s="5">
        <v>0</v>
      </c>
      <c r="AL36" s="5">
        <f t="shared" si="12"/>
        <v>1.2504748000000001</v>
      </c>
      <c r="AM36" s="5">
        <v>1.9100962539999999</v>
      </c>
      <c r="AN36" s="5">
        <v>0</v>
      </c>
      <c r="AO36" s="5">
        <f t="shared" si="13"/>
        <v>1.9100962539999999</v>
      </c>
    </row>
    <row r="37" spans="1:41" x14ac:dyDescent="0.3">
      <c r="A37" s="2">
        <v>32</v>
      </c>
      <c r="B37" s="3" t="s">
        <v>27</v>
      </c>
      <c r="C37" s="13">
        <f t="shared" si="1"/>
        <v>12690.763148137001</v>
      </c>
      <c r="D37" s="13">
        <f t="shared" si="1"/>
        <v>1407.5478106</v>
      </c>
      <c r="E37" s="13">
        <f t="shared" si="1"/>
        <v>14098.310958737</v>
      </c>
      <c r="F37" s="9">
        <v>1222.259613057</v>
      </c>
      <c r="G37" s="5">
        <v>0</v>
      </c>
      <c r="H37" s="5">
        <f t="shared" si="2"/>
        <v>1222.259613057</v>
      </c>
      <c r="I37" s="4">
        <v>566.12776414000007</v>
      </c>
      <c r="J37" s="5">
        <v>0</v>
      </c>
      <c r="K37" s="5">
        <f t="shared" si="3"/>
        <v>566.12776414000007</v>
      </c>
      <c r="L37" s="4">
        <v>670.03077712100003</v>
      </c>
      <c r="M37" s="5">
        <v>0</v>
      </c>
      <c r="N37" s="5">
        <f t="shared" si="4"/>
        <v>670.03077712100003</v>
      </c>
      <c r="O37" s="5">
        <v>1088.2674560970001</v>
      </c>
      <c r="P37" s="5">
        <v>0</v>
      </c>
      <c r="Q37" s="5">
        <f t="shared" si="5"/>
        <v>1088.2674560970001</v>
      </c>
      <c r="R37" s="5">
        <v>1119.9148061910003</v>
      </c>
      <c r="S37" s="5">
        <v>253.36852699999997</v>
      </c>
      <c r="T37" s="5">
        <f t="shared" si="6"/>
        <v>1373.2833331910001</v>
      </c>
      <c r="U37" s="5">
        <v>1257.79865746</v>
      </c>
      <c r="V37" s="5">
        <v>0</v>
      </c>
      <c r="W37" s="5">
        <f t="shared" si="7"/>
        <v>1257.79865746</v>
      </c>
      <c r="X37" s="5">
        <v>1050.162419576</v>
      </c>
      <c r="Y37" s="5">
        <v>0</v>
      </c>
      <c r="Z37" s="5">
        <f t="shared" si="8"/>
        <v>1050.162419576</v>
      </c>
      <c r="AA37" s="5">
        <v>1110.398401872</v>
      </c>
      <c r="AB37" s="5">
        <v>0</v>
      </c>
      <c r="AC37" s="5">
        <f t="shared" si="9"/>
        <v>1110.398401872</v>
      </c>
      <c r="AD37" s="5">
        <v>1014.8971540399999</v>
      </c>
      <c r="AE37" s="5">
        <v>0</v>
      </c>
      <c r="AF37" s="5">
        <f t="shared" si="10"/>
        <v>1014.8971540399999</v>
      </c>
      <c r="AG37" s="5">
        <v>1199.7614683849999</v>
      </c>
      <c r="AH37" s="5">
        <v>734.4777259</v>
      </c>
      <c r="AI37" s="5">
        <f t="shared" si="11"/>
        <v>1934.2391942849999</v>
      </c>
      <c r="AJ37" s="5">
        <v>1196.255074784</v>
      </c>
      <c r="AK37" s="5">
        <v>0</v>
      </c>
      <c r="AL37" s="5">
        <f t="shared" si="12"/>
        <v>1196.255074784</v>
      </c>
      <c r="AM37" s="5">
        <v>1194.8895554140001</v>
      </c>
      <c r="AN37" s="5">
        <v>419.70155770000002</v>
      </c>
      <c r="AO37" s="5">
        <f t="shared" si="13"/>
        <v>1614.5911131140001</v>
      </c>
    </row>
    <row r="38" spans="1:41" x14ac:dyDescent="0.3">
      <c r="A38" s="2">
        <v>33</v>
      </c>
      <c r="B38" s="3" t="s">
        <v>28</v>
      </c>
      <c r="C38" s="13">
        <f t="shared" si="1"/>
        <v>16887.621921703001</v>
      </c>
      <c r="D38" s="13">
        <f t="shared" si="1"/>
        <v>2587.7188348</v>
      </c>
      <c r="E38" s="13">
        <f t="shared" si="1"/>
        <v>19475.340756502999</v>
      </c>
      <c r="F38" s="9">
        <v>1590.8747520309998</v>
      </c>
      <c r="G38" s="5">
        <v>0</v>
      </c>
      <c r="H38" s="5">
        <f t="shared" si="2"/>
        <v>1590.8747520309998</v>
      </c>
      <c r="I38" s="4">
        <v>846.40992287799997</v>
      </c>
      <c r="J38" s="5">
        <v>0</v>
      </c>
      <c r="K38" s="5">
        <f t="shared" si="3"/>
        <v>846.40992287799997</v>
      </c>
      <c r="L38" s="4">
        <v>1263.7847838549999</v>
      </c>
      <c r="M38" s="5">
        <v>0</v>
      </c>
      <c r="N38" s="5">
        <f t="shared" si="4"/>
        <v>1263.7847838549999</v>
      </c>
      <c r="O38" s="5">
        <v>1476.0694188500001</v>
      </c>
      <c r="P38" s="5">
        <v>0</v>
      </c>
      <c r="Q38" s="5">
        <f t="shared" si="5"/>
        <v>1476.0694188500001</v>
      </c>
      <c r="R38" s="5">
        <v>1554.224444986</v>
      </c>
      <c r="S38" s="5">
        <v>544.18008369999995</v>
      </c>
      <c r="T38" s="5">
        <f t="shared" si="6"/>
        <v>2098.404528686</v>
      </c>
      <c r="U38" s="5">
        <v>1499.4752758459999</v>
      </c>
      <c r="V38" s="5">
        <v>0</v>
      </c>
      <c r="W38" s="5">
        <f t="shared" si="7"/>
        <v>1499.4752758459999</v>
      </c>
      <c r="X38" s="5">
        <v>1319.8712946510002</v>
      </c>
      <c r="Y38" s="5">
        <v>0</v>
      </c>
      <c r="Z38" s="5">
        <f t="shared" si="8"/>
        <v>1319.8712946510002</v>
      </c>
      <c r="AA38" s="5">
        <v>1265.791965114</v>
      </c>
      <c r="AB38" s="5">
        <v>0</v>
      </c>
      <c r="AC38" s="5">
        <f t="shared" si="9"/>
        <v>1265.791965114</v>
      </c>
      <c r="AD38" s="5">
        <v>1175.472311667</v>
      </c>
      <c r="AE38" s="5">
        <v>0</v>
      </c>
      <c r="AF38" s="5">
        <f t="shared" si="10"/>
        <v>1175.472311667</v>
      </c>
      <c r="AG38" s="5">
        <v>1533.361704016</v>
      </c>
      <c r="AH38" s="5">
        <v>1300.4337507</v>
      </c>
      <c r="AI38" s="5">
        <f t="shared" si="11"/>
        <v>2833.7954547159998</v>
      </c>
      <c r="AJ38" s="5">
        <v>1334.53827662</v>
      </c>
      <c r="AK38" s="5">
        <v>0</v>
      </c>
      <c r="AL38" s="5">
        <f t="shared" si="12"/>
        <v>1334.53827662</v>
      </c>
      <c r="AM38" s="5">
        <v>2027.7477711889999</v>
      </c>
      <c r="AN38" s="5">
        <v>743.10500039999999</v>
      </c>
      <c r="AO38" s="5">
        <f t="shared" si="13"/>
        <v>2770.852771589</v>
      </c>
    </row>
    <row r="39" spans="1:41" x14ac:dyDescent="0.3">
      <c r="A39" s="2">
        <v>34</v>
      </c>
      <c r="B39" s="3" t="s">
        <v>29</v>
      </c>
      <c r="C39" s="13">
        <f t="shared" si="1"/>
        <v>495.57507248400003</v>
      </c>
      <c r="D39" s="13">
        <f t="shared" si="1"/>
        <v>94.064290299999996</v>
      </c>
      <c r="E39" s="13">
        <f t="shared" si="1"/>
        <v>589.63936278400001</v>
      </c>
      <c r="F39" s="9">
        <v>47.209685665000002</v>
      </c>
      <c r="G39" s="5">
        <v>0</v>
      </c>
      <c r="H39" s="5">
        <f t="shared" si="2"/>
        <v>47.209685665000002</v>
      </c>
      <c r="I39" s="4">
        <v>12.769007248000001</v>
      </c>
      <c r="J39" s="5">
        <v>0</v>
      </c>
      <c r="K39" s="5">
        <f t="shared" si="3"/>
        <v>12.769007248000001</v>
      </c>
      <c r="L39" s="4">
        <v>30.767558691999994</v>
      </c>
      <c r="M39" s="5">
        <v>0</v>
      </c>
      <c r="N39" s="5">
        <f t="shared" si="4"/>
        <v>30.767558691999994</v>
      </c>
      <c r="O39" s="5">
        <v>50.892135753000005</v>
      </c>
      <c r="P39" s="5">
        <v>0</v>
      </c>
      <c r="Q39" s="5">
        <f t="shared" si="5"/>
        <v>50.892135753000005</v>
      </c>
      <c r="R39" s="5">
        <v>60.353921447000005</v>
      </c>
      <c r="S39" s="5">
        <v>19.044512300000001</v>
      </c>
      <c r="T39" s="5">
        <f t="shared" si="6"/>
        <v>79.398433747000013</v>
      </c>
      <c r="U39" s="5">
        <v>46.719557563999999</v>
      </c>
      <c r="V39" s="5">
        <v>0</v>
      </c>
      <c r="W39" s="5">
        <f t="shared" si="7"/>
        <v>46.719557563999999</v>
      </c>
      <c r="X39" s="5">
        <v>40.869866150999997</v>
      </c>
      <c r="Y39" s="5">
        <v>0</v>
      </c>
      <c r="Z39" s="5">
        <f t="shared" si="8"/>
        <v>40.869866150999997</v>
      </c>
      <c r="AA39" s="5">
        <v>43.269232140999996</v>
      </c>
      <c r="AB39" s="5">
        <v>0</v>
      </c>
      <c r="AC39" s="5">
        <f t="shared" si="9"/>
        <v>43.269232140999996</v>
      </c>
      <c r="AD39" s="5">
        <v>36.514740026000005</v>
      </c>
      <c r="AE39" s="5">
        <v>0</v>
      </c>
      <c r="AF39" s="5">
        <f t="shared" si="10"/>
        <v>36.514740026000005</v>
      </c>
      <c r="AG39" s="5">
        <v>46.312125356999999</v>
      </c>
      <c r="AH39" s="5">
        <v>47.739858699999999</v>
      </c>
      <c r="AI39" s="5">
        <f t="shared" si="11"/>
        <v>94.051984056999999</v>
      </c>
      <c r="AJ39" s="5">
        <v>38.646240336999995</v>
      </c>
      <c r="AK39" s="5">
        <v>0</v>
      </c>
      <c r="AL39" s="5">
        <f t="shared" si="12"/>
        <v>38.646240336999995</v>
      </c>
      <c r="AM39" s="5">
        <v>41.251002103000012</v>
      </c>
      <c r="AN39" s="5">
        <v>27.2799193</v>
      </c>
      <c r="AO39" s="5">
        <f t="shared" si="13"/>
        <v>68.530921403000008</v>
      </c>
    </row>
    <row r="40" spans="1:41" x14ac:dyDescent="0.3">
      <c r="A40" s="2">
        <v>35</v>
      </c>
      <c r="B40" s="3" t="s">
        <v>44</v>
      </c>
      <c r="C40" s="13">
        <f t="shared" si="1"/>
        <v>231.53178665000002</v>
      </c>
      <c r="D40" s="13">
        <f t="shared" si="1"/>
        <v>6.3177959000000001</v>
      </c>
      <c r="E40" s="13">
        <f t="shared" si="1"/>
        <v>237.84958255000004</v>
      </c>
      <c r="F40" s="9">
        <v>20.825518686000002</v>
      </c>
      <c r="G40" s="5">
        <v>0</v>
      </c>
      <c r="H40" s="5">
        <f t="shared" si="2"/>
        <v>20.825518686000002</v>
      </c>
      <c r="I40" s="4">
        <v>8.7144208039999995</v>
      </c>
      <c r="J40" s="5">
        <v>0</v>
      </c>
      <c r="K40" s="5">
        <f t="shared" si="3"/>
        <v>8.7144208039999995</v>
      </c>
      <c r="L40" s="4">
        <v>10.848376853</v>
      </c>
      <c r="M40" s="5">
        <v>0</v>
      </c>
      <c r="N40" s="5">
        <f t="shared" si="4"/>
        <v>10.848376853</v>
      </c>
      <c r="O40" s="5">
        <v>24.091540436000003</v>
      </c>
      <c r="P40" s="5">
        <v>0</v>
      </c>
      <c r="Q40" s="5">
        <f t="shared" si="5"/>
        <v>24.091540436000003</v>
      </c>
      <c r="R40" s="5">
        <v>17.604003255999999</v>
      </c>
      <c r="S40" s="5">
        <v>-0.80908300000000022</v>
      </c>
      <c r="T40" s="5">
        <f t="shared" si="6"/>
        <v>16.794920255999997</v>
      </c>
      <c r="U40" s="5">
        <v>18.536109843000002</v>
      </c>
      <c r="V40" s="5">
        <v>0</v>
      </c>
      <c r="W40" s="5">
        <f t="shared" si="7"/>
        <v>18.536109843000002</v>
      </c>
      <c r="X40" s="5">
        <v>19.516751558999996</v>
      </c>
      <c r="Y40" s="5">
        <v>0</v>
      </c>
      <c r="Z40" s="5">
        <f t="shared" si="8"/>
        <v>19.516751558999996</v>
      </c>
      <c r="AA40" s="5">
        <v>18.571357076000002</v>
      </c>
      <c r="AB40" s="5">
        <v>0</v>
      </c>
      <c r="AC40" s="5">
        <f t="shared" si="9"/>
        <v>18.571357076000002</v>
      </c>
      <c r="AD40" s="5">
        <v>21.651368256000001</v>
      </c>
      <c r="AE40" s="5">
        <v>0</v>
      </c>
      <c r="AF40" s="5">
        <f t="shared" si="10"/>
        <v>21.651368256000001</v>
      </c>
      <c r="AG40" s="5">
        <v>24.235771279999998</v>
      </c>
      <c r="AH40" s="5">
        <v>4.5352866000000001</v>
      </c>
      <c r="AI40" s="5">
        <f t="shared" si="11"/>
        <v>28.771057879999997</v>
      </c>
      <c r="AJ40" s="5">
        <v>20.928396856999999</v>
      </c>
      <c r="AK40" s="5">
        <v>0</v>
      </c>
      <c r="AL40" s="5">
        <f t="shared" si="12"/>
        <v>20.928396856999999</v>
      </c>
      <c r="AM40" s="5">
        <v>26.008171743999998</v>
      </c>
      <c r="AN40" s="5">
        <v>2.5915922999999998</v>
      </c>
      <c r="AO40" s="5">
        <f t="shared" si="13"/>
        <v>28.599764043999997</v>
      </c>
    </row>
    <row r="41" spans="1:41" x14ac:dyDescent="0.3">
      <c r="A41" s="2">
        <v>36</v>
      </c>
      <c r="B41" s="3" t="s">
        <v>30</v>
      </c>
      <c r="C41" s="13">
        <f t="shared" si="1"/>
        <v>14627.047717289999</v>
      </c>
      <c r="D41" s="13">
        <f t="shared" si="1"/>
        <v>1263.1990764</v>
      </c>
      <c r="E41" s="13">
        <f t="shared" si="1"/>
        <v>15890.246793690001</v>
      </c>
      <c r="F41" s="9">
        <v>1254.1677348410001</v>
      </c>
      <c r="G41" s="5">
        <v>0</v>
      </c>
      <c r="H41" s="5">
        <f t="shared" si="2"/>
        <v>1254.1677348410001</v>
      </c>
      <c r="I41" s="4">
        <v>764.26300112900003</v>
      </c>
      <c r="J41" s="5">
        <v>0</v>
      </c>
      <c r="K41" s="5">
        <f t="shared" si="3"/>
        <v>764.26300112900003</v>
      </c>
      <c r="L41" s="4">
        <v>925.42128799699992</v>
      </c>
      <c r="M41" s="5">
        <v>0</v>
      </c>
      <c r="N41" s="5">
        <f t="shared" si="4"/>
        <v>925.42128799699992</v>
      </c>
      <c r="O41" s="5">
        <v>1260.6261924849998</v>
      </c>
      <c r="P41" s="5">
        <v>0</v>
      </c>
      <c r="Q41" s="5">
        <f t="shared" si="5"/>
        <v>1260.6261924849998</v>
      </c>
      <c r="R41" s="5">
        <v>1452.187238039</v>
      </c>
      <c r="S41" s="5">
        <v>157.78264840000003</v>
      </c>
      <c r="T41" s="5">
        <f t="shared" si="6"/>
        <v>1609.969886439</v>
      </c>
      <c r="U41" s="5">
        <v>1301.9453950590002</v>
      </c>
      <c r="V41" s="5">
        <v>0</v>
      </c>
      <c r="W41" s="5">
        <f t="shared" si="7"/>
        <v>1301.9453950590002</v>
      </c>
      <c r="X41" s="5">
        <v>1193.8717016009998</v>
      </c>
      <c r="Y41" s="5">
        <v>0</v>
      </c>
      <c r="Z41" s="5">
        <f t="shared" si="8"/>
        <v>1193.8717016009998</v>
      </c>
      <c r="AA41" s="5">
        <v>1281.3028415700001</v>
      </c>
      <c r="AB41" s="5">
        <v>0</v>
      </c>
      <c r="AC41" s="5">
        <f t="shared" si="9"/>
        <v>1281.3028415700001</v>
      </c>
      <c r="AD41" s="5">
        <v>1138.9501281979999</v>
      </c>
      <c r="AE41" s="5">
        <v>0</v>
      </c>
      <c r="AF41" s="5">
        <f t="shared" si="10"/>
        <v>1138.9501281979999</v>
      </c>
      <c r="AG41" s="5">
        <v>1254.340765103</v>
      </c>
      <c r="AH41" s="5">
        <v>703.44681779999996</v>
      </c>
      <c r="AI41" s="5">
        <f t="shared" si="11"/>
        <v>1957.7875829029999</v>
      </c>
      <c r="AJ41" s="5">
        <v>1303.8741730520001</v>
      </c>
      <c r="AK41" s="5">
        <v>0</v>
      </c>
      <c r="AL41" s="5">
        <f t="shared" si="12"/>
        <v>1303.8741730520001</v>
      </c>
      <c r="AM41" s="5">
        <v>1496.0972582160002</v>
      </c>
      <c r="AN41" s="5">
        <v>401.96961019999998</v>
      </c>
      <c r="AO41" s="5">
        <f t="shared" si="13"/>
        <v>1898.0668684160003</v>
      </c>
    </row>
    <row r="42" spans="1:41" x14ac:dyDescent="0.3">
      <c r="A42" s="2">
        <v>37</v>
      </c>
      <c r="B42" s="3" t="s">
        <v>31</v>
      </c>
      <c r="C42" s="13">
        <f t="shared" si="1"/>
        <v>12666.258629529</v>
      </c>
      <c r="D42" s="13">
        <f t="shared" si="1"/>
        <v>1099.5066225999999</v>
      </c>
      <c r="E42" s="13">
        <f t="shared" si="1"/>
        <v>13765.765252129002</v>
      </c>
      <c r="F42" s="9">
        <v>1186.2908812390001</v>
      </c>
      <c r="G42" s="5">
        <v>0</v>
      </c>
      <c r="H42" s="5">
        <f t="shared" si="2"/>
        <v>1186.2908812390001</v>
      </c>
      <c r="I42" s="4">
        <v>639.25521450799999</v>
      </c>
      <c r="J42" s="5">
        <v>0</v>
      </c>
      <c r="K42" s="5">
        <f t="shared" si="3"/>
        <v>639.25521450799999</v>
      </c>
      <c r="L42" s="4">
        <v>852.87121148900007</v>
      </c>
      <c r="M42" s="5">
        <v>0</v>
      </c>
      <c r="N42" s="5">
        <f t="shared" si="4"/>
        <v>852.87121148900007</v>
      </c>
      <c r="O42" s="5">
        <v>1286.1750139209998</v>
      </c>
      <c r="P42" s="5">
        <v>0</v>
      </c>
      <c r="Q42" s="5">
        <f t="shared" si="5"/>
        <v>1286.1750139209998</v>
      </c>
      <c r="R42" s="5">
        <v>1196.9826511609999</v>
      </c>
      <c r="S42" s="5">
        <v>147.50564049999997</v>
      </c>
      <c r="T42" s="5">
        <f t="shared" si="6"/>
        <v>1344.4882916609999</v>
      </c>
      <c r="U42" s="5">
        <v>1268.1963240320001</v>
      </c>
      <c r="V42" s="5">
        <v>0</v>
      </c>
      <c r="W42" s="5">
        <f t="shared" si="7"/>
        <v>1268.1963240320001</v>
      </c>
      <c r="X42" s="5">
        <v>1169.0773682910001</v>
      </c>
      <c r="Y42" s="5">
        <v>0</v>
      </c>
      <c r="Z42" s="5">
        <f t="shared" si="8"/>
        <v>1169.0773682910001</v>
      </c>
      <c r="AA42" s="5">
        <v>1202.6135864349999</v>
      </c>
      <c r="AB42" s="5">
        <v>0</v>
      </c>
      <c r="AC42" s="5">
        <f t="shared" si="9"/>
        <v>1202.6135864349999</v>
      </c>
      <c r="AD42" s="5">
        <v>912.45334482999988</v>
      </c>
      <c r="AE42" s="5">
        <v>0</v>
      </c>
      <c r="AF42" s="5">
        <f t="shared" si="10"/>
        <v>912.45334482999988</v>
      </c>
      <c r="AG42" s="5">
        <v>1173.4408287289998</v>
      </c>
      <c r="AH42" s="5">
        <v>605.81880679999995</v>
      </c>
      <c r="AI42" s="5">
        <f t="shared" si="11"/>
        <v>1779.2596355289998</v>
      </c>
      <c r="AJ42" s="5">
        <v>883.71860841700004</v>
      </c>
      <c r="AK42" s="5">
        <v>0</v>
      </c>
      <c r="AL42" s="5">
        <f t="shared" si="12"/>
        <v>883.71860841700004</v>
      </c>
      <c r="AM42" s="5">
        <v>895.18359647699981</v>
      </c>
      <c r="AN42" s="5">
        <v>346.18217529999998</v>
      </c>
      <c r="AO42" s="5">
        <f t="shared" si="13"/>
        <v>1241.3657717769997</v>
      </c>
    </row>
    <row r="43" spans="1:41" x14ac:dyDescent="0.3">
      <c r="A43" s="2">
        <v>38</v>
      </c>
      <c r="B43" s="3" t="s">
        <v>40</v>
      </c>
      <c r="C43" s="13">
        <f t="shared" si="1"/>
        <v>226.81445153499999</v>
      </c>
      <c r="D43" s="13">
        <f t="shared" si="1"/>
        <v>0</v>
      </c>
      <c r="E43" s="13">
        <f t="shared" si="1"/>
        <v>226.81445153499999</v>
      </c>
      <c r="F43" s="5">
        <v>9.5510183780000002</v>
      </c>
      <c r="G43" s="5">
        <v>0</v>
      </c>
      <c r="H43" s="5">
        <f t="shared" si="2"/>
        <v>9.5510183780000002</v>
      </c>
      <c r="I43" s="4">
        <v>2.996165591</v>
      </c>
      <c r="J43" s="5">
        <v>0</v>
      </c>
      <c r="K43" s="5">
        <f t="shared" si="3"/>
        <v>2.996165591</v>
      </c>
      <c r="L43" s="4">
        <v>12.091889047</v>
      </c>
      <c r="M43" s="5">
        <v>0</v>
      </c>
      <c r="N43" s="5">
        <f t="shared" si="4"/>
        <v>12.091889047</v>
      </c>
      <c r="O43" s="5">
        <v>29.535885944</v>
      </c>
      <c r="P43" s="5">
        <v>0</v>
      </c>
      <c r="Q43" s="5">
        <f t="shared" si="5"/>
        <v>29.535885944</v>
      </c>
      <c r="R43" s="5">
        <v>24.786702145</v>
      </c>
      <c r="S43" s="5">
        <v>0</v>
      </c>
      <c r="T43" s="5">
        <f t="shared" si="6"/>
        <v>24.786702145</v>
      </c>
      <c r="U43" s="5">
        <v>25.052803064999999</v>
      </c>
      <c r="V43" s="5">
        <v>0</v>
      </c>
      <c r="W43" s="5">
        <f t="shared" si="7"/>
        <v>25.052803064999999</v>
      </c>
      <c r="X43" s="5">
        <v>38.015018146000003</v>
      </c>
      <c r="Y43" s="5">
        <v>0</v>
      </c>
      <c r="Z43" s="5">
        <f t="shared" si="8"/>
        <v>38.015018146000003</v>
      </c>
      <c r="AA43" s="5">
        <v>30.024390599</v>
      </c>
      <c r="AB43" s="5">
        <v>0</v>
      </c>
      <c r="AC43" s="5">
        <f t="shared" si="9"/>
        <v>30.024390599</v>
      </c>
      <c r="AD43" s="5">
        <v>17.354842466000001</v>
      </c>
      <c r="AE43" s="5">
        <v>0</v>
      </c>
      <c r="AF43" s="5">
        <f t="shared" si="10"/>
        <v>17.354842466000001</v>
      </c>
      <c r="AG43" s="5">
        <v>19.578151161000001</v>
      </c>
      <c r="AH43" s="5">
        <v>0</v>
      </c>
      <c r="AI43" s="5">
        <f t="shared" si="11"/>
        <v>19.578151161000001</v>
      </c>
      <c r="AJ43" s="5">
        <v>10.255114725</v>
      </c>
      <c r="AK43" s="5">
        <v>0</v>
      </c>
      <c r="AL43" s="5">
        <f t="shared" si="12"/>
        <v>10.255114725</v>
      </c>
      <c r="AM43" s="5">
        <v>7.5724702680000009</v>
      </c>
      <c r="AN43" s="5">
        <v>0</v>
      </c>
      <c r="AO43" s="5">
        <f t="shared" si="13"/>
        <v>7.5724702680000009</v>
      </c>
    </row>
    <row r="44" spans="1:41" x14ac:dyDescent="0.3">
      <c r="A44" s="2">
        <v>97</v>
      </c>
      <c r="B44" s="3" t="s">
        <v>32</v>
      </c>
      <c r="C44" s="13">
        <f t="shared" si="1"/>
        <v>229.276701422</v>
      </c>
      <c r="D44" s="13">
        <f t="shared" si="1"/>
        <v>0</v>
      </c>
      <c r="E44" s="13">
        <f t="shared" si="1"/>
        <v>229.276701422</v>
      </c>
      <c r="F44" s="9">
        <v>42.910172850000002</v>
      </c>
      <c r="G44" s="5">
        <v>0</v>
      </c>
      <c r="H44" s="5">
        <f t="shared" si="2"/>
        <v>42.910172850000002</v>
      </c>
      <c r="I44" s="4">
        <v>31.6810562</v>
      </c>
      <c r="J44" s="5">
        <v>0</v>
      </c>
      <c r="K44" s="5">
        <f t="shared" si="3"/>
        <v>31.6810562</v>
      </c>
      <c r="L44" s="4">
        <v>16.020980600000001</v>
      </c>
      <c r="M44" s="5">
        <v>0</v>
      </c>
      <c r="N44" s="5">
        <f t="shared" si="4"/>
        <v>16.020980600000001</v>
      </c>
      <c r="O44" s="5">
        <v>20.330654450000001</v>
      </c>
      <c r="P44" s="5">
        <v>0</v>
      </c>
      <c r="Q44" s="5">
        <f t="shared" si="5"/>
        <v>20.330654450000001</v>
      </c>
      <c r="R44" s="5">
        <v>16.538490450000001</v>
      </c>
      <c r="S44" s="5">
        <v>0</v>
      </c>
      <c r="T44" s="5">
        <f t="shared" si="6"/>
        <v>16.538490450000001</v>
      </c>
      <c r="U44" s="5">
        <v>12.654358872</v>
      </c>
      <c r="V44" s="5">
        <v>0</v>
      </c>
      <c r="W44" s="5">
        <f t="shared" si="7"/>
        <v>12.654358872</v>
      </c>
      <c r="X44" s="5">
        <v>20.349351599999999</v>
      </c>
      <c r="Y44" s="5">
        <v>0</v>
      </c>
      <c r="Z44" s="5">
        <f t="shared" si="8"/>
        <v>20.349351599999999</v>
      </c>
      <c r="AA44" s="5">
        <v>12.9749459</v>
      </c>
      <c r="AB44" s="5">
        <v>0</v>
      </c>
      <c r="AC44" s="5">
        <f t="shared" si="9"/>
        <v>12.9749459</v>
      </c>
      <c r="AD44" s="5">
        <v>11.508722300000001</v>
      </c>
      <c r="AE44" s="5">
        <v>0</v>
      </c>
      <c r="AF44" s="5">
        <f t="shared" si="10"/>
        <v>11.508722300000001</v>
      </c>
      <c r="AG44" s="5">
        <v>9.8844966999999997</v>
      </c>
      <c r="AH44" s="5">
        <v>0</v>
      </c>
      <c r="AI44" s="5">
        <f t="shared" si="11"/>
        <v>9.8844966999999997</v>
      </c>
      <c r="AJ44" s="5">
        <v>14.7324289</v>
      </c>
      <c r="AK44" s="5">
        <v>0</v>
      </c>
      <c r="AL44" s="5">
        <f t="shared" si="12"/>
        <v>14.7324289</v>
      </c>
      <c r="AM44" s="5">
        <v>19.691042599999999</v>
      </c>
      <c r="AN44" s="5">
        <v>0</v>
      </c>
      <c r="AO44" s="5">
        <f t="shared" si="13"/>
        <v>19.691042599999999</v>
      </c>
    </row>
    <row r="45" spans="1:41" x14ac:dyDescent="0.3">
      <c r="A45" s="7"/>
      <c r="B45" s="8" t="s">
        <v>41</v>
      </c>
      <c r="C45" s="14">
        <f>SUM(C7:C44)</f>
        <v>261497.81525759905</v>
      </c>
      <c r="D45" s="14">
        <f t="shared" ref="D45:AO45" si="14">SUM(D7:D44)</f>
        <v>34000</v>
      </c>
      <c r="E45" s="14">
        <f t="shared" si="14"/>
        <v>295497.81525759905</v>
      </c>
      <c r="F45" s="14">
        <f t="shared" si="14"/>
        <v>22756.043964281995</v>
      </c>
      <c r="G45" s="14">
        <f t="shared" si="14"/>
        <v>0</v>
      </c>
      <c r="H45" s="14">
        <f t="shared" si="14"/>
        <v>22756.043964281995</v>
      </c>
      <c r="I45" s="14">
        <f t="shared" si="14"/>
        <v>11652.783067158998</v>
      </c>
      <c r="J45" s="14">
        <f t="shared" si="14"/>
        <v>0</v>
      </c>
      <c r="K45" s="14">
        <f t="shared" si="14"/>
        <v>11652.783067158998</v>
      </c>
      <c r="L45" s="14">
        <f t="shared" si="14"/>
        <v>16939.233878157997</v>
      </c>
      <c r="M45" s="14">
        <f t="shared" si="14"/>
        <v>0</v>
      </c>
      <c r="N45" s="14">
        <f t="shared" si="14"/>
        <v>16939.233878157997</v>
      </c>
      <c r="O45" s="14">
        <f t="shared" si="14"/>
        <v>24099.513486012995</v>
      </c>
      <c r="P45" s="14">
        <f t="shared" si="14"/>
        <v>0</v>
      </c>
      <c r="Q45" s="14">
        <f t="shared" si="14"/>
        <v>24099.513486012995</v>
      </c>
      <c r="R45" s="14">
        <f t="shared" si="14"/>
        <v>24639.166591516005</v>
      </c>
      <c r="S45" s="14">
        <f t="shared" si="14"/>
        <v>6499.9999999999991</v>
      </c>
      <c r="T45" s="14">
        <f t="shared" si="14"/>
        <v>31139.166591516001</v>
      </c>
      <c r="U45" s="14">
        <f t="shared" si="14"/>
        <v>24139.886882865994</v>
      </c>
      <c r="V45" s="14">
        <f t="shared" si="14"/>
        <v>0</v>
      </c>
      <c r="W45" s="14">
        <f t="shared" si="14"/>
        <v>24139.886882865994</v>
      </c>
      <c r="X45" s="14">
        <f t="shared" si="14"/>
        <v>22393.684653465003</v>
      </c>
      <c r="Y45" s="14">
        <f t="shared" si="14"/>
        <v>0</v>
      </c>
      <c r="Z45" s="14">
        <f t="shared" si="14"/>
        <v>22393.684653465003</v>
      </c>
      <c r="AA45" s="14">
        <f t="shared" si="14"/>
        <v>22654.162762169999</v>
      </c>
      <c r="AB45" s="14">
        <f t="shared" si="14"/>
        <v>0</v>
      </c>
      <c r="AC45" s="14">
        <f t="shared" si="14"/>
        <v>22654.162762169999</v>
      </c>
      <c r="AD45" s="14">
        <f t="shared" si="14"/>
        <v>21101.617297926008</v>
      </c>
      <c r="AE45" s="14">
        <f t="shared" si="14"/>
        <v>0</v>
      </c>
      <c r="AF45" s="14">
        <f t="shared" si="14"/>
        <v>21101.617297926008</v>
      </c>
      <c r="AG45" s="14">
        <f t="shared" si="14"/>
        <v>24180.191958026</v>
      </c>
      <c r="AH45" s="14">
        <f t="shared" si="14"/>
        <v>17500</v>
      </c>
      <c r="AI45" s="14">
        <f t="shared" si="14"/>
        <v>41680.191958026</v>
      </c>
      <c r="AJ45" s="14">
        <f t="shared" si="14"/>
        <v>21909.210413623001</v>
      </c>
      <c r="AK45" s="14">
        <f t="shared" si="14"/>
        <v>0</v>
      </c>
      <c r="AL45" s="14">
        <f t="shared" si="14"/>
        <v>21909.210413623001</v>
      </c>
      <c r="AM45" s="14">
        <f t="shared" si="14"/>
        <v>25032.320302395001</v>
      </c>
      <c r="AN45" s="14">
        <f t="shared" si="14"/>
        <v>10000.000000000002</v>
      </c>
      <c r="AO45" s="14">
        <f t="shared" si="14"/>
        <v>35032.320302395005</v>
      </c>
    </row>
  </sheetData>
  <sortState xmlns:xlrd2="http://schemas.microsoft.com/office/spreadsheetml/2017/richdata2" columnSort="1" ref="F1:AO45">
    <sortCondition ref="F5:AO5"/>
  </sortState>
  <mergeCells count="13"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AG5:AI5"/>
    <mergeCell ref="AJ5:AL5"/>
    <mergeCell ref="AM5:AO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settlement_2021-22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Krishan Pal Singh</cp:lastModifiedBy>
  <cp:revision/>
  <dcterms:created xsi:type="dcterms:W3CDTF">2019-11-01T02:37:37Z</dcterms:created>
  <dcterms:modified xsi:type="dcterms:W3CDTF">2024-08-03T02:14:58Z</dcterms:modified>
  <cp:category/>
  <dc:identifier/>
  <cp:contentStatus/>
  <dc:language/>
  <cp:version/>
</cp:coreProperties>
</file>