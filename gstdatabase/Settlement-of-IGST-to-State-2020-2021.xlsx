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09DBCB43-7A14-4589-9840-DA16C76B6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20-2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7" l="1"/>
  <c r="AO44" i="7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45" i="7" s="1"/>
  <c r="AO8" i="7"/>
  <c r="AO7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45" i="7" s="1"/>
  <c r="AL9" i="7"/>
  <c r="AL8" i="7"/>
  <c r="AL7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45" i="7" s="1"/>
  <c r="AI7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E23" i="7" s="1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45" i="7" s="1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45" i="7" s="1"/>
  <c r="Z9" i="7"/>
  <c r="Z8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45" i="7" s="1"/>
  <c r="W7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45" i="7" s="1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E20" i="7" s="1"/>
  <c r="Q19" i="7"/>
  <c r="Q18" i="7"/>
  <c r="Q17" i="7"/>
  <c r="Q16" i="7"/>
  <c r="Q15" i="7"/>
  <c r="Q14" i="7"/>
  <c r="Q13" i="7"/>
  <c r="Q12" i="7"/>
  <c r="Q11" i="7"/>
  <c r="Q10" i="7"/>
  <c r="Q9" i="7"/>
  <c r="Q45" i="7" s="1"/>
  <c r="Q8" i="7"/>
  <c r="Q7" i="7"/>
  <c r="N44" i="7"/>
  <c r="N43" i="7"/>
  <c r="N42" i="7"/>
  <c r="N41" i="7"/>
  <c r="N40" i="7"/>
  <c r="N39" i="7"/>
  <c r="N38" i="7"/>
  <c r="N37" i="7"/>
  <c r="N36" i="7"/>
  <c r="E36" i="7" s="1"/>
  <c r="N35" i="7"/>
  <c r="N34" i="7"/>
  <c r="N33" i="7"/>
  <c r="N32" i="7"/>
  <c r="N31" i="7"/>
  <c r="N30" i="7"/>
  <c r="N29" i="7"/>
  <c r="N28" i="7"/>
  <c r="E28" i="7" s="1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E12" i="7" s="1"/>
  <c r="N11" i="7"/>
  <c r="N10" i="7"/>
  <c r="N45" i="7" s="1"/>
  <c r="N9" i="7"/>
  <c r="N8" i="7"/>
  <c r="N7" i="7"/>
  <c r="K44" i="7"/>
  <c r="K43" i="7"/>
  <c r="K42" i="7"/>
  <c r="K41" i="7"/>
  <c r="K40" i="7"/>
  <c r="E40" i="7" s="1"/>
  <c r="K39" i="7"/>
  <c r="K38" i="7"/>
  <c r="K37" i="7"/>
  <c r="E37" i="7" s="1"/>
  <c r="K36" i="7"/>
  <c r="K35" i="7"/>
  <c r="K34" i="7"/>
  <c r="K33" i="7"/>
  <c r="E33" i="7" s="1"/>
  <c r="K32" i="7"/>
  <c r="E32" i="7" s="1"/>
  <c r="K31" i="7"/>
  <c r="K30" i="7"/>
  <c r="K29" i="7"/>
  <c r="K28" i="7"/>
  <c r="K27" i="7"/>
  <c r="K26" i="7"/>
  <c r="K25" i="7"/>
  <c r="E25" i="7" s="1"/>
  <c r="K24" i="7"/>
  <c r="E24" i="7" s="1"/>
  <c r="K23" i="7"/>
  <c r="K22" i="7"/>
  <c r="K21" i="7"/>
  <c r="E21" i="7" s="1"/>
  <c r="K20" i="7"/>
  <c r="K19" i="7"/>
  <c r="K18" i="7"/>
  <c r="K17" i="7"/>
  <c r="E17" i="7" s="1"/>
  <c r="K16" i="7"/>
  <c r="E16" i="7" s="1"/>
  <c r="K15" i="7"/>
  <c r="K14" i="7"/>
  <c r="K13" i="7"/>
  <c r="E13" i="7" s="1"/>
  <c r="K12" i="7"/>
  <c r="K11" i="7"/>
  <c r="K10" i="7"/>
  <c r="K9" i="7"/>
  <c r="E9" i="7" s="1"/>
  <c r="K8" i="7"/>
  <c r="E8" i="7" s="1"/>
  <c r="K7" i="7"/>
  <c r="H8" i="7"/>
  <c r="H9" i="7"/>
  <c r="H10" i="7"/>
  <c r="H45" i="7" s="1"/>
  <c r="H11" i="7"/>
  <c r="H12" i="7"/>
  <c r="H13" i="7"/>
  <c r="H14" i="7"/>
  <c r="E14" i="7" s="1"/>
  <c r="H15" i="7"/>
  <c r="H16" i="7"/>
  <c r="H17" i="7"/>
  <c r="H18" i="7"/>
  <c r="H19" i="7"/>
  <c r="H20" i="7"/>
  <c r="H21" i="7"/>
  <c r="H22" i="7"/>
  <c r="E22" i="7" s="1"/>
  <c r="H23" i="7"/>
  <c r="H24" i="7"/>
  <c r="H25" i="7"/>
  <c r="H26" i="7"/>
  <c r="H27" i="7"/>
  <c r="H28" i="7"/>
  <c r="H29" i="7"/>
  <c r="H30" i="7"/>
  <c r="E30" i="7" s="1"/>
  <c r="H31" i="7"/>
  <c r="H32" i="7"/>
  <c r="H33" i="7"/>
  <c r="H34" i="7"/>
  <c r="H35" i="7"/>
  <c r="H36" i="7"/>
  <c r="H37" i="7"/>
  <c r="H38" i="7"/>
  <c r="E38" i="7" s="1"/>
  <c r="H39" i="7"/>
  <c r="H40" i="7"/>
  <c r="H41" i="7"/>
  <c r="H42" i="7"/>
  <c r="H43" i="7"/>
  <c r="H44" i="7"/>
  <c r="H7" i="7"/>
  <c r="E44" i="7"/>
  <c r="D44" i="7"/>
  <c r="C44" i="7"/>
  <c r="D43" i="7"/>
  <c r="C43" i="7"/>
  <c r="D42" i="7"/>
  <c r="C42" i="7"/>
  <c r="E41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E29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C45" i="7" s="1"/>
  <c r="D11" i="7"/>
  <c r="C11" i="7"/>
  <c r="D10" i="7"/>
  <c r="C10" i="7"/>
  <c r="D9" i="7"/>
  <c r="C9" i="7"/>
  <c r="D8" i="7"/>
  <c r="C8" i="7"/>
  <c r="D7" i="7"/>
  <c r="C7" i="7"/>
  <c r="AN45" i="7"/>
  <c r="AM45" i="7"/>
  <c r="AK45" i="7"/>
  <c r="AJ45" i="7"/>
  <c r="AH45" i="7"/>
  <c r="AG45" i="7"/>
  <c r="AE45" i="7"/>
  <c r="AD45" i="7"/>
  <c r="AC45" i="7"/>
  <c r="AB45" i="7"/>
  <c r="AA45" i="7"/>
  <c r="Y45" i="7"/>
  <c r="X45" i="7"/>
  <c r="V45" i="7"/>
  <c r="U45" i="7"/>
  <c r="S45" i="7"/>
  <c r="R45" i="7"/>
  <c r="P45" i="7"/>
  <c r="O45" i="7"/>
  <c r="M45" i="7"/>
  <c r="L45" i="7"/>
  <c r="J45" i="7"/>
  <c r="I45" i="7"/>
  <c r="G45" i="7"/>
  <c r="F45" i="7"/>
  <c r="E7" i="7" l="1"/>
  <c r="E15" i="7"/>
  <c r="E31" i="7"/>
  <c r="E39" i="7"/>
  <c r="E43" i="7"/>
  <c r="E35" i="7"/>
  <c r="E27" i="7"/>
  <c r="E19" i="7"/>
  <c r="E11" i="7"/>
  <c r="E42" i="7"/>
  <c r="E34" i="7"/>
  <c r="E26" i="7"/>
  <c r="E18" i="7"/>
  <c r="K45" i="7"/>
  <c r="E10" i="7"/>
  <c r="D45" i="7"/>
  <c r="E45" i="7" l="1"/>
</calcChain>
</file>

<file path=xl/sharedStrings.xml><?xml version="1.0" encoding="utf-8"?>
<sst xmlns="http://schemas.openxmlformats.org/spreadsheetml/2006/main" count="84" uniqueCount="48">
  <si>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</si>
  <si>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</si>
  <si>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</si>
  <si>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</si>
  <si>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</si>
  <si>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</si>
  <si>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</si>
  <si>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</si>
  <si>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</si>
  <si>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</si>
  <si>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</si>
  <si>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</si>
  <si>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</si>
  <si>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</si>
  <si>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</si>
  <si>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</si>
  <si>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</si>
  <si>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</si>
  <si>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</si>
  <si>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</si>
  <si>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</si>
  <si>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</si>
  <si>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</si>
  <si>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</si>
  <si>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</si>
  <si>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</si>
  <si>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</si>
  <si>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</si>
  <si>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</si>
  <si>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</si>
  <si>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</si>
  <si>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</si>
  <si>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</si>
  <si>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</si>
  <si>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</si>
  <si>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</si>
  <si>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State Cd</t>
  </si>
  <si>
    <t>State</t>
  </si>
  <si>
    <t>(Rs. In Crore)</t>
  </si>
  <si>
    <t>SETTLEMENT OF IGST WITH STATES/UTs</t>
  </si>
  <si>
    <t>Ladakh</t>
  </si>
  <si>
    <t>FINANCIAL YEAR 2020-2021</t>
  </si>
  <si>
    <t>Total</t>
  </si>
  <si>
    <t>Andaman and Nicobar Island</t>
  </si>
  <si>
    <t>Regular Settlement</t>
  </si>
  <si>
    <t>Adhoc Settlement</t>
  </si>
  <si>
    <t>All India</t>
  </si>
  <si>
    <t>Financial Year (2020-21)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</si>
</sst>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164" fontId="2" fillId="0" borderId="1" xfId="1" applyFont="1" applyBorder="1" applyAlignment="1">
      <alignment horizontal="right" vertical="center"/>
    </xf>
    <xf numFmtId="164" fontId="0" fillId="0" borderId="1" xfId="1" applyFont="1" applyBorder="1"/>
    <xf numFmtId="0" fontId="7" fillId="0" borderId="1" xfId="0" applyFont="1" applyBorder="1" applyAlignment="1">
      <alignment horizontal="right" vertical="center" wrapText="1"/>
    </xf>
    <xf numFmtId="0" fontId="4" fillId="0" borderId="1" xfId="0" applyFont="1" applyBorder="1"/>
    <xf numFmtId="0" fontId="1" fillId="0" borderId="0" xfId="0" applyFont="1" applyAlignment="1">
      <alignment horizontal="left"/>
    </xf>
    <xf numFmtId="17" fontId="5" fillId="2" borderId="1" xfId="0" applyNumberFormat="1" applyFont="1" applyFill="1" applyBorder="1" applyAlignment="1">
      <alignment horizontal="center" vertical="center" wrapText="1"/>
    </xf>
    <xf numFmtId="17" fontId="5" fillId="3" borderId="1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vertical="center"/>
    </xf>
    <xf numFmtId="164" fontId="2" fillId="2" borderId="1" xfId="1" applyFont="1" applyFill="1" applyBorder="1" applyAlignment="1">
      <alignment vertical="center"/>
    </xf>
    <xf numFmtId="164" fontId="2" fillId="0" borderId="1" xfId="1" applyFont="1" applyBorder="1" applyAlignment="1">
      <alignment vertical="center"/>
    </xf>
    <xf numFmtId="164" fontId="6" fillId="2" borderId="1" xfId="1" applyFont="1" applyFill="1" applyBorder="1" applyAlignment="1">
      <alignment vertical="center"/>
    </xf>
    <xf numFmtId="17" fontId="9" fillId="3" borderId="1" xfId="0" applyNumberFormat="1" applyFont="1" applyFill="1" applyBorder="1" applyAlignment="1">
      <alignment horizontal="center" vertical="center" wrapText="1"/>
    </xf>
    <xf numFmtId="17" fontId="9" fillId="3" borderId="2" xfId="0" applyNumberFormat="1" applyFont="1" applyFill="1" applyBorder="1" applyAlignment="1">
      <alignment horizontal="center" vertical="center" wrapText="1"/>
    </xf>
    <xf numFmtId="17" fontId="9" fillId="3" borderId="3" xfId="0" applyNumberFormat="1" applyFont="1" applyFill="1" applyBorder="1" applyAlignment="1">
      <alignment horizontal="center" vertical="center" wrapText="1"/>
    </xf>
    <xf numFmtId="17" fontId="9" fillId="3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workbookViewId="0">
      <selection activeCell="B14" sqref="B14"/>
    </sheetView>
  </sheetViews>
  <sheetFormatPr defaultColWidth="8.77734375" defaultRowHeight="14.4" x14ac:dyDescent="0.3"/>
  <cols>
    <col min="2" max="2" width="23.6640625" bestFit="1" customWidth="1"/>
    <col min="3" max="5" width="14.6640625" customWidth="1"/>
    <col min="6" max="6" width="16.109375" customWidth="1"/>
    <col min="7" max="7" width="11" customWidth="1"/>
    <col min="8" max="8" width="11.33203125" customWidth="1"/>
    <col min="9" max="9" width="11.44140625" customWidth="1"/>
    <col min="10" max="10" width="12" customWidth="1"/>
    <col min="11" max="11" width="11.6640625" customWidth="1"/>
    <col min="12" max="12" width="12.21875" bestFit="1" customWidth="1"/>
    <col min="13" max="13" width="11.44140625" customWidth="1"/>
    <col min="14" max="14" width="10.44140625" bestFit="1" customWidth="1"/>
    <col min="15" max="16" width="12.5546875" bestFit="1" customWidth="1"/>
    <col min="17" max="17" width="11.5546875" bestFit="1" customWidth="1"/>
    <col min="18" max="41" width="10.6640625" customWidth="1"/>
  </cols>
  <sheetData>
    <row r="1" spans="1:41" ht="22.95" customHeight="1" x14ac:dyDescent="0.35">
      <c r="A1" s="4" t="s">
        <v>39</v>
      </c>
      <c r="B1" s="4"/>
      <c r="C1" s="4"/>
      <c r="D1" s="4"/>
      <c r="E1" s="4"/>
      <c r="F1" s="4"/>
      <c r="I1" s="4"/>
      <c r="L1" s="4"/>
      <c r="O1" s="4"/>
      <c r="R1" s="4"/>
      <c r="U1" s="4"/>
      <c r="X1" s="4"/>
      <c r="AA1" s="4"/>
      <c r="AD1" s="4"/>
    </row>
    <row r="2" spans="1:41" ht="22.95" customHeight="1" x14ac:dyDescent="0.35">
      <c r="A2" s="1"/>
      <c r="B2" s="1"/>
      <c r="C2" s="1"/>
      <c r="D2" s="1"/>
      <c r="E2" s="1"/>
      <c r="F2" s="1"/>
      <c r="I2" s="1"/>
      <c r="L2" s="1"/>
      <c r="O2" s="1"/>
      <c r="R2" s="1"/>
      <c r="U2" s="1"/>
      <c r="X2" s="1"/>
      <c r="AA2" s="1"/>
      <c r="AD2" s="1"/>
    </row>
    <row r="3" spans="1:41" ht="22.95" customHeight="1" x14ac:dyDescent="0.35">
      <c r="A3" s="4" t="s">
        <v>41</v>
      </c>
      <c r="B3" s="4"/>
      <c r="C3" s="1" t="s">
        <v>38</v>
      </c>
      <c r="D3" s="9"/>
      <c r="E3" s="9"/>
      <c r="F3" s="1"/>
      <c r="I3" s="1"/>
      <c r="L3" s="1"/>
      <c r="O3" s="1"/>
      <c r="R3" s="1"/>
      <c r="U3" s="1"/>
      <c r="X3" s="1"/>
    </row>
    <row r="5" spans="1:41" ht="15.6" x14ac:dyDescent="0.3">
      <c r="C5" s="20" t="s">
        <v>47</v>
      </c>
      <c r="D5" s="21"/>
      <c r="E5" s="22"/>
      <c r="F5" s="17">
        <v>43922</v>
      </c>
      <c r="G5" s="18"/>
      <c r="H5" s="19"/>
      <c r="I5" s="17">
        <v>43952</v>
      </c>
      <c r="J5" s="18"/>
      <c r="K5" s="19"/>
      <c r="L5" s="17">
        <v>43983</v>
      </c>
      <c r="M5" s="18"/>
      <c r="N5" s="19"/>
      <c r="O5" s="16">
        <v>44013</v>
      </c>
      <c r="P5" s="16"/>
      <c r="Q5" s="16"/>
      <c r="R5" s="16">
        <v>44044</v>
      </c>
      <c r="S5" s="16"/>
      <c r="T5" s="16"/>
      <c r="U5" s="16">
        <v>44075</v>
      </c>
      <c r="V5" s="16"/>
      <c r="W5" s="16"/>
      <c r="X5" s="16">
        <v>44105</v>
      </c>
      <c r="Y5" s="16"/>
      <c r="Z5" s="16"/>
      <c r="AA5" s="16">
        <v>44136</v>
      </c>
      <c r="AB5" s="16"/>
      <c r="AC5" s="16"/>
      <c r="AD5" s="16">
        <v>44166</v>
      </c>
      <c r="AE5" s="16"/>
      <c r="AF5" s="16"/>
      <c r="AG5" s="16">
        <v>44197</v>
      </c>
      <c r="AH5" s="16"/>
      <c r="AI5" s="16"/>
      <c r="AJ5" s="16">
        <v>44228</v>
      </c>
      <c r="AK5" s="16"/>
      <c r="AL5" s="16"/>
      <c r="AM5" s="16">
        <v>44256</v>
      </c>
      <c r="AN5" s="16"/>
      <c r="AO5" s="16"/>
    </row>
    <row r="6" spans="1:41" ht="28.8" x14ac:dyDescent="0.3">
      <c r="A6" s="10" t="s">
        <v>36</v>
      </c>
      <c r="B6" s="10" t="s">
        <v>37</v>
      </c>
      <c r="C6" s="10" t="s">
        <v>44</v>
      </c>
      <c r="D6" s="10" t="s">
        <v>45</v>
      </c>
      <c r="E6" s="10" t="s">
        <v>42</v>
      </c>
      <c r="F6" s="11" t="s">
        <v>44</v>
      </c>
      <c r="G6" s="11" t="s">
        <v>45</v>
      </c>
      <c r="H6" s="11" t="s">
        <v>42</v>
      </c>
      <c r="I6" s="11" t="s">
        <v>44</v>
      </c>
      <c r="J6" s="11" t="s">
        <v>45</v>
      </c>
      <c r="K6" s="11" t="s">
        <v>42</v>
      </c>
      <c r="L6" s="11" t="s">
        <v>44</v>
      </c>
      <c r="M6" s="11" t="s">
        <v>45</v>
      </c>
      <c r="N6" s="11" t="s">
        <v>42</v>
      </c>
      <c r="O6" s="11" t="s">
        <v>44</v>
      </c>
      <c r="P6" s="11" t="s">
        <v>45</v>
      </c>
      <c r="Q6" s="11" t="s">
        <v>42</v>
      </c>
      <c r="R6" s="11" t="s">
        <v>44</v>
      </c>
      <c r="S6" s="11" t="s">
        <v>45</v>
      </c>
      <c r="T6" s="11" t="s">
        <v>42</v>
      </c>
      <c r="U6" s="11" t="s">
        <v>44</v>
      </c>
      <c r="V6" s="11" t="s">
        <v>45</v>
      </c>
      <c r="W6" s="11" t="s">
        <v>42</v>
      </c>
      <c r="X6" s="11" t="s">
        <v>44</v>
      </c>
      <c r="Y6" s="11" t="s">
        <v>45</v>
      </c>
      <c r="Z6" s="11" t="s">
        <v>42</v>
      </c>
      <c r="AA6" s="11" t="s">
        <v>44</v>
      </c>
      <c r="AB6" s="11" t="s">
        <v>45</v>
      </c>
      <c r="AC6" s="11" t="s">
        <v>42</v>
      </c>
      <c r="AD6" s="11" t="s">
        <v>44</v>
      </c>
      <c r="AE6" s="11" t="s">
        <v>45</v>
      </c>
      <c r="AF6" s="11" t="s">
        <v>42</v>
      </c>
      <c r="AG6" s="11" t="s">
        <v>44</v>
      </c>
      <c r="AH6" s="11" t="s">
        <v>45</v>
      </c>
      <c r="AI6" s="11" t="s">
        <v>42</v>
      </c>
      <c r="AJ6" s="11" t="s">
        <v>44</v>
      </c>
      <c r="AK6" s="11" t="s">
        <v>45</v>
      </c>
      <c r="AL6" s="11" t="s">
        <v>42</v>
      </c>
      <c r="AM6" s="11" t="s">
        <v>44</v>
      </c>
      <c r="AN6" s="11" t="s">
        <v>45</v>
      </c>
      <c r="AO6" s="11" t="s">
        <v>42</v>
      </c>
    </row>
    <row r="7" spans="1:41" x14ac:dyDescent="0.3">
      <c r="A7" s="7">
        <v>1</v>
      </c>
      <c r="B7" s="3" t="s">
        <v>0</v>
      </c>
      <c r="C7" s="13">
        <f>F7+I7+L7+O7+R7+U7+X7+AA7+AD7+AG7+AJ7+AM7</f>
        <v>2886.5436835989995</v>
      </c>
      <c r="D7" s="13">
        <f t="shared" ref="D7:E22" si="0">G7+J7+M7+P7+S7+V7+Y7+AB7+AE7+AH7+AK7+AN7</f>
        <v>452.24290740310738</v>
      </c>
      <c r="E7" s="13">
        <f t="shared" si="0"/>
        <v>3338.7865910021073</v>
      </c>
      <c r="F7" s="14">
        <v>32.69</v>
      </c>
      <c r="G7" s="6">
        <v>0</v>
      </c>
      <c r="H7" s="6">
        <f>F7+G7</f>
        <v>32.69</v>
      </c>
      <c r="I7" s="5">
        <v>101.31</v>
      </c>
      <c r="J7" s="6">
        <v>0</v>
      </c>
      <c r="K7" s="6">
        <f>I7+J7</f>
        <v>101.31</v>
      </c>
      <c r="L7" s="5">
        <v>144</v>
      </c>
      <c r="M7" s="6">
        <v>0</v>
      </c>
      <c r="N7" s="6">
        <f>L7+M7</f>
        <v>144</v>
      </c>
      <c r="O7" s="6">
        <v>277.35447184099996</v>
      </c>
      <c r="P7" s="6">
        <v>0</v>
      </c>
      <c r="Q7" s="6">
        <f>O7+P7</f>
        <v>277.35447184099996</v>
      </c>
      <c r="R7" s="6">
        <v>238.84434600900002</v>
      </c>
      <c r="S7" s="6">
        <v>0</v>
      </c>
      <c r="T7" s="6">
        <f>R7+S7</f>
        <v>238.84434600900002</v>
      </c>
      <c r="U7" s="6">
        <v>293.84522527299998</v>
      </c>
      <c r="V7" s="6">
        <v>0</v>
      </c>
      <c r="W7" s="6">
        <f>U7+V7</f>
        <v>293.84522527299998</v>
      </c>
      <c r="X7" s="6">
        <v>401.258447338</v>
      </c>
      <c r="Y7" s="6">
        <v>0</v>
      </c>
      <c r="Z7" s="6">
        <f>X7+Y7</f>
        <v>401.258447338</v>
      </c>
      <c r="AA7" s="6">
        <v>299.749336191</v>
      </c>
      <c r="AB7" s="6">
        <v>0</v>
      </c>
      <c r="AC7" s="6">
        <f>AA7+AB7</f>
        <v>299.749336191</v>
      </c>
      <c r="AD7" s="6">
        <v>311.41179474500001</v>
      </c>
      <c r="AE7" s="6">
        <v>0</v>
      </c>
      <c r="AF7" s="6">
        <f>AD7+AE7</f>
        <v>311.41179474500001</v>
      </c>
      <c r="AG7" s="6">
        <v>290.92399199999994</v>
      </c>
      <c r="AH7" s="6">
        <v>0</v>
      </c>
      <c r="AI7" s="6">
        <f>AG7+AH7</f>
        <v>290.92399199999994</v>
      </c>
      <c r="AJ7" s="6">
        <v>243.66949554200002</v>
      </c>
      <c r="AK7" s="6">
        <v>285.62703380310739</v>
      </c>
      <c r="AL7" s="6">
        <f>AJ7+AK7</f>
        <v>529.29652934510739</v>
      </c>
      <c r="AM7" s="6">
        <v>251.48657466000003</v>
      </c>
      <c r="AN7" s="6">
        <v>166.61587359999999</v>
      </c>
      <c r="AO7" s="6">
        <f>AM7+AN7</f>
        <v>418.10244826000002</v>
      </c>
    </row>
    <row r="8" spans="1:41" x14ac:dyDescent="0.3">
      <c r="A8" s="7">
        <v>2</v>
      </c>
      <c r="B8" s="3" t="s">
        <v>1</v>
      </c>
      <c r="C8" s="13">
        <f t="shared" ref="C8:E44" si="1">F8+I8+L8+O8+R8+U8+X8+AA8+AD8+AG8+AJ8+AM8</f>
        <v>1639.5321176019997</v>
      </c>
      <c r="D8" s="13">
        <f t="shared" si="0"/>
        <v>344.82238467248118</v>
      </c>
      <c r="E8" s="13">
        <f t="shared" si="0"/>
        <v>1984.3545022744809</v>
      </c>
      <c r="F8" s="14">
        <v>13.61</v>
      </c>
      <c r="G8" s="6">
        <v>0</v>
      </c>
      <c r="H8" s="6">
        <f t="shared" ref="H8:H44" si="2">F8+G8</f>
        <v>13.61</v>
      </c>
      <c r="I8" s="5">
        <v>45.92</v>
      </c>
      <c r="J8" s="6">
        <v>0</v>
      </c>
      <c r="K8" s="6">
        <f t="shared" ref="K8:K44" si="3">I8+J8</f>
        <v>45.92</v>
      </c>
      <c r="L8" s="5">
        <v>79.400000000000006</v>
      </c>
      <c r="M8" s="6">
        <v>0</v>
      </c>
      <c r="N8" s="6">
        <f t="shared" ref="N8:N44" si="4">L8+M8</f>
        <v>79.400000000000006</v>
      </c>
      <c r="O8" s="6">
        <v>166.38835092799997</v>
      </c>
      <c r="P8" s="6">
        <v>0</v>
      </c>
      <c r="Q8" s="6">
        <f t="shared" ref="Q8:Q44" si="5">O8+P8</f>
        <v>166.38835092799997</v>
      </c>
      <c r="R8" s="6">
        <v>157.44741871600002</v>
      </c>
      <c r="S8" s="6">
        <v>0</v>
      </c>
      <c r="T8" s="6">
        <f t="shared" ref="T8:T44" si="6">R8+S8</f>
        <v>157.44741871600002</v>
      </c>
      <c r="U8" s="6">
        <v>167.951812362</v>
      </c>
      <c r="V8" s="6">
        <v>0</v>
      </c>
      <c r="W8" s="6">
        <f t="shared" ref="W8:W44" si="7">U8+V8</f>
        <v>167.951812362</v>
      </c>
      <c r="X8" s="6">
        <v>207.21314736299996</v>
      </c>
      <c r="Y8" s="6">
        <v>0</v>
      </c>
      <c r="Z8" s="6">
        <f t="shared" ref="Z8:Z44" si="8">X8+Y8</f>
        <v>207.21314736299996</v>
      </c>
      <c r="AA8" s="6">
        <v>167.548641753</v>
      </c>
      <c r="AB8" s="6">
        <v>0</v>
      </c>
      <c r="AC8" s="6">
        <f t="shared" ref="AC8:AC44" si="9">AA8+AB8</f>
        <v>167.548641753</v>
      </c>
      <c r="AD8" s="6">
        <v>198.76010249199999</v>
      </c>
      <c r="AE8" s="6">
        <v>0</v>
      </c>
      <c r="AF8" s="6">
        <f t="shared" ref="AF8:AF44" si="10">AD8+AE8</f>
        <v>198.76010249199999</v>
      </c>
      <c r="AG8" s="6">
        <v>183.70271814299997</v>
      </c>
      <c r="AH8" s="6">
        <v>0</v>
      </c>
      <c r="AI8" s="6">
        <f t="shared" ref="AI8:AI44" si="11">AG8+AH8</f>
        <v>183.70271814299997</v>
      </c>
      <c r="AJ8" s="6">
        <v>130.65989434099998</v>
      </c>
      <c r="AK8" s="6">
        <v>217.78617807248116</v>
      </c>
      <c r="AL8" s="6">
        <f t="shared" ref="AL8:AL44" si="12">AJ8+AK8</f>
        <v>348.44607241348115</v>
      </c>
      <c r="AM8" s="6">
        <v>120.930031504</v>
      </c>
      <c r="AN8" s="6">
        <v>127.0362066</v>
      </c>
      <c r="AO8" s="6">
        <f t="shared" ref="AO8:AO44" si="13">AM8+AN8</f>
        <v>247.96623810400001</v>
      </c>
    </row>
    <row r="9" spans="1:41" x14ac:dyDescent="0.3">
      <c r="A9" s="7">
        <v>3</v>
      </c>
      <c r="B9" s="3" t="s">
        <v>2</v>
      </c>
      <c r="C9" s="13">
        <f t="shared" si="1"/>
        <v>5721.5910801950004</v>
      </c>
      <c r="D9" s="13">
        <f t="shared" si="0"/>
        <v>1420.8875966283467</v>
      </c>
      <c r="E9" s="13">
        <f t="shared" si="0"/>
        <v>7142.4786768233471</v>
      </c>
      <c r="F9" s="14">
        <v>54.34</v>
      </c>
      <c r="G9" s="6">
        <v>0</v>
      </c>
      <c r="H9" s="6">
        <f t="shared" si="2"/>
        <v>54.34</v>
      </c>
      <c r="I9" s="5">
        <v>273.36</v>
      </c>
      <c r="J9" s="6">
        <v>0</v>
      </c>
      <c r="K9" s="6">
        <f t="shared" si="3"/>
        <v>273.36</v>
      </c>
      <c r="L9" s="5">
        <v>361.6</v>
      </c>
      <c r="M9" s="6">
        <v>0</v>
      </c>
      <c r="N9" s="6">
        <f t="shared" si="4"/>
        <v>361.6</v>
      </c>
      <c r="O9" s="6">
        <v>613.74669119199996</v>
      </c>
      <c r="P9" s="6">
        <v>0</v>
      </c>
      <c r="Q9" s="6">
        <f t="shared" si="5"/>
        <v>613.74669119199996</v>
      </c>
      <c r="R9" s="6">
        <v>530.11724420899998</v>
      </c>
      <c r="S9" s="6">
        <v>0</v>
      </c>
      <c r="T9" s="6">
        <f t="shared" si="6"/>
        <v>530.11724420899998</v>
      </c>
      <c r="U9" s="6">
        <v>571.5073008920001</v>
      </c>
      <c r="V9" s="6">
        <v>0</v>
      </c>
      <c r="W9" s="6">
        <f t="shared" si="7"/>
        <v>571.5073008920001</v>
      </c>
      <c r="X9" s="6">
        <v>522.76281341100002</v>
      </c>
      <c r="Y9" s="6">
        <v>0</v>
      </c>
      <c r="Z9" s="6">
        <f t="shared" si="8"/>
        <v>522.76281341100002</v>
      </c>
      <c r="AA9" s="6">
        <v>518.96021699699997</v>
      </c>
      <c r="AB9" s="6">
        <v>0</v>
      </c>
      <c r="AC9" s="6">
        <f t="shared" si="9"/>
        <v>518.96021699699997</v>
      </c>
      <c r="AD9" s="6">
        <v>535.52931807399989</v>
      </c>
      <c r="AE9" s="6">
        <v>0</v>
      </c>
      <c r="AF9" s="6">
        <f t="shared" si="10"/>
        <v>535.52931807399989</v>
      </c>
      <c r="AG9" s="6">
        <v>619.657995701</v>
      </c>
      <c r="AH9" s="6">
        <v>0</v>
      </c>
      <c r="AI9" s="6">
        <f t="shared" si="11"/>
        <v>619.657995701</v>
      </c>
      <c r="AJ9" s="6">
        <v>543.02768240299997</v>
      </c>
      <c r="AK9" s="6">
        <v>897.40111042834678</v>
      </c>
      <c r="AL9" s="6">
        <f t="shared" si="12"/>
        <v>1440.4287928313468</v>
      </c>
      <c r="AM9" s="6">
        <v>576.98181731599993</v>
      </c>
      <c r="AN9" s="6">
        <v>523.48648619999994</v>
      </c>
      <c r="AO9" s="6">
        <f t="shared" si="13"/>
        <v>1100.4683035159999</v>
      </c>
    </row>
    <row r="10" spans="1:41" x14ac:dyDescent="0.3">
      <c r="A10" s="7">
        <v>4</v>
      </c>
      <c r="B10" s="3" t="s">
        <v>3</v>
      </c>
      <c r="C10" s="13">
        <f t="shared" si="1"/>
        <v>683.48147640599996</v>
      </c>
      <c r="D10" s="13">
        <f t="shared" si="0"/>
        <v>107.74055121222506</v>
      </c>
      <c r="E10" s="13">
        <f t="shared" si="0"/>
        <v>791.22202761822496</v>
      </c>
      <c r="F10" s="14">
        <v>4.58</v>
      </c>
      <c r="G10" s="6">
        <v>0</v>
      </c>
      <c r="H10" s="6">
        <f t="shared" si="2"/>
        <v>4.58</v>
      </c>
      <c r="I10" s="5">
        <v>21.47</v>
      </c>
      <c r="J10" s="6">
        <v>0</v>
      </c>
      <c r="K10" s="6">
        <f t="shared" si="3"/>
        <v>21.47</v>
      </c>
      <c r="L10" s="5">
        <v>36.1</v>
      </c>
      <c r="M10" s="6">
        <v>0</v>
      </c>
      <c r="N10" s="6">
        <f t="shared" si="4"/>
        <v>36.1</v>
      </c>
      <c r="O10" s="6">
        <v>71.377330647999997</v>
      </c>
      <c r="P10" s="6">
        <v>0</v>
      </c>
      <c r="Q10" s="6">
        <f t="shared" si="5"/>
        <v>71.377330647999997</v>
      </c>
      <c r="R10" s="6">
        <v>57.835811699999987</v>
      </c>
      <c r="S10" s="6">
        <v>0</v>
      </c>
      <c r="T10" s="6">
        <f t="shared" si="6"/>
        <v>57.835811699999987</v>
      </c>
      <c r="U10" s="6">
        <v>68.856405416000015</v>
      </c>
      <c r="V10" s="6">
        <v>0</v>
      </c>
      <c r="W10" s="6">
        <f t="shared" si="7"/>
        <v>68.856405416000015</v>
      </c>
      <c r="X10" s="6">
        <v>57.150960259999991</v>
      </c>
      <c r="Y10" s="6">
        <v>0</v>
      </c>
      <c r="Z10" s="6">
        <f t="shared" si="8"/>
        <v>57.150960259999991</v>
      </c>
      <c r="AA10" s="6">
        <v>70.302112539999996</v>
      </c>
      <c r="AB10" s="6">
        <v>0</v>
      </c>
      <c r="AC10" s="6">
        <f t="shared" si="9"/>
        <v>70.302112539999996</v>
      </c>
      <c r="AD10" s="6">
        <v>81.943633644000002</v>
      </c>
      <c r="AE10" s="6">
        <v>0</v>
      </c>
      <c r="AF10" s="6">
        <f t="shared" si="10"/>
        <v>81.943633644000002</v>
      </c>
      <c r="AG10" s="6">
        <v>72.728780466000003</v>
      </c>
      <c r="AH10" s="6">
        <v>0</v>
      </c>
      <c r="AI10" s="6">
        <f t="shared" si="11"/>
        <v>72.728780466000003</v>
      </c>
      <c r="AJ10" s="6">
        <v>67.981865327999998</v>
      </c>
      <c r="AK10" s="6">
        <v>68.051949312225062</v>
      </c>
      <c r="AL10" s="6">
        <f t="shared" si="12"/>
        <v>136.03381464022505</v>
      </c>
      <c r="AM10" s="6">
        <v>73.154576403999997</v>
      </c>
      <c r="AN10" s="6">
        <v>39.688601900000002</v>
      </c>
      <c r="AO10" s="6">
        <f t="shared" si="13"/>
        <v>112.84317830399999</v>
      </c>
    </row>
    <row r="11" spans="1:41" x14ac:dyDescent="0.3">
      <c r="A11" s="7">
        <v>5</v>
      </c>
      <c r="B11" s="3" t="s">
        <v>4</v>
      </c>
      <c r="C11" s="13">
        <f t="shared" si="1"/>
        <v>1014.4932719390001</v>
      </c>
      <c r="D11" s="13">
        <f t="shared" si="0"/>
        <v>470.72478908897358</v>
      </c>
      <c r="E11" s="13">
        <f t="shared" si="0"/>
        <v>1485.2180610279736</v>
      </c>
      <c r="F11" s="14">
        <v>25.81</v>
      </c>
      <c r="G11" s="6">
        <v>0</v>
      </c>
      <c r="H11" s="6">
        <f t="shared" si="2"/>
        <v>25.81</v>
      </c>
      <c r="I11" s="5">
        <v>30.83</v>
      </c>
      <c r="J11" s="6">
        <v>0</v>
      </c>
      <c r="K11" s="6">
        <f t="shared" si="3"/>
        <v>30.83</v>
      </c>
      <c r="L11" s="5">
        <v>111.4</v>
      </c>
      <c r="M11" s="6">
        <v>0</v>
      </c>
      <c r="N11" s="6">
        <f t="shared" si="4"/>
        <v>111.4</v>
      </c>
      <c r="O11" s="6">
        <v>63.660089458999991</v>
      </c>
      <c r="P11" s="6">
        <v>0</v>
      </c>
      <c r="Q11" s="6">
        <f t="shared" si="5"/>
        <v>63.660089458999991</v>
      </c>
      <c r="R11" s="6">
        <v>92.259545590999991</v>
      </c>
      <c r="S11" s="6">
        <v>0</v>
      </c>
      <c r="T11" s="6">
        <f t="shared" si="6"/>
        <v>92.259545590999991</v>
      </c>
      <c r="U11" s="6">
        <v>113.71873341899996</v>
      </c>
      <c r="V11" s="6">
        <v>0</v>
      </c>
      <c r="W11" s="6">
        <f t="shared" si="7"/>
        <v>113.71873341899996</v>
      </c>
      <c r="X11" s="6">
        <v>59.448193726999975</v>
      </c>
      <c r="Y11" s="6">
        <v>0</v>
      </c>
      <c r="Z11" s="6">
        <f t="shared" si="8"/>
        <v>59.448193726999975</v>
      </c>
      <c r="AA11" s="6">
        <v>85.018922688000004</v>
      </c>
      <c r="AB11" s="6">
        <v>0</v>
      </c>
      <c r="AC11" s="6">
        <f t="shared" si="9"/>
        <v>85.018922688000004</v>
      </c>
      <c r="AD11" s="6">
        <v>120.20049631200001</v>
      </c>
      <c r="AE11" s="6">
        <v>0</v>
      </c>
      <c r="AF11" s="6">
        <f t="shared" si="10"/>
        <v>120.20049631200001</v>
      </c>
      <c r="AG11" s="6">
        <v>110.35526823899998</v>
      </c>
      <c r="AH11" s="6">
        <v>0</v>
      </c>
      <c r="AI11" s="6">
        <f t="shared" si="11"/>
        <v>110.35526823899998</v>
      </c>
      <c r="AJ11" s="6">
        <v>118.97351936199999</v>
      </c>
      <c r="AK11" s="6">
        <v>297.30048648897355</v>
      </c>
      <c r="AL11" s="6">
        <f t="shared" si="12"/>
        <v>416.27400585097354</v>
      </c>
      <c r="AM11" s="6">
        <v>82.818503142000012</v>
      </c>
      <c r="AN11" s="6">
        <v>173.4243026</v>
      </c>
      <c r="AO11" s="6">
        <f t="shared" si="13"/>
        <v>256.24280574200003</v>
      </c>
    </row>
    <row r="12" spans="1:41" x14ac:dyDescent="0.3">
      <c r="A12" s="7">
        <v>6</v>
      </c>
      <c r="B12" s="3" t="s">
        <v>5</v>
      </c>
      <c r="C12" s="13">
        <f t="shared" si="1"/>
        <v>6117.1206280810002</v>
      </c>
      <c r="D12" s="13">
        <f t="shared" si="0"/>
        <v>1445.1483148821283</v>
      </c>
      <c r="E12" s="13">
        <f t="shared" si="0"/>
        <v>7562.2689429631282</v>
      </c>
      <c r="F12" s="14">
        <v>-15.77</v>
      </c>
      <c r="G12" s="6">
        <v>0</v>
      </c>
      <c r="H12" s="6">
        <f t="shared" si="2"/>
        <v>-15.77</v>
      </c>
      <c r="I12" s="5">
        <v>345.25</v>
      </c>
      <c r="J12" s="6">
        <v>0</v>
      </c>
      <c r="K12" s="6">
        <f t="shared" si="3"/>
        <v>345.25</v>
      </c>
      <c r="L12" s="5">
        <v>521.70000000000005</v>
      </c>
      <c r="M12" s="6">
        <v>0</v>
      </c>
      <c r="N12" s="6">
        <f t="shared" si="4"/>
        <v>521.70000000000005</v>
      </c>
      <c r="O12" s="6">
        <v>667.01131479599997</v>
      </c>
      <c r="P12" s="6">
        <v>0</v>
      </c>
      <c r="Q12" s="6">
        <f t="shared" si="5"/>
        <v>667.01131479599997</v>
      </c>
      <c r="R12" s="6">
        <v>513.17424741100001</v>
      </c>
      <c r="S12" s="6">
        <v>0</v>
      </c>
      <c r="T12" s="6">
        <f t="shared" si="6"/>
        <v>513.17424741100001</v>
      </c>
      <c r="U12" s="6">
        <v>535.0361551530001</v>
      </c>
      <c r="V12" s="6">
        <v>0</v>
      </c>
      <c r="W12" s="6">
        <f t="shared" si="7"/>
        <v>535.0361551530001</v>
      </c>
      <c r="X12" s="6">
        <v>1368.2192268039998</v>
      </c>
      <c r="Y12" s="6">
        <v>0</v>
      </c>
      <c r="Z12" s="6">
        <f t="shared" si="8"/>
        <v>1368.2192268039998</v>
      </c>
      <c r="AA12" s="6">
        <v>277.04667845900002</v>
      </c>
      <c r="AB12" s="6">
        <v>0</v>
      </c>
      <c r="AC12" s="6">
        <f t="shared" si="9"/>
        <v>277.04667845900002</v>
      </c>
      <c r="AD12" s="6">
        <v>472.20712789999999</v>
      </c>
      <c r="AE12" s="6">
        <v>0</v>
      </c>
      <c r="AF12" s="6">
        <f t="shared" si="10"/>
        <v>472.20712789999999</v>
      </c>
      <c r="AG12" s="6">
        <v>640.13775196400002</v>
      </c>
      <c r="AH12" s="6">
        <v>0</v>
      </c>
      <c r="AI12" s="6">
        <f t="shared" si="11"/>
        <v>640.13775196400002</v>
      </c>
      <c r="AJ12" s="6">
        <v>394.00067487700011</v>
      </c>
      <c r="AK12" s="6">
        <v>912.7291698821283</v>
      </c>
      <c r="AL12" s="6">
        <f t="shared" si="12"/>
        <v>1306.7298447591284</v>
      </c>
      <c r="AM12" s="6">
        <v>399.10745071700001</v>
      </c>
      <c r="AN12" s="6">
        <v>532.41914499999996</v>
      </c>
      <c r="AO12" s="6">
        <f t="shared" si="13"/>
        <v>931.52659571699996</v>
      </c>
    </row>
    <row r="13" spans="1:41" x14ac:dyDescent="0.3">
      <c r="A13" s="7">
        <v>7</v>
      </c>
      <c r="B13" s="3" t="s">
        <v>6</v>
      </c>
      <c r="C13" s="13">
        <f t="shared" si="1"/>
        <v>6079.985625405001</v>
      </c>
      <c r="D13" s="13">
        <f t="shared" si="0"/>
        <v>1592.5742687162096</v>
      </c>
      <c r="E13" s="13">
        <f t="shared" si="0"/>
        <v>7672.5598941212102</v>
      </c>
      <c r="F13" s="14">
        <v>80.069999999999993</v>
      </c>
      <c r="G13" s="6">
        <v>0</v>
      </c>
      <c r="H13" s="6">
        <f t="shared" si="2"/>
        <v>80.069999999999993</v>
      </c>
      <c r="I13" s="5">
        <v>585.58000000000004</v>
      </c>
      <c r="J13" s="6">
        <v>0</v>
      </c>
      <c r="K13" s="6">
        <f t="shared" si="3"/>
        <v>585.58000000000004</v>
      </c>
      <c r="L13" s="5">
        <v>329</v>
      </c>
      <c r="M13" s="6">
        <v>0</v>
      </c>
      <c r="N13" s="6">
        <f t="shared" si="4"/>
        <v>329</v>
      </c>
      <c r="O13" s="6">
        <v>685.13466800399988</v>
      </c>
      <c r="P13" s="6">
        <v>0</v>
      </c>
      <c r="Q13" s="6">
        <f t="shared" si="5"/>
        <v>685.13466800399988</v>
      </c>
      <c r="R13" s="6">
        <v>528.08214877800003</v>
      </c>
      <c r="S13" s="6">
        <v>0</v>
      </c>
      <c r="T13" s="6">
        <f t="shared" si="6"/>
        <v>528.08214877800003</v>
      </c>
      <c r="U13" s="6">
        <v>481.72834280300009</v>
      </c>
      <c r="V13" s="6">
        <v>0</v>
      </c>
      <c r="W13" s="6">
        <f t="shared" si="7"/>
        <v>481.72834280300009</v>
      </c>
      <c r="X13" s="6">
        <v>613.02595326500011</v>
      </c>
      <c r="Y13" s="6">
        <v>0</v>
      </c>
      <c r="Z13" s="6">
        <f t="shared" si="8"/>
        <v>613.02595326500011</v>
      </c>
      <c r="AA13" s="6">
        <v>444.10221712899988</v>
      </c>
      <c r="AB13" s="6">
        <v>0</v>
      </c>
      <c r="AC13" s="6">
        <f t="shared" si="9"/>
        <v>444.10221712899988</v>
      </c>
      <c r="AD13" s="6">
        <v>412.10795054000005</v>
      </c>
      <c r="AE13" s="6">
        <v>0</v>
      </c>
      <c r="AF13" s="6">
        <f t="shared" si="10"/>
        <v>412.10795054000005</v>
      </c>
      <c r="AG13" s="6">
        <v>562.66537951899988</v>
      </c>
      <c r="AH13" s="6">
        <v>0</v>
      </c>
      <c r="AI13" s="6">
        <f t="shared" si="11"/>
        <v>562.66537951899988</v>
      </c>
      <c r="AJ13" s="6">
        <v>606.23762724800019</v>
      </c>
      <c r="AK13" s="6">
        <v>1005.8329384162096</v>
      </c>
      <c r="AL13" s="6">
        <f t="shared" si="12"/>
        <v>1612.0705656642099</v>
      </c>
      <c r="AM13" s="6">
        <v>752.25133811900014</v>
      </c>
      <c r="AN13" s="6">
        <v>586.74133029999996</v>
      </c>
      <c r="AO13" s="6">
        <f t="shared" si="13"/>
        <v>1338.992668419</v>
      </c>
    </row>
    <row r="14" spans="1:41" x14ac:dyDescent="0.3">
      <c r="A14" s="7">
        <v>8</v>
      </c>
      <c r="B14" s="3" t="s">
        <v>7</v>
      </c>
      <c r="C14" s="13">
        <f t="shared" si="1"/>
        <v>8907.5046599849993</v>
      </c>
      <c r="D14" s="13">
        <f t="shared" si="0"/>
        <v>1628.0708355911866</v>
      </c>
      <c r="E14" s="13">
        <f t="shared" si="0"/>
        <v>10535.575495576186</v>
      </c>
      <c r="F14" s="14">
        <v>113.55</v>
      </c>
      <c r="G14" s="6">
        <v>0</v>
      </c>
      <c r="H14" s="6">
        <f t="shared" si="2"/>
        <v>113.55</v>
      </c>
      <c r="I14" s="5">
        <v>332.77</v>
      </c>
      <c r="J14" s="6">
        <v>0</v>
      </c>
      <c r="K14" s="6">
        <f t="shared" si="3"/>
        <v>332.77</v>
      </c>
      <c r="L14" s="5">
        <v>539</v>
      </c>
      <c r="M14" s="6">
        <v>0</v>
      </c>
      <c r="N14" s="6">
        <f t="shared" si="4"/>
        <v>539</v>
      </c>
      <c r="O14" s="6">
        <v>905.98895200700019</v>
      </c>
      <c r="P14" s="6">
        <v>0</v>
      </c>
      <c r="Q14" s="6">
        <f t="shared" si="5"/>
        <v>905.98895200700019</v>
      </c>
      <c r="R14" s="6">
        <v>852.96620921499994</v>
      </c>
      <c r="S14" s="6">
        <v>0</v>
      </c>
      <c r="T14" s="6">
        <f t="shared" si="6"/>
        <v>852.96620921499994</v>
      </c>
      <c r="U14" s="6">
        <v>861.22841316799997</v>
      </c>
      <c r="V14" s="6">
        <v>0</v>
      </c>
      <c r="W14" s="6">
        <f t="shared" si="7"/>
        <v>861.22841316799997</v>
      </c>
      <c r="X14" s="6">
        <v>885.89021649999995</v>
      </c>
      <c r="Y14" s="6">
        <v>0</v>
      </c>
      <c r="Z14" s="6">
        <f t="shared" si="8"/>
        <v>885.89021649999995</v>
      </c>
      <c r="AA14" s="6">
        <v>874.65170093799986</v>
      </c>
      <c r="AB14" s="6">
        <v>0</v>
      </c>
      <c r="AC14" s="6">
        <f t="shared" si="9"/>
        <v>874.65170093799986</v>
      </c>
      <c r="AD14" s="6">
        <v>918.81154105200005</v>
      </c>
      <c r="AE14" s="6">
        <v>0</v>
      </c>
      <c r="AF14" s="6">
        <f t="shared" si="10"/>
        <v>918.81154105200005</v>
      </c>
      <c r="AG14" s="6">
        <v>939.32331172400018</v>
      </c>
      <c r="AH14" s="6">
        <v>0</v>
      </c>
      <c r="AI14" s="6">
        <f t="shared" si="11"/>
        <v>939.32331172400018</v>
      </c>
      <c r="AJ14" s="6">
        <v>861.5084948199999</v>
      </c>
      <c r="AK14" s="6">
        <v>1028.2573216911865</v>
      </c>
      <c r="AL14" s="6">
        <f t="shared" si="12"/>
        <v>1889.7658165111864</v>
      </c>
      <c r="AM14" s="6">
        <v>821.81582056100001</v>
      </c>
      <c r="AN14" s="6">
        <v>599.81351389999998</v>
      </c>
      <c r="AO14" s="6">
        <f t="shared" si="13"/>
        <v>1421.6293344609999</v>
      </c>
    </row>
    <row r="15" spans="1:41" x14ac:dyDescent="0.3">
      <c r="A15" s="7">
        <v>9</v>
      </c>
      <c r="B15" s="3" t="s">
        <v>8</v>
      </c>
      <c r="C15" s="13">
        <f t="shared" si="1"/>
        <v>21580.321871978002</v>
      </c>
      <c r="D15" s="13">
        <f t="shared" si="0"/>
        <v>3168.0084215050965</v>
      </c>
      <c r="E15" s="13">
        <f t="shared" si="0"/>
        <v>24748.330293483097</v>
      </c>
      <c r="F15" s="14">
        <v>318.24</v>
      </c>
      <c r="G15" s="6">
        <v>0</v>
      </c>
      <c r="H15" s="6">
        <f t="shared" si="2"/>
        <v>318.24</v>
      </c>
      <c r="I15" s="5">
        <v>990.99</v>
      </c>
      <c r="J15" s="6">
        <v>0</v>
      </c>
      <c r="K15" s="6">
        <f t="shared" si="3"/>
        <v>990.99</v>
      </c>
      <c r="L15" s="5">
        <v>1218.2</v>
      </c>
      <c r="M15" s="6">
        <v>0</v>
      </c>
      <c r="N15" s="6">
        <f t="shared" si="4"/>
        <v>1218.2</v>
      </c>
      <c r="O15" s="6">
        <v>2320.8611700639999</v>
      </c>
      <c r="P15" s="6">
        <v>0</v>
      </c>
      <c r="Q15" s="6">
        <f t="shared" si="5"/>
        <v>2320.8611700639999</v>
      </c>
      <c r="R15" s="6">
        <v>1838.2223290640004</v>
      </c>
      <c r="S15" s="6">
        <v>0</v>
      </c>
      <c r="T15" s="6">
        <f t="shared" si="6"/>
        <v>1838.2223290640004</v>
      </c>
      <c r="U15" s="6">
        <v>1984.441285436</v>
      </c>
      <c r="V15" s="6">
        <v>0</v>
      </c>
      <c r="W15" s="6">
        <f t="shared" si="7"/>
        <v>1984.441285436</v>
      </c>
      <c r="X15" s="6">
        <v>2018.45897393</v>
      </c>
      <c r="Y15" s="6">
        <v>0</v>
      </c>
      <c r="Z15" s="6">
        <f t="shared" si="8"/>
        <v>2018.45897393</v>
      </c>
      <c r="AA15" s="6">
        <v>1940.0652907609997</v>
      </c>
      <c r="AB15" s="6">
        <v>0</v>
      </c>
      <c r="AC15" s="6">
        <f t="shared" si="9"/>
        <v>1940.0652907609997</v>
      </c>
      <c r="AD15" s="6">
        <v>2357.2625492749994</v>
      </c>
      <c r="AE15" s="6">
        <v>0</v>
      </c>
      <c r="AF15" s="6">
        <f t="shared" si="10"/>
        <v>2357.2625492749994</v>
      </c>
      <c r="AG15" s="6">
        <v>2365.8273577370001</v>
      </c>
      <c r="AH15" s="6">
        <v>0</v>
      </c>
      <c r="AI15" s="6">
        <f t="shared" si="11"/>
        <v>2365.8273577370001</v>
      </c>
      <c r="AJ15" s="6">
        <v>2153.6357549909999</v>
      </c>
      <c r="AK15" s="6">
        <v>2000.8439830050968</v>
      </c>
      <c r="AL15" s="6">
        <f t="shared" si="12"/>
        <v>4154.4797379960964</v>
      </c>
      <c r="AM15" s="6">
        <v>2074.1171607199999</v>
      </c>
      <c r="AN15" s="6">
        <v>1167.1644385</v>
      </c>
      <c r="AO15" s="6">
        <f t="shared" si="13"/>
        <v>3241.2815992199999</v>
      </c>
    </row>
    <row r="16" spans="1:41" x14ac:dyDescent="0.3">
      <c r="A16" s="2">
        <v>10</v>
      </c>
      <c r="B16" s="3" t="s">
        <v>9</v>
      </c>
      <c r="C16" s="13">
        <f t="shared" si="1"/>
        <v>9603.4549325379994</v>
      </c>
      <c r="D16" s="13">
        <f t="shared" si="0"/>
        <v>1197.512389762986</v>
      </c>
      <c r="E16" s="13">
        <f t="shared" si="0"/>
        <v>10800.967322300985</v>
      </c>
      <c r="F16" s="14">
        <v>104.59</v>
      </c>
      <c r="G16" s="6">
        <v>0</v>
      </c>
      <c r="H16" s="6">
        <f t="shared" si="2"/>
        <v>104.59</v>
      </c>
      <c r="I16" s="5">
        <v>422.53</v>
      </c>
      <c r="J16" s="6">
        <v>0</v>
      </c>
      <c r="K16" s="6">
        <f t="shared" si="3"/>
        <v>422.53</v>
      </c>
      <c r="L16" s="5">
        <v>539.1</v>
      </c>
      <c r="M16" s="6">
        <v>0</v>
      </c>
      <c r="N16" s="6">
        <f t="shared" si="4"/>
        <v>539.1</v>
      </c>
      <c r="O16" s="6">
        <v>1057.5993339060001</v>
      </c>
      <c r="P16" s="6">
        <v>0</v>
      </c>
      <c r="Q16" s="6">
        <f t="shared" si="5"/>
        <v>1057.5993339060001</v>
      </c>
      <c r="R16" s="6">
        <v>758.69349607700008</v>
      </c>
      <c r="S16" s="6">
        <v>0</v>
      </c>
      <c r="T16" s="6">
        <f t="shared" si="6"/>
        <v>758.69349607700008</v>
      </c>
      <c r="U16" s="6">
        <v>992.11898621700004</v>
      </c>
      <c r="V16" s="6">
        <v>0</v>
      </c>
      <c r="W16" s="6">
        <f t="shared" si="7"/>
        <v>992.11898621700004</v>
      </c>
      <c r="X16" s="6">
        <v>1057.7754530750001</v>
      </c>
      <c r="Y16" s="6">
        <v>0</v>
      </c>
      <c r="Z16" s="6">
        <f t="shared" si="8"/>
        <v>1057.7754530750001</v>
      </c>
      <c r="AA16" s="6">
        <v>887.69439854000018</v>
      </c>
      <c r="AB16" s="6">
        <v>0</v>
      </c>
      <c r="AC16" s="6">
        <f t="shared" si="9"/>
        <v>887.69439854000018</v>
      </c>
      <c r="AD16" s="6">
        <v>992.86731405599994</v>
      </c>
      <c r="AE16" s="6">
        <v>0</v>
      </c>
      <c r="AF16" s="6">
        <f t="shared" si="10"/>
        <v>992.86731405599994</v>
      </c>
      <c r="AG16" s="6">
        <v>1027.5550769610002</v>
      </c>
      <c r="AH16" s="6">
        <v>0</v>
      </c>
      <c r="AI16" s="6">
        <f t="shared" si="11"/>
        <v>1027.5550769610002</v>
      </c>
      <c r="AJ16" s="6">
        <v>886.62997025800018</v>
      </c>
      <c r="AK16" s="6">
        <v>756.32619286298598</v>
      </c>
      <c r="AL16" s="6">
        <f t="shared" si="12"/>
        <v>1642.9561631209863</v>
      </c>
      <c r="AM16" s="6">
        <v>876.30090344799999</v>
      </c>
      <c r="AN16" s="6">
        <v>441.18619690000003</v>
      </c>
      <c r="AO16" s="6">
        <f t="shared" si="13"/>
        <v>1317.487100348</v>
      </c>
    </row>
    <row r="17" spans="1:41" x14ac:dyDescent="0.3">
      <c r="A17" s="2">
        <v>11</v>
      </c>
      <c r="B17" s="3" t="s">
        <v>10</v>
      </c>
      <c r="C17" s="13">
        <f t="shared" si="1"/>
        <v>219.19256310600002</v>
      </c>
      <c r="D17" s="13">
        <f t="shared" si="0"/>
        <v>23.312570328980069</v>
      </c>
      <c r="E17" s="13">
        <f t="shared" si="0"/>
        <v>242.50513343498008</v>
      </c>
      <c r="F17" s="14">
        <v>1.54</v>
      </c>
      <c r="G17" s="6">
        <v>0</v>
      </c>
      <c r="H17" s="6">
        <f t="shared" si="2"/>
        <v>1.54</v>
      </c>
      <c r="I17" s="5">
        <v>4.96</v>
      </c>
      <c r="J17" s="6">
        <v>0</v>
      </c>
      <c r="K17" s="6">
        <f t="shared" si="3"/>
        <v>4.96</v>
      </c>
      <c r="L17" s="5">
        <v>10.9</v>
      </c>
      <c r="M17" s="6">
        <v>0</v>
      </c>
      <c r="N17" s="6">
        <f t="shared" si="4"/>
        <v>10.9</v>
      </c>
      <c r="O17" s="6">
        <v>20.147174542000002</v>
      </c>
      <c r="P17" s="6">
        <v>0</v>
      </c>
      <c r="Q17" s="6">
        <f t="shared" si="5"/>
        <v>20.147174542000002</v>
      </c>
      <c r="R17" s="6">
        <v>15.325187466999999</v>
      </c>
      <c r="S17" s="6">
        <v>0</v>
      </c>
      <c r="T17" s="6">
        <f t="shared" si="6"/>
        <v>15.325187466999999</v>
      </c>
      <c r="U17" s="6">
        <v>20.584896010999998</v>
      </c>
      <c r="V17" s="6">
        <v>0</v>
      </c>
      <c r="W17" s="6">
        <f t="shared" si="7"/>
        <v>20.584896010999998</v>
      </c>
      <c r="X17" s="6">
        <v>25.92302711</v>
      </c>
      <c r="Y17" s="6">
        <v>0</v>
      </c>
      <c r="Z17" s="6">
        <f t="shared" si="8"/>
        <v>25.92302711</v>
      </c>
      <c r="AA17" s="6">
        <v>23.637319236999996</v>
      </c>
      <c r="AB17" s="6">
        <v>0</v>
      </c>
      <c r="AC17" s="6">
        <f t="shared" si="9"/>
        <v>23.637319236999996</v>
      </c>
      <c r="AD17" s="6">
        <v>23.308813382</v>
      </c>
      <c r="AE17" s="6">
        <v>0</v>
      </c>
      <c r="AF17" s="6">
        <f t="shared" si="10"/>
        <v>23.308813382</v>
      </c>
      <c r="AG17" s="6">
        <v>27.546195000000001</v>
      </c>
      <c r="AH17" s="6">
        <v>0</v>
      </c>
      <c r="AI17" s="6">
        <f t="shared" si="11"/>
        <v>27.546195000000001</v>
      </c>
      <c r="AJ17" s="6">
        <v>23.361342277000002</v>
      </c>
      <c r="AK17" s="6">
        <v>14.724871928980068</v>
      </c>
      <c r="AL17" s="6">
        <f t="shared" si="12"/>
        <v>38.08621420598007</v>
      </c>
      <c r="AM17" s="6">
        <v>21.958608079999998</v>
      </c>
      <c r="AN17" s="6">
        <v>8.5876984000000007</v>
      </c>
      <c r="AO17" s="6">
        <f t="shared" si="13"/>
        <v>30.546306479999998</v>
      </c>
    </row>
    <row r="18" spans="1:41" x14ac:dyDescent="0.3">
      <c r="A18" s="2">
        <v>12</v>
      </c>
      <c r="B18" s="3" t="s">
        <v>11</v>
      </c>
      <c r="C18" s="13">
        <f t="shared" si="1"/>
        <v>515.13211302600007</v>
      </c>
      <c r="D18" s="13">
        <f t="shared" si="0"/>
        <v>24.260718253781661</v>
      </c>
      <c r="E18" s="13">
        <f t="shared" si="0"/>
        <v>539.3928312797816</v>
      </c>
      <c r="F18" s="14">
        <v>8.41</v>
      </c>
      <c r="G18" s="6">
        <v>0</v>
      </c>
      <c r="H18" s="6">
        <f t="shared" si="2"/>
        <v>8.41</v>
      </c>
      <c r="I18" s="5">
        <v>18.39</v>
      </c>
      <c r="J18" s="6">
        <v>0</v>
      </c>
      <c r="K18" s="6">
        <f t="shared" si="3"/>
        <v>18.39</v>
      </c>
      <c r="L18" s="5">
        <v>23.2</v>
      </c>
      <c r="M18" s="6">
        <v>0</v>
      </c>
      <c r="N18" s="6">
        <f t="shared" si="4"/>
        <v>23.2</v>
      </c>
      <c r="O18" s="6">
        <v>44.317208217999998</v>
      </c>
      <c r="P18" s="6">
        <v>0</v>
      </c>
      <c r="Q18" s="6">
        <f t="shared" si="5"/>
        <v>44.317208217999998</v>
      </c>
      <c r="R18" s="6">
        <v>31.112641106999998</v>
      </c>
      <c r="S18" s="6">
        <v>0</v>
      </c>
      <c r="T18" s="6">
        <f t="shared" si="6"/>
        <v>31.112641106999998</v>
      </c>
      <c r="U18" s="6">
        <v>41.553301407999996</v>
      </c>
      <c r="V18" s="6">
        <v>0</v>
      </c>
      <c r="W18" s="6">
        <f t="shared" si="7"/>
        <v>41.553301407999996</v>
      </c>
      <c r="X18" s="6">
        <v>66.14599849199999</v>
      </c>
      <c r="Y18" s="6">
        <v>0</v>
      </c>
      <c r="Z18" s="6">
        <f t="shared" si="8"/>
        <v>66.14599849199999</v>
      </c>
      <c r="AA18" s="6">
        <v>43.888858343999999</v>
      </c>
      <c r="AB18" s="6">
        <v>0</v>
      </c>
      <c r="AC18" s="6">
        <f t="shared" si="9"/>
        <v>43.888858343999999</v>
      </c>
      <c r="AD18" s="6">
        <v>56.996589637</v>
      </c>
      <c r="AE18" s="6">
        <v>0</v>
      </c>
      <c r="AF18" s="6">
        <f t="shared" si="10"/>
        <v>56.996589637</v>
      </c>
      <c r="AG18" s="6">
        <v>64.518101801</v>
      </c>
      <c r="AH18" s="6">
        <v>0</v>
      </c>
      <c r="AI18" s="6">
        <f t="shared" si="11"/>
        <v>64.518101801</v>
      </c>
      <c r="AJ18" s="6">
        <v>62.639008965999999</v>
      </c>
      <c r="AK18" s="6">
        <v>15.328059453781661</v>
      </c>
      <c r="AL18" s="6">
        <f t="shared" si="12"/>
        <v>77.967068419781654</v>
      </c>
      <c r="AM18" s="6">
        <v>53.960405052999995</v>
      </c>
      <c r="AN18" s="6">
        <v>8.9326588000000005</v>
      </c>
      <c r="AO18" s="6">
        <f t="shared" si="13"/>
        <v>62.893063852999994</v>
      </c>
    </row>
    <row r="19" spans="1:41" x14ac:dyDescent="0.3">
      <c r="A19" s="2">
        <v>13</v>
      </c>
      <c r="B19" s="3" t="s">
        <v>12</v>
      </c>
      <c r="C19" s="13">
        <f t="shared" si="1"/>
        <v>451.69141987600005</v>
      </c>
      <c r="D19" s="13">
        <f t="shared" si="0"/>
        <v>24.332511472887639</v>
      </c>
      <c r="E19" s="13">
        <f t="shared" si="0"/>
        <v>476.02393134888769</v>
      </c>
      <c r="F19" s="14">
        <v>6.68</v>
      </c>
      <c r="G19" s="6">
        <v>0</v>
      </c>
      <c r="H19" s="6">
        <f t="shared" si="2"/>
        <v>6.68</v>
      </c>
      <c r="I19" s="5">
        <v>14.19</v>
      </c>
      <c r="J19" s="6">
        <v>0</v>
      </c>
      <c r="K19" s="6">
        <f t="shared" si="3"/>
        <v>14.19</v>
      </c>
      <c r="L19" s="5">
        <v>23.5</v>
      </c>
      <c r="M19" s="6">
        <v>0</v>
      </c>
      <c r="N19" s="6">
        <f t="shared" si="4"/>
        <v>23.5</v>
      </c>
      <c r="O19" s="6">
        <v>38.000626794999995</v>
      </c>
      <c r="P19" s="6">
        <v>0</v>
      </c>
      <c r="Q19" s="6">
        <f t="shared" si="5"/>
        <v>38.000626794999995</v>
      </c>
      <c r="R19" s="6">
        <v>29.270032946000004</v>
      </c>
      <c r="S19" s="6">
        <v>0</v>
      </c>
      <c r="T19" s="6">
        <f t="shared" si="6"/>
        <v>29.270032946000004</v>
      </c>
      <c r="U19" s="6">
        <v>39.298426687999999</v>
      </c>
      <c r="V19" s="6">
        <v>0</v>
      </c>
      <c r="W19" s="6">
        <f t="shared" si="7"/>
        <v>39.298426687999999</v>
      </c>
      <c r="X19" s="6">
        <v>64.521660179999998</v>
      </c>
      <c r="Y19" s="6">
        <v>0</v>
      </c>
      <c r="Z19" s="6">
        <f t="shared" si="8"/>
        <v>64.521660179999998</v>
      </c>
      <c r="AA19" s="6">
        <v>39.998675755000001</v>
      </c>
      <c r="AB19" s="6">
        <v>0</v>
      </c>
      <c r="AC19" s="6">
        <f t="shared" si="9"/>
        <v>39.998675755000001</v>
      </c>
      <c r="AD19" s="6">
        <v>50.372143497000003</v>
      </c>
      <c r="AE19" s="6">
        <v>0</v>
      </c>
      <c r="AF19" s="6">
        <f t="shared" si="10"/>
        <v>50.372143497000003</v>
      </c>
      <c r="AG19" s="6">
        <v>49.498824833000008</v>
      </c>
      <c r="AH19" s="6">
        <v>0</v>
      </c>
      <c r="AI19" s="6">
        <f t="shared" si="11"/>
        <v>49.498824833000008</v>
      </c>
      <c r="AJ19" s="6">
        <v>51.376817194000004</v>
      </c>
      <c r="AK19" s="6">
        <v>15.363541072887639</v>
      </c>
      <c r="AL19" s="6">
        <f t="shared" si="12"/>
        <v>66.74035826688764</v>
      </c>
      <c r="AM19" s="6">
        <v>44.984211987999998</v>
      </c>
      <c r="AN19" s="6">
        <v>8.9689703999999999</v>
      </c>
      <c r="AO19" s="6">
        <f t="shared" si="13"/>
        <v>53.953182388000002</v>
      </c>
    </row>
    <row r="20" spans="1:41" x14ac:dyDescent="0.3">
      <c r="A20" s="2">
        <v>14</v>
      </c>
      <c r="B20" s="3" t="s">
        <v>13</v>
      </c>
      <c r="C20" s="13">
        <f t="shared" si="1"/>
        <v>623.88408679700001</v>
      </c>
      <c r="D20" s="13">
        <f t="shared" si="0"/>
        <v>32.920310296101974</v>
      </c>
      <c r="E20" s="13">
        <f t="shared" si="0"/>
        <v>656.80439709310201</v>
      </c>
      <c r="F20" s="14">
        <v>6.56</v>
      </c>
      <c r="G20" s="6">
        <v>0</v>
      </c>
      <c r="H20" s="6">
        <f t="shared" si="2"/>
        <v>6.56</v>
      </c>
      <c r="I20" s="5">
        <v>28.75</v>
      </c>
      <c r="J20" s="6">
        <v>0</v>
      </c>
      <c r="K20" s="6">
        <f t="shared" si="3"/>
        <v>28.75</v>
      </c>
      <c r="L20" s="5">
        <v>25.2</v>
      </c>
      <c r="M20" s="6">
        <v>0</v>
      </c>
      <c r="N20" s="6">
        <f t="shared" si="4"/>
        <v>25.2</v>
      </c>
      <c r="O20" s="6">
        <v>57.434823585000004</v>
      </c>
      <c r="P20" s="6">
        <v>0</v>
      </c>
      <c r="Q20" s="6">
        <f t="shared" si="5"/>
        <v>57.434823585000004</v>
      </c>
      <c r="R20" s="6">
        <v>27.496431886</v>
      </c>
      <c r="S20" s="6">
        <v>0</v>
      </c>
      <c r="T20" s="6">
        <f t="shared" si="6"/>
        <v>27.496431886</v>
      </c>
      <c r="U20" s="6">
        <v>56.355209848999998</v>
      </c>
      <c r="V20" s="6">
        <v>0</v>
      </c>
      <c r="W20" s="6">
        <f t="shared" si="7"/>
        <v>56.355209848999998</v>
      </c>
      <c r="X20" s="6">
        <v>82.426013231000013</v>
      </c>
      <c r="Y20" s="6">
        <v>0</v>
      </c>
      <c r="Z20" s="6">
        <f t="shared" si="8"/>
        <v>82.426013231000013</v>
      </c>
      <c r="AA20" s="6">
        <v>63.114322461999997</v>
      </c>
      <c r="AB20" s="6">
        <v>0</v>
      </c>
      <c r="AC20" s="6">
        <f t="shared" si="9"/>
        <v>63.114322461999997</v>
      </c>
      <c r="AD20" s="6">
        <v>74.062768212999998</v>
      </c>
      <c r="AE20" s="6">
        <v>0</v>
      </c>
      <c r="AF20" s="6">
        <f t="shared" si="10"/>
        <v>74.062768212999998</v>
      </c>
      <c r="AG20" s="6">
        <v>71.914097341999991</v>
      </c>
      <c r="AH20" s="6">
        <v>0</v>
      </c>
      <c r="AI20" s="6">
        <f t="shared" si="11"/>
        <v>71.914097341999991</v>
      </c>
      <c r="AJ20" s="6">
        <v>65.396401457999985</v>
      </c>
      <c r="AK20" s="6">
        <v>20.792228796101977</v>
      </c>
      <c r="AL20" s="6">
        <f t="shared" si="12"/>
        <v>86.188630254101966</v>
      </c>
      <c r="AM20" s="6">
        <v>65.174018771000007</v>
      </c>
      <c r="AN20" s="6">
        <v>12.1280815</v>
      </c>
      <c r="AO20" s="6">
        <f t="shared" si="13"/>
        <v>77.302100271</v>
      </c>
    </row>
    <row r="21" spans="1:41" x14ac:dyDescent="0.3">
      <c r="A21" s="2">
        <v>15</v>
      </c>
      <c r="B21" s="3" t="s">
        <v>14</v>
      </c>
      <c r="C21" s="13">
        <f t="shared" si="1"/>
        <v>402.71622856300002</v>
      </c>
      <c r="D21" s="13">
        <f t="shared" si="0"/>
        <v>17.927351494806366</v>
      </c>
      <c r="E21" s="13">
        <f t="shared" si="0"/>
        <v>420.64358005780633</v>
      </c>
      <c r="F21" s="14">
        <v>8.32</v>
      </c>
      <c r="G21" s="6">
        <v>0</v>
      </c>
      <c r="H21" s="6">
        <f t="shared" si="2"/>
        <v>8.32</v>
      </c>
      <c r="I21" s="5">
        <v>14.21</v>
      </c>
      <c r="J21" s="6">
        <v>0</v>
      </c>
      <c r="K21" s="6">
        <f t="shared" si="3"/>
        <v>14.21</v>
      </c>
      <c r="L21" s="5">
        <v>24</v>
      </c>
      <c r="M21" s="6">
        <v>0</v>
      </c>
      <c r="N21" s="6">
        <f t="shared" si="4"/>
        <v>24</v>
      </c>
      <c r="O21" s="6">
        <v>37.756285723000005</v>
      </c>
      <c r="P21" s="6">
        <v>0</v>
      </c>
      <c r="Q21" s="6">
        <f t="shared" si="5"/>
        <v>37.756285723000005</v>
      </c>
      <c r="R21" s="6">
        <v>29.599583561999999</v>
      </c>
      <c r="S21" s="6">
        <v>0</v>
      </c>
      <c r="T21" s="6">
        <f t="shared" si="6"/>
        <v>29.599583561999999</v>
      </c>
      <c r="U21" s="6">
        <v>31.406492525999997</v>
      </c>
      <c r="V21" s="6">
        <v>0</v>
      </c>
      <c r="W21" s="6">
        <f t="shared" si="7"/>
        <v>31.406492525999997</v>
      </c>
      <c r="X21" s="6">
        <v>43.495982065</v>
      </c>
      <c r="Y21" s="6">
        <v>0</v>
      </c>
      <c r="Z21" s="6">
        <f t="shared" si="8"/>
        <v>43.495982065</v>
      </c>
      <c r="AA21" s="6">
        <v>35.567693608999996</v>
      </c>
      <c r="AB21" s="6">
        <v>0</v>
      </c>
      <c r="AC21" s="6">
        <f t="shared" si="9"/>
        <v>35.567693608999996</v>
      </c>
      <c r="AD21" s="6">
        <v>48.485182406</v>
      </c>
      <c r="AE21" s="6">
        <v>0</v>
      </c>
      <c r="AF21" s="6">
        <f t="shared" si="10"/>
        <v>48.485182406</v>
      </c>
      <c r="AG21" s="6">
        <v>42.885414974</v>
      </c>
      <c r="AH21" s="6">
        <v>0</v>
      </c>
      <c r="AI21" s="6">
        <f t="shared" si="11"/>
        <v>42.885414974</v>
      </c>
      <c r="AJ21" s="6">
        <v>44.421495037000007</v>
      </c>
      <c r="AK21" s="6">
        <v>11.318636494806368</v>
      </c>
      <c r="AL21" s="6">
        <f t="shared" si="12"/>
        <v>55.740131531806377</v>
      </c>
      <c r="AM21" s="6">
        <v>42.568098661000001</v>
      </c>
      <c r="AN21" s="6">
        <v>6.6087150000000001</v>
      </c>
      <c r="AO21" s="6">
        <f t="shared" si="13"/>
        <v>49.176813660999997</v>
      </c>
    </row>
    <row r="22" spans="1:41" x14ac:dyDescent="0.3">
      <c r="A22" s="2">
        <v>16</v>
      </c>
      <c r="B22" s="3" t="s">
        <v>15</v>
      </c>
      <c r="C22" s="13">
        <f t="shared" si="1"/>
        <v>612.50494826900001</v>
      </c>
      <c r="D22" s="13">
        <f t="shared" si="0"/>
        <v>74.822037149160124</v>
      </c>
      <c r="E22" s="13">
        <f t="shared" si="0"/>
        <v>687.32698541816001</v>
      </c>
      <c r="F22" s="14">
        <v>4.21</v>
      </c>
      <c r="G22" s="6">
        <v>0</v>
      </c>
      <c r="H22" s="6">
        <f t="shared" si="2"/>
        <v>4.21</v>
      </c>
      <c r="I22" s="5">
        <v>23.85</v>
      </c>
      <c r="J22" s="6">
        <v>0</v>
      </c>
      <c r="K22" s="6">
        <f t="shared" si="3"/>
        <v>23.85</v>
      </c>
      <c r="L22" s="5">
        <v>35.200000000000003</v>
      </c>
      <c r="M22" s="6">
        <v>0</v>
      </c>
      <c r="N22" s="6">
        <f t="shared" si="4"/>
        <v>35.200000000000003</v>
      </c>
      <c r="O22" s="6">
        <v>70.675368476999992</v>
      </c>
      <c r="P22" s="6">
        <v>0</v>
      </c>
      <c r="Q22" s="6">
        <f t="shared" si="5"/>
        <v>70.675368476999992</v>
      </c>
      <c r="R22" s="6">
        <v>46.274671736000009</v>
      </c>
      <c r="S22" s="6">
        <v>0</v>
      </c>
      <c r="T22" s="6">
        <f t="shared" si="6"/>
        <v>46.274671736000009</v>
      </c>
      <c r="U22" s="6">
        <v>68.595733538000005</v>
      </c>
      <c r="V22" s="6">
        <v>0</v>
      </c>
      <c r="W22" s="6">
        <f t="shared" si="7"/>
        <v>68.595733538000005</v>
      </c>
      <c r="X22" s="6">
        <v>66.937901608000004</v>
      </c>
      <c r="Y22" s="6">
        <v>0</v>
      </c>
      <c r="Z22" s="6">
        <f t="shared" si="8"/>
        <v>66.937901608000004</v>
      </c>
      <c r="AA22" s="6">
        <v>66.15641085499999</v>
      </c>
      <c r="AB22" s="6">
        <v>0</v>
      </c>
      <c r="AC22" s="6">
        <f t="shared" si="9"/>
        <v>66.15641085499999</v>
      </c>
      <c r="AD22" s="6">
        <v>60.235476173000002</v>
      </c>
      <c r="AE22" s="6">
        <v>0</v>
      </c>
      <c r="AF22" s="6">
        <f t="shared" si="10"/>
        <v>60.235476173000002</v>
      </c>
      <c r="AG22" s="6">
        <v>60.182866242999992</v>
      </c>
      <c r="AH22" s="6">
        <v>0</v>
      </c>
      <c r="AI22" s="6">
        <f t="shared" si="11"/>
        <v>60.182866242999992</v>
      </c>
      <c r="AJ22" s="6">
        <v>57.146982145999992</v>
      </c>
      <c r="AK22" s="6">
        <v>47.261516649160122</v>
      </c>
      <c r="AL22" s="6">
        <f t="shared" si="12"/>
        <v>104.40849879516011</v>
      </c>
      <c r="AM22" s="6">
        <v>53.039537492999997</v>
      </c>
      <c r="AN22" s="6">
        <v>27.560520499999999</v>
      </c>
      <c r="AO22" s="6">
        <f t="shared" si="13"/>
        <v>80.600057992999993</v>
      </c>
    </row>
    <row r="23" spans="1:41" x14ac:dyDescent="0.3">
      <c r="A23" s="2">
        <v>17</v>
      </c>
      <c r="B23" s="3" t="s">
        <v>16</v>
      </c>
      <c r="C23" s="13">
        <f t="shared" si="1"/>
        <v>475.93468590000003</v>
      </c>
      <c r="D23" s="13">
        <f t="shared" si="1"/>
        <v>60.329971019818302</v>
      </c>
      <c r="E23" s="13">
        <f t="shared" si="1"/>
        <v>536.26465691981832</v>
      </c>
      <c r="F23" s="14">
        <v>4.47</v>
      </c>
      <c r="G23" s="6">
        <v>0</v>
      </c>
      <c r="H23" s="6">
        <f t="shared" si="2"/>
        <v>4.47</v>
      </c>
      <c r="I23" s="5">
        <v>12.54</v>
      </c>
      <c r="J23" s="6">
        <v>0</v>
      </c>
      <c r="K23" s="6">
        <f t="shared" si="3"/>
        <v>12.54</v>
      </c>
      <c r="L23" s="5">
        <v>21.8</v>
      </c>
      <c r="M23" s="6">
        <v>0</v>
      </c>
      <c r="N23" s="6">
        <f t="shared" si="4"/>
        <v>21.8</v>
      </c>
      <c r="O23" s="6">
        <v>44.483122176000002</v>
      </c>
      <c r="P23" s="6">
        <v>0</v>
      </c>
      <c r="Q23" s="6">
        <f t="shared" si="5"/>
        <v>44.483122176000002</v>
      </c>
      <c r="R23" s="6">
        <v>34.494210469999999</v>
      </c>
      <c r="S23" s="6">
        <v>0</v>
      </c>
      <c r="T23" s="6">
        <f t="shared" si="6"/>
        <v>34.494210469999999</v>
      </c>
      <c r="U23" s="6">
        <v>43.629258145000001</v>
      </c>
      <c r="V23" s="6">
        <v>0</v>
      </c>
      <c r="W23" s="6">
        <f t="shared" si="7"/>
        <v>43.629258145000001</v>
      </c>
      <c r="X23" s="6">
        <v>61.658158383000007</v>
      </c>
      <c r="Y23" s="6">
        <v>0</v>
      </c>
      <c r="Z23" s="6">
        <f t="shared" si="8"/>
        <v>61.658158383000007</v>
      </c>
      <c r="AA23" s="6">
        <v>45.345069608999999</v>
      </c>
      <c r="AB23" s="6">
        <v>0</v>
      </c>
      <c r="AC23" s="6">
        <f t="shared" si="9"/>
        <v>45.345069608999999</v>
      </c>
      <c r="AD23" s="6">
        <v>59.067761278999996</v>
      </c>
      <c r="AE23" s="6">
        <v>0</v>
      </c>
      <c r="AF23" s="6">
        <f t="shared" si="10"/>
        <v>59.067761278999996</v>
      </c>
      <c r="AG23" s="6">
        <v>53.600941831</v>
      </c>
      <c r="AH23" s="6">
        <v>0</v>
      </c>
      <c r="AI23" s="6">
        <f t="shared" si="11"/>
        <v>53.600941831</v>
      </c>
      <c r="AJ23" s="6">
        <v>49.456038054999993</v>
      </c>
      <c r="AK23" s="6">
        <v>38.107258919818307</v>
      </c>
      <c r="AL23" s="6">
        <f t="shared" si="12"/>
        <v>87.5632969748183</v>
      </c>
      <c r="AM23" s="6">
        <v>45.390125952000005</v>
      </c>
      <c r="AN23" s="6">
        <v>22.222712099999999</v>
      </c>
      <c r="AO23" s="6">
        <f t="shared" si="13"/>
        <v>67.612838052000001</v>
      </c>
    </row>
    <row r="24" spans="1:41" x14ac:dyDescent="0.3">
      <c r="A24" s="2">
        <v>18</v>
      </c>
      <c r="B24" s="3" t="s">
        <v>17</v>
      </c>
      <c r="C24" s="13">
        <f t="shared" si="1"/>
        <v>4153.2842580229999</v>
      </c>
      <c r="D24" s="13">
        <f t="shared" si="1"/>
        <v>567.91124854231202</v>
      </c>
      <c r="E24" s="13">
        <f t="shared" si="1"/>
        <v>4721.1955065653128</v>
      </c>
      <c r="F24" s="14">
        <v>47.3</v>
      </c>
      <c r="G24" s="6">
        <v>0</v>
      </c>
      <c r="H24" s="6">
        <f t="shared" si="2"/>
        <v>47.3</v>
      </c>
      <c r="I24" s="5">
        <v>171.49</v>
      </c>
      <c r="J24" s="6">
        <v>0</v>
      </c>
      <c r="K24" s="6">
        <f t="shared" si="3"/>
        <v>171.49</v>
      </c>
      <c r="L24" s="5">
        <v>226.8</v>
      </c>
      <c r="M24" s="6">
        <v>0</v>
      </c>
      <c r="N24" s="6">
        <f t="shared" si="4"/>
        <v>226.8</v>
      </c>
      <c r="O24" s="6">
        <v>324.65207704899996</v>
      </c>
      <c r="P24" s="6">
        <v>0</v>
      </c>
      <c r="Q24" s="6">
        <f t="shared" si="5"/>
        <v>324.65207704899996</v>
      </c>
      <c r="R24" s="6">
        <v>275.84419383800002</v>
      </c>
      <c r="S24" s="6">
        <v>0</v>
      </c>
      <c r="T24" s="6">
        <f t="shared" si="6"/>
        <v>275.84419383800002</v>
      </c>
      <c r="U24" s="6">
        <v>395.8352374989999</v>
      </c>
      <c r="V24" s="6">
        <v>0</v>
      </c>
      <c r="W24" s="6">
        <f t="shared" si="7"/>
        <v>395.8352374989999</v>
      </c>
      <c r="X24" s="6">
        <v>502.40873911100005</v>
      </c>
      <c r="Y24" s="6">
        <v>0</v>
      </c>
      <c r="Z24" s="6">
        <f t="shared" si="8"/>
        <v>502.40873911100005</v>
      </c>
      <c r="AA24" s="6">
        <v>432.24058610700007</v>
      </c>
      <c r="AB24" s="6">
        <v>0</v>
      </c>
      <c r="AC24" s="6">
        <f t="shared" si="9"/>
        <v>432.24058610700007</v>
      </c>
      <c r="AD24" s="6">
        <v>413.66580538300002</v>
      </c>
      <c r="AE24" s="6">
        <v>0</v>
      </c>
      <c r="AF24" s="6">
        <f t="shared" si="10"/>
        <v>413.66580538300002</v>
      </c>
      <c r="AG24" s="6">
        <v>483.79252082300007</v>
      </c>
      <c r="AH24" s="6">
        <v>0</v>
      </c>
      <c r="AI24" s="6">
        <f t="shared" si="11"/>
        <v>483.79252082300007</v>
      </c>
      <c r="AJ24" s="6">
        <v>428.23178215400003</v>
      </c>
      <c r="AK24" s="6">
        <v>358.68368754231204</v>
      </c>
      <c r="AL24" s="6">
        <f t="shared" si="12"/>
        <v>786.91546969631213</v>
      </c>
      <c r="AM24" s="6">
        <v>451.02331605900002</v>
      </c>
      <c r="AN24" s="6">
        <v>209.22756100000001</v>
      </c>
      <c r="AO24" s="6">
        <f t="shared" si="13"/>
        <v>660.250877059</v>
      </c>
    </row>
    <row r="25" spans="1:41" x14ac:dyDescent="0.3">
      <c r="A25" s="2">
        <v>19</v>
      </c>
      <c r="B25" s="3" t="s">
        <v>18</v>
      </c>
      <c r="C25" s="13">
        <f t="shared" si="1"/>
        <v>9343.6616036820014</v>
      </c>
      <c r="D25" s="13">
        <f t="shared" si="1"/>
        <v>1906.945324833252</v>
      </c>
      <c r="E25" s="13">
        <f t="shared" si="1"/>
        <v>11250.606928515253</v>
      </c>
      <c r="F25" s="14">
        <v>155.13999999999999</v>
      </c>
      <c r="G25" s="6">
        <v>0</v>
      </c>
      <c r="H25" s="6">
        <f t="shared" si="2"/>
        <v>155.13999999999999</v>
      </c>
      <c r="I25" s="5">
        <v>438.46</v>
      </c>
      <c r="J25" s="6">
        <v>0</v>
      </c>
      <c r="K25" s="6">
        <f t="shared" si="3"/>
        <v>438.46</v>
      </c>
      <c r="L25" s="5">
        <v>503.2</v>
      </c>
      <c r="M25" s="6">
        <v>0</v>
      </c>
      <c r="N25" s="6">
        <f t="shared" si="4"/>
        <v>503.2</v>
      </c>
      <c r="O25" s="6">
        <v>835.686175435</v>
      </c>
      <c r="P25" s="6">
        <v>0</v>
      </c>
      <c r="Q25" s="6">
        <f t="shared" si="5"/>
        <v>835.686175435</v>
      </c>
      <c r="R25" s="6">
        <v>772.40530204399988</v>
      </c>
      <c r="S25" s="6">
        <v>0</v>
      </c>
      <c r="T25" s="6">
        <f t="shared" si="6"/>
        <v>772.40530204399988</v>
      </c>
      <c r="U25" s="6">
        <v>843.40875614399988</v>
      </c>
      <c r="V25" s="6">
        <v>0</v>
      </c>
      <c r="W25" s="6">
        <f t="shared" si="7"/>
        <v>843.40875614399988</v>
      </c>
      <c r="X25" s="6">
        <v>1083.8071342620001</v>
      </c>
      <c r="Y25" s="6">
        <v>0</v>
      </c>
      <c r="Z25" s="6">
        <f t="shared" si="8"/>
        <v>1083.8071342620001</v>
      </c>
      <c r="AA25" s="6">
        <v>1003.501659686</v>
      </c>
      <c r="AB25" s="6">
        <v>0</v>
      </c>
      <c r="AC25" s="6">
        <f t="shared" si="9"/>
        <v>1003.501659686</v>
      </c>
      <c r="AD25" s="6">
        <v>922.14791627300019</v>
      </c>
      <c r="AE25" s="6">
        <v>0</v>
      </c>
      <c r="AF25" s="6">
        <f t="shared" si="10"/>
        <v>922.14791627300019</v>
      </c>
      <c r="AG25" s="6">
        <v>1029.1900261939998</v>
      </c>
      <c r="AH25" s="6">
        <v>0</v>
      </c>
      <c r="AI25" s="6">
        <f t="shared" si="11"/>
        <v>1029.1900261939998</v>
      </c>
      <c r="AJ25" s="6">
        <v>877.53967403399997</v>
      </c>
      <c r="AK25" s="6">
        <v>1204.388078933252</v>
      </c>
      <c r="AL25" s="6">
        <f t="shared" si="12"/>
        <v>2081.9277529672518</v>
      </c>
      <c r="AM25" s="6">
        <v>879.17495961000009</v>
      </c>
      <c r="AN25" s="6">
        <v>702.5572459</v>
      </c>
      <c r="AO25" s="6">
        <f t="shared" si="13"/>
        <v>1581.7322055100001</v>
      </c>
    </row>
    <row r="26" spans="1:41" x14ac:dyDescent="0.3">
      <c r="A26" s="2">
        <v>20</v>
      </c>
      <c r="B26" s="3" t="s">
        <v>19</v>
      </c>
      <c r="C26" s="13">
        <f t="shared" si="1"/>
        <v>2520.5989301330001</v>
      </c>
      <c r="D26" s="13">
        <f t="shared" si="1"/>
        <v>608.25665996040289</v>
      </c>
      <c r="E26" s="13">
        <f t="shared" si="1"/>
        <v>3128.8555900934025</v>
      </c>
      <c r="F26" s="14">
        <v>44.14</v>
      </c>
      <c r="G26" s="6">
        <v>0</v>
      </c>
      <c r="H26" s="6">
        <f t="shared" si="2"/>
        <v>44.14</v>
      </c>
      <c r="I26" s="5">
        <v>108.36</v>
      </c>
      <c r="J26" s="6">
        <v>0</v>
      </c>
      <c r="K26" s="6">
        <f t="shared" si="3"/>
        <v>108.36</v>
      </c>
      <c r="L26" s="5">
        <v>154.30000000000001</v>
      </c>
      <c r="M26" s="6">
        <v>0</v>
      </c>
      <c r="N26" s="6">
        <f t="shared" si="4"/>
        <v>154.30000000000001</v>
      </c>
      <c r="O26" s="6">
        <v>228.38961484600006</v>
      </c>
      <c r="P26" s="6">
        <v>0</v>
      </c>
      <c r="Q26" s="6">
        <f t="shared" si="5"/>
        <v>228.38961484600006</v>
      </c>
      <c r="R26" s="6">
        <v>236.398737627</v>
      </c>
      <c r="S26" s="6">
        <v>0</v>
      </c>
      <c r="T26" s="6">
        <f t="shared" si="6"/>
        <v>236.398737627</v>
      </c>
      <c r="U26" s="6">
        <v>285.57277479300001</v>
      </c>
      <c r="V26" s="6">
        <v>0</v>
      </c>
      <c r="W26" s="6">
        <f t="shared" si="7"/>
        <v>285.57277479300001</v>
      </c>
      <c r="X26" s="6">
        <v>306.0370303040001</v>
      </c>
      <c r="Y26" s="6">
        <v>0</v>
      </c>
      <c r="Z26" s="6">
        <f t="shared" si="8"/>
        <v>306.0370303040001</v>
      </c>
      <c r="AA26" s="6">
        <v>308.82738591099996</v>
      </c>
      <c r="AB26" s="6">
        <v>0</v>
      </c>
      <c r="AC26" s="6">
        <f t="shared" si="9"/>
        <v>308.82738591099996</v>
      </c>
      <c r="AD26" s="6">
        <v>284.20976613099998</v>
      </c>
      <c r="AE26" s="6">
        <v>0</v>
      </c>
      <c r="AF26" s="6">
        <f t="shared" si="10"/>
        <v>284.20976613099998</v>
      </c>
      <c r="AG26" s="6">
        <v>256.890888432</v>
      </c>
      <c r="AH26" s="6">
        <v>0</v>
      </c>
      <c r="AI26" s="6">
        <f t="shared" si="11"/>
        <v>256.890888432</v>
      </c>
      <c r="AJ26" s="6">
        <v>153.30932987</v>
      </c>
      <c r="AK26" s="6">
        <v>384.15949006040285</v>
      </c>
      <c r="AL26" s="6">
        <f t="shared" si="12"/>
        <v>537.46881993040279</v>
      </c>
      <c r="AM26" s="6">
        <v>154.16340221900003</v>
      </c>
      <c r="AN26" s="6">
        <v>224.09716990000001</v>
      </c>
      <c r="AO26" s="6">
        <f t="shared" si="13"/>
        <v>378.26057211900002</v>
      </c>
    </row>
    <row r="27" spans="1:41" x14ac:dyDescent="0.3">
      <c r="A27" s="2">
        <v>21</v>
      </c>
      <c r="B27" s="3" t="s">
        <v>20</v>
      </c>
      <c r="C27" s="13">
        <f t="shared" si="1"/>
        <v>4479.7250426650007</v>
      </c>
      <c r="D27" s="13">
        <f t="shared" si="1"/>
        <v>1048.4228456557253</v>
      </c>
      <c r="E27" s="13">
        <f t="shared" si="1"/>
        <v>5528.1478883207255</v>
      </c>
      <c r="F27" s="14">
        <v>59.76</v>
      </c>
      <c r="G27" s="6">
        <v>0</v>
      </c>
      <c r="H27" s="6">
        <f t="shared" si="2"/>
        <v>59.76</v>
      </c>
      <c r="I27" s="5">
        <v>231.25</v>
      </c>
      <c r="J27" s="6">
        <v>0</v>
      </c>
      <c r="K27" s="6">
        <f t="shared" si="3"/>
        <v>231.25</v>
      </c>
      <c r="L27" s="5">
        <v>319.5</v>
      </c>
      <c r="M27" s="6">
        <v>0</v>
      </c>
      <c r="N27" s="6">
        <f t="shared" si="4"/>
        <v>319.5</v>
      </c>
      <c r="O27" s="6">
        <v>435.58730065500004</v>
      </c>
      <c r="P27" s="6">
        <v>0</v>
      </c>
      <c r="Q27" s="6">
        <f t="shared" si="5"/>
        <v>435.58730065500004</v>
      </c>
      <c r="R27" s="6">
        <v>286.91673698900001</v>
      </c>
      <c r="S27" s="6">
        <v>0</v>
      </c>
      <c r="T27" s="6">
        <f t="shared" si="6"/>
        <v>286.91673698900001</v>
      </c>
      <c r="U27" s="6">
        <v>437.4874625789999</v>
      </c>
      <c r="V27" s="6">
        <v>0</v>
      </c>
      <c r="W27" s="6">
        <f t="shared" si="7"/>
        <v>437.4874625789999</v>
      </c>
      <c r="X27" s="6">
        <v>480.83628572700002</v>
      </c>
      <c r="Y27" s="6">
        <v>0</v>
      </c>
      <c r="Z27" s="6">
        <f t="shared" si="8"/>
        <v>480.83628572700002</v>
      </c>
      <c r="AA27" s="6">
        <v>477.89396770300004</v>
      </c>
      <c r="AB27" s="6">
        <v>0</v>
      </c>
      <c r="AC27" s="6">
        <f t="shared" si="9"/>
        <v>477.89396770300004</v>
      </c>
      <c r="AD27" s="6">
        <v>414.42343083100002</v>
      </c>
      <c r="AE27" s="6">
        <v>0</v>
      </c>
      <c r="AF27" s="6">
        <f t="shared" si="10"/>
        <v>414.42343083100002</v>
      </c>
      <c r="AG27" s="6">
        <v>516.11739058799992</v>
      </c>
      <c r="AH27" s="6">
        <v>0</v>
      </c>
      <c r="AI27" s="6">
        <f t="shared" si="11"/>
        <v>516.11739058799992</v>
      </c>
      <c r="AJ27" s="6">
        <v>441.02501145399998</v>
      </c>
      <c r="AK27" s="6">
        <v>662.15797575572537</v>
      </c>
      <c r="AL27" s="6">
        <f t="shared" si="12"/>
        <v>1103.1829872097253</v>
      </c>
      <c r="AM27" s="6">
        <v>378.92745613900001</v>
      </c>
      <c r="AN27" s="6">
        <v>386.26486990000001</v>
      </c>
      <c r="AO27" s="6">
        <f t="shared" si="13"/>
        <v>765.19232603900002</v>
      </c>
    </row>
    <row r="28" spans="1:41" x14ac:dyDescent="0.3">
      <c r="A28" s="2">
        <v>22</v>
      </c>
      <c r="B28" s="3" t="s">
        <v>33</v>
      </c>
      <c r="C28" s="13">
        <f t="shared" si="1"/>
        <v>1923.0435014750001</v>
      </c>
      <c r="D28" s="13">
        <f t="shared" si="1"/>
        <v>698.08981161085876</v>
      </c>
      <c r="E28" s="13">
        <f t="shared" si="1"/>
        <v>2621.1333130858584</v>
      </c>
      <c r="F28" s="14">
        <v>92.83</v>
      </c>
      <c r="G28" s="6">
        <v>0</v>
      </c>
      <c r="H28" s="6">
        <f t="shared" si="2"/>
        <v>92.83</v>
      </c>
      <c r="I28" s="5">
        <v>136.49</v>
      </c>
      <c r="J28" s="6">
        <v>0</v>
      </c>
      <c r="K28" s="6">
        <f t="shared" si="3"/>
        <v>136.49</v>
      </c>
      <c r="L28" s="5">
        <v>77.099999999999994</v>
      </c>
      <c r="M28" s="6">
        <v>0</v>
      </c>
      <c r="N28" s="6">
        <f t="shared" si="4"/>
        <v>77.099999999999994</v>
      </c>
      <c r="O28" s="6">
        <v>175.60032970600002</v>
      </c>
      <c r="P28" s="6">
        <v>0</v>
      </c>
      <c r="Q28" s="6">
        <f t="shared" si="5"/>
        <v>175.60032970600002</v>
      </c>
      <c r="R28" s="6">
        <v>122.457348407</v>
      </c>
      <c r="S28" s="6">
        <v>0</v>
      </c>
      <c r="T28" s="6">
        <f t="shared" si="6"/>
        <v>122.457348407</v>
      </c>
      <c r="U28" s="6">
        <v>174.61489267799996</v>
      </c>
      <c r="V28" s="6">
        <v>0</v>
      </c>
      <c r="W28" s="6">
        <f t="shared" si="7"/>
        <v>174.61489267799996</v>
      </c>
      <c r="X28" s="6">
        <v>220.11969254499999</v>
      </c>
      <c r="Y28" s="6">
        <v>0</v>
      </c>
      <c r="Z28" s="6">
        <f t="shared" si="8"/>
        <v>220.11969254499999</v>
      </c>
      <c r="AA28" s="6">
        <v>224.25985318099998</v>
      </c>
      <c r="AB28" s="6">
        <v>0</v>
      </c>
      <c r="AC28" s="6">
        <f t="shared" si="9"/>
        <v>224.25985318099998</v>
      </c>
      <c r="AD28" s="6">
        <v>253.62083899499999</v>
      </c>
      <c r="AE28" s="6">
        <v>0</v>
      </c>
      <c r="AF28" s="6">
        <f t="shared" si="10"/>
        <v>253.62083899499999</v>
      </c>
      <c r="AG28" s="6">
        <v>181.136141514</v>
      </c>
      <c r="AH28" s="6">
        <v>0</v>
      </c>
      <c r="AI28" s="6">
        <f t="shared" si="11"/>
        <v>181.136141514</v>
      </c>
      <c r="AJ28" s="6">
        <v>151.80337565299999</v>
      </c>
      <c r="AK28" s="6">
        <v>440.89459901085871</v>
      </c>
      <c r="AL28" s="6">
        <f t="shared" si="12"/>
        <v>592.69797466385876</v>
      </c>
      <c r="AM28" s="6">
        <v>113.01102879600001</v>
      </c>
      <c r="AN28" s="6">
        <v>257.19521259999999</v>
      </c>
      <c r="AO28" s="6">
        <f t="shared" si="13"/>
        <v>370.206241396</v>
      </c>
    </row>
    <row r="29" spans="1:41" x14ac:dyDescent="0.3">
      <c r="A29" s="2">
        <v>23</v>
      </c>
      <c r="B29" s="3" t="s">
        <v>21</v>
      </c>
      <c r="C29" s="13">
        <f t="shared" si="1"/>
        <v>9082.7140336789998</v>
      </c>
      <c r="D29" s="13">
        <f t="shared" si="1"/>
        <v>1454.4878677537204</v>
      </c>
      <c r="E29" s="13">
        <f t="shared" si="1"/>
        <v>10537.20190143272</v>
      </c>
      <c r="F29" s="14">
        <v>101.97</v>
      </c>
      <c r="G29" s="6">
        <v>0</v>
      </c>
      <c r="H29" s="6">
        <f t="shared" si="2"/>
        <v>101.97</v>
      </c>
      <c r="I29" s="5">
        <v>360.83</v>
      </c>
      <c r="J29" s="6">
        <v>0</v>
      </c>
      <c r="K29" s="6">
        <f t="shared" si="3"/>
        <v>360.83</v>
      </c>
      <c r="L29" s="5">
        <v>455.2</v>
      </c>
      <c r="M29" s="6">
        <v>0</v>
      </c>
      <c r="N29" s="6">
        <f t="shared" si="4"/>
        <v>455.2</v>
      </c>
      <c r="O29" s="6">
        <v>1011.5325330229998</v>
      </c>
      <c r="P29" s="6">
        <v>0</v>
      </c>
      <c r="Q29" s="6">
        <f t="shared" si="5"/>
        <v>1011.5325330229998</v>
      </c>
      <c r="R29" s="6">
        <v>785.55371596499992</v>
      </c>
      <c r="S29" s="6">
        <v>0</v>
      </c>
      <c r="T29" s="6">
        <f t="shared" si="6"/>
        <v>785.55371596499992</v>
      </c>
      <c r="U29" s="6">
        <v>854.65839879699979</v>
      </c>
      <c r="V29" s="6">
        <v>0</v>
      </c>
      <c r="W29" s="6">
        <f t="shared" si="7"/>
        <v>854.65839879699979</v>
      </c>
      <c r="X29" s="6">
        <v>979.94751745200028</v>
      </c>
      <c r="Y29" s="6">
        <v>0</v>
      </c>
      <c r="Z29" s="6">
        <f t="shared" si="8"/>
        <v>979.94751745200028</v>
      </c>
      <c r="AA29" s="6">
        <v>979.34793719399988</v>
      </c>
      <c r="AB29" s="6">
        <v>0</v>
      </c>
      <c r="AC29" s="6">
        <f t="shared" si="9"/>
        <v>979.34793719399988</v>
      </c>
      <c r="AD29" s="6">
        <v>1019.6571679450001</v>
      </c>
      <c r="AE29" s="6">
        <v>0</v>
      </c>
      <c r="AF29" s="6">
        <f t="shared" si="10"/>
        <v>1019.6571679450001</v>
      </c>
      <c r="AG29" s="6">
        <v>837.87532567299991</v>
      </c>
      <c r="AH29" s="6">
        <v>0</v>
      </c>
      <c r="AI29" s="6">
        <f t="shared" si="11"/>
        <v>837.87532567299991</v>
      </c>
      <c r="AJ29" s="6">
        <v>827.42813604599996</v>
      </c>
      <c r="AK29" s="6">
        <v>918.61911865372042</v>
      </c>
      <c r="AL29" s="6">
        <f t="shared" si="12"/>
        <v>1746.0472546997203</v>
      </c>
      <c r="AM29" s="6">
        <v>868.71330158400019</v>
      </c>
      <c r="AN29" s="6">
        <v>535.86874909999995</v>
      </c>
      <c r="AO29" s="6">
        <f t="shared" si="13"/>
        <v>1404.582050684</v>
      </c>
    </row>
    <row r="30" spans="1:41" x14ac:dyDescent="0.3">
      <c r="A30" s="2">
        <v>24</v>
      </c>
      <c r="B30" s="3" t="s">
        <v>34</v>
      </c>
      <c r="C30" s="13">
        <f t="shared" si="1"/>
        <v>5996.5946180689989</v>
      </c>
      <c r="D30" s="13">
        <f t="shared" si="1"/>
        <v>2738.0045057679558</v>
      </c>
      <c r="E30" s="13">
        <f t="shared" si="1"/>
        <v>8734.5991238369552</v>
      </c>
      <c r="F30" s="14">
        <v>35.96</v>
      </c>
      <c r="G30" s="6">
        <v>0</v>
      </c>
      <c r="H30" s="6">
        <f t="shared" si="2"/>
        <v>35.96</v>
      </c>
      <c r="I30" s="5">
        <v>491.26</v>
      </c>
      <c r="J30" s="6">
        <v>0</v>
      </c>
      <c r="K30" s="6">
        <f t="shared" si="3"/>
        <v>491.26</v>
      </c>
      <c r="L30" s="5">
        <v>357.4</v>
      </c>
      <c r="M30" s="6">
        <v>0</v>
      </c>
      <c r="N30" s="6">
        <f t="shared" si="4"/>
        <v>357.4</v>
      </c>
      <c r="O30" s="6">
        <v>613.87045929999977</v>
      </c>
      <c r="P30" s="6">
        <v>0</v>
      </c>
      <c r="Q30" s="6">
        <f t="shared" si="5"/>
        <v>613.87045929999977</v>
      </c>
      <c r="R30" s="6">
        <v>396.56842909200003</v>
      </c>
      <c r="S30" s="6">
        <v>0</v>
      </c>
      <c r="T30" s="6">
        <f t="shared" si="6"/>
        <v>396.56842909200003</v>
      </c>
      <c r="U30" s="6">
        <v>452.49924619799998</v>
      </c>
      <c r="V30" s="6">
        <v>0</v>
      </c>
      <c r="W30" s="6">
        <f t="shared" si="7"/>
        <v>452.49924619799998</v>
      </c>
      <c r="X30" s="6">
        <v>470.51700716800002</v>
      </c>
      <c r="Y30" s="6">
        <v>0</v>
      </c>
      <c r="Z30" s="6">
        <f t="shared" si="8"/>
        <v>470.51700716800002</v>
      </c>
      <c r="AA30" s="6">
        <v>456.91082433499975</v>
      </c>
      <c r="AB30" s="6">
        <v>0</v>
      </c>
      <c r="AC30" s="6">
        <f t="shared" si="9"/>
        <v>456.91082433499975</v>
      </c>
      <c r="AD30" s="6">
        <v>475.48247681500004</v>
      </c>
      <c r="AE30" s="6">
        <v>0</v>
      </c>
      <c r="AF30" s="6">
        <f t="shared" si="10"/>
        <v>475.48247681500004</v>
      </c>
      <c r="AG30" s="6">
        <v>748.64473024200015</v>
      </c>
      <c r="AH30" s="6">
        <v>0</v>
      </c>
      <c r="AI30" s="6">
        <f t="shared" si="11"/>
        <v>748.64473024200015</v>
      </c>
      <c r="AJ30" s="6">
        <v>788.94976914600022</v>
      </c>
      <c r="AK30" s="6">
        <v>1729.2676703679558</v>
      </c>
      <c r="AL30" s="6">
        <f t="shared" si="12"/>
        <v>2518.2174395139559</v>
      </c>
      <c r="AM30" s="6">
        <v>708.53167577300019</v>
      </c>
      <c r="AN30" s="6">
        <v>1008.7368354</v>
      </c>
      <c r="AO30" s="6">
        <f t="shared" si="13"/>
        <v>1717.2685111730002</v>
      </c>
    </row>
    <row r="31" spans="1:41" x14ac:dyDescent="0.3">
      <c r="A31" s="2">
        <v>25</v>
      </c>
      <c r="B31" s="3" t="s">
        <v>22</v>
      </c>
      <c r="C31" s="13">
        <f t="shared" si="1"/>
        <v>7.3021915809999998</v>
      </c>
      <c r="D31" s="13">
        <f t="shared" si="1"/>
        <v>61.319834639706258</v>
      </c>
      <c r="E31" s="13">
        <f t="shared" si="1"/>
        <v>68.62202622070626</v>
      </c>
      <c r="F31" s="14">
        <v>1.41</v>
      </c>
      <c r="G31" s="6">
        <v>0</v>
      </c>
      <c r="H31" s="6">
        <f t="shared" si="2"/>
        <v>1.41</v>
      </c>
      <c r="I31" s="5">
        <v>6.18</v>
      </c>
      <c r="J31" s="6">
        <v>0</v>
      </c>
      <c r="K31" s="6">
        <f t="shared" si="3"/>
        <v>6.18</v>
      </c>
      <c r="L31" s="5">
        <v>-1.5</v>
      </c>
      <c r="M31" s="6">
        <v>0</v>
      </c>
      <c r="N31" s="6">
        <f t="shared" si="4"/>
        <v>-1.5</v>
      </c>
      <c r="O31" s="6">
        <v>2.8664339599999997</v>
      </c>
      <c r="P31" s="6">
        <v>0</v>
      </c>
      <c r="Q31" s="6">
        <f t="shared" si="5"/>
        <v>2.8664339599999997</v>
      </c>
      <c r="R31" s="6">
        <v>-3.4478689899999999</v>
      </c>
      <c r="S31" s="6">
        <v>0</v>
      </c>
      <c r="T31" s="6">
        <f t="shared" si="6"/>
        <v>-3.4478689899999999</v>
      </c>
      <c r="U31" s="6">
        <v>0.91120030899999993</v>
      </c>
      <c r="V31" s="6">
        <v>0</v>
      </c>
      <c r="W31" s="6">
        <f t="shared" si="7"/>
        <v>0.91120030899999993</v>
      </c>
      <c r="X31" s="6">
        <v>-0.40430175899999998</v>
      </c>
      <c r="Y31" s="6">
        <v>0</v>
      </c>
      <c r="Z31" s="6">
        <f t="shared" si="8"/>
        <v>-0.40430175899999998</v>
      </c>
      <c r="AA31" s="6">
        <v>0.34001295100000001</v>
      </c>
      <c r="AB31" s="6">
        <v>0</v>
      </c>
      <c r="AC31" s="6">
        <f t="shared" si="9"/>
        <v>0.34001295100000001</v>
      </c>
      <c r="AD31" s="6">
        <v>0.36190027800000002</v>
      </c>
      <c r="AE31" s="6">
        <v>0</v>
      </c>
      <c r="AF31" s="6">
        <f t="shared" si="10"/>
        <v>0.36190027800000002</v>
      </c>
      <c r="AG31" s="6">
        <v>0.76379087699999992</v>
      </c>
      <c r="AH31" s="6">
        <v>0</v>
      </c>
      <c r="AI31" s="6">
        <f t="shared" si="11"/>
        <v>0.76379087699999992</v>
      </c>
      <c r="AJ31" s="6">
        <v>0.21754027000000001</v>
      </c>
      <c r="AK31" s="6">
        <v>38.734006239706254</v>
      </c>
      <c r="AL31" s="6">
        <f t="shared" si="12"/>
        <v>38.951546509706255</v>
      </c>
      <c r="AM31" s="6">
        <v>-0.39651631500000001</v>
      </c>
      <c r="AN31" s="6">
        <v>22.5858284</v>
      </c>
      <c r="AO31" s="6">
        <f t="shared" si="13"/>
        <v>22.189312085000001</v>
      </c>
    </row>
    <row r="32" spans="1:41" x14ac:dyDescent="0.3">
      <c r="A32" s="2">
        <v>26</v>
      </c>
      <c r="B32" s="3" t="s">
        <v>23</v>
      </c>
      <c r="C32" s="13">
        <f t="shared" si="1"/>
        <v>141.116843553</v>
      </c>
      <c r="D32" s="13">
        <f t="shared" si="1"/>
        <v>72.725440941365989</v>
      </c>
      <c r="E32" s="13">
        <f t="shared" si="1"/>
        <v>213.84228449436597</v>
      </c>
      <c r="F32" s="14">
        <v>11.14</v>
      </c>
      <c r="G32" s="6">
        <v>0</v>
      </c>
      <c r="H32" s="6">
        <f t="shared" si="2"/>
        <v>11.14</v>
      </c>
      <c r="I32" s="5">
        <v>4.5999999999999996</v>
      </c>
      <c r="J32" s="6">
        <v>0</v>
      </c>
      <c r="K32" s="6">
        <f t="shared" si="3"/>
        <v>4.5999999999999996</v>
      </c>
      <c r="L32" s="5">
        <v>5.6</v>
      </c>
      <c r="M32" s="6">
        <v>0</v>
      </c>
      <c r="N32" s="6">
        <f t="shared" si="4"/>
        <v>5.6</v>
      </c>
      <c r="O32" s="6">
        <v>2.5945008590000005</v>
      </c>
      <c r="P32" s="6">
        <v>0</v>
      </c>
      <c r="Q32" s="6">
        <f t="shared" si="5"/>
        <v>2.5945008590000005</v>
      </c>
      <c r="R32" s="6">
        <v>6.5737721030000005</v>
      </c>
      <c r="S32" s="6">
        <v>0</v>
      </c>
      <c r="T32" s="6">
        <f t="shared" si="6"/>
        <v>6.5737721030000005</v>
      </c>
      <c r="U32" s="6">
        <v>33.774145082000004</v>
      </c>
      <c r="V32" s="6">
        <v>0</v>
      </c>
      <c r="W32" s="6">
        <f t="shared" si="7"/>
        <v>33.774145082000004</v>
      </c>
      <c r="X32" s="6">
        <v>12.127105711</v>
      </c>
      <c r="Y32" s="6">
        <v>0</v>
      </c>
      <c r="Z32" s="6">
        <f t="shared" si="8"/>
        <v>12.127105711</v>
      </c>
      <c r="AA32" s="6">
        <v>2.8937256790000001</v>
      </c>
      <c r="AB32" s="6">
        <v>0</v>
      </c>
      <c r="AC32" s="6">
        <f t="shared" si="9"/>
        <v>2.8937256790000001</v>
      </c>
      <c r="AD32" s="6">
        <v>6.8219347070000005</v>
      </c>
      <c r="AE32" s="6">
        <v>0</v>
      </c>
      <c r="AF32" s="6">
        <f t="shared" si="10"/>
        <v>6.8219347070000005</v>
      </c>
      <c r="AG32" s="6">
        <v>18.629576258999997</v>
      </c>
      <c r="AH32" s="6">
        <v>0</v>
      </c>
      <c r="AI32" s="6">
        <f t="shared" si="11"/>
        <v>18.629576258999997</v>
      </c>
      <c r="AJ32" s="6">
        <v>37.675963832000001</v>
      </c>
      <c r="AK32" s="6">
        <v>45.927464541365993</v>
      </c>
      <c r="AL32" s="6">
        <f t="shared" si="12"/>
        <v>83.603428373366</v>
      </c>
      <c r="AM32" s="6">
        <v>-1.3138806790000004</v>
      </c>
      <c r="AN32" s="6">
        <v>26.7979764</v>
      </c>
      <c r="AO32" s="6">
        <f t="shared" si="13"/>
        <v>25.484095720999999</v>
      </c>
    </row>
    <row r="33" spans="1:41" x14ac:dyDescent="0.3">
      <c r="A33" s="2">
        <v>27</v>
      </c>
      <c r="B33" s="3" t="s">
        <v>35</v>
      </c>
      <c r="C33" s="13">
        <f t="shared" si="1"/>
        <v>17569.094155003</v>
      </c>
      <c r="D33" s="13">
        <f t="shared" si="1"/>
        <v>5740.9641207396944</v>
      </c>
      <c r="E33" s="13">
        <f t="shared" si="1"/>
        <v>23310.058275742696</v>
      </c>
      <c r="F33" s="14">
        <v>-330.74</v>
      </c>
      <c r="G33" s="6">
        <v>0</v>
      </c>
      <c r="H33" s="6">
        <f t="shared" si="2"/>
        <v>-330.74</v>
      </c>
      <c r="I33" s="5">
        <v>1085.29</v>
      </c>
      <c r="J33" s="6">
        <v>0</v>
      </c>
      <c r="K33" s="6">
        <f t="shared" si="3"/>
        <v>1085.29</v>
      </c>
      <c r="L33" s="5">
        <v>1339.4</v>
      </c>
      <c r="M33" s="6">
        <v>0</v>
      </c>
      <c r="N33" s="6">
        <f t="shared" si="4"/>
        <v>1339.4</v>
      </c>
      <c r="O33" s="6">
        <v>2113.6958261050004</v>
      </c>
      <c r="P33" s="6">
        <v>0</v>
      </c>
      <c r="Q33" s="6">
        <f t="shared" si="5"/>
        <v>2113.6958261050004</v>
      </c>
      <c r="R33" s="6">
        <v>1258.2589831619998</v>
      </c>
      <c r="S33" s="6">
        <v>0</v>
      </c>
      <c r="T33" s="6">
        <f t="shared" si="6"/>
        <v>1258.2589831619998</v>
      </c>
      <c r="U33" s="6">
        <v>1412.5601477210002</v>
      </c>
      <c r="V33" s="6">
        <v>0</v>
      </c>
      <c r="W33" s="6">
        <f t="shared" si="7"/>
        <v>1412.5601477210002</v>
      </c>
      <c r="X33" s="6">
        <v>1562.8726009950001</v>
      </c>
      <c r="Y33" s="6">
        <v>0</v>
      </c>
      <c r="Z33" s="6">
        <f t="shared" si="8"/>
        <v>1562.8726009950001</v>
      </c>
      <c r="AA33" s="6">
        <v>1378.530796989</v>
      </c>
      <c r="AB33" s="6">
        <v>0</v>
      </c>
      <c r="AC33" s="6">
        <f t="shared" si="9"/>
        <v>1378.530796989</v>
      </c>
      <c r="AD33" s="6">
        <v>1960.558742212</v>
      </c>
      <c r="AE33" s="6">
        <v>0</v>
      </c>
      <c r="AF33" s="6">
        <f t="shared" si="10"/>
        <v>1960.558742212</v>
      </c>
      <c r="AG33" s="6">
        <v>1792.987802893</v>
      </c>
      <c r="AH33" s="6">
        <v>0</v>
      </c>
      <c r="AI33" s="6">
        <f t="shared" si="11"/>
        <v>1792.987802893</v>
      </c>
      <c r="AJ33" s="6">
        <v>2006.223175457</v>
      </c>
      <c r="AK33" s="6">
        <v>3625.866656439694</v>
      </c>
      <c r="AL33" s="6">
        <f t="shared" si="12"/>
        <v>5632.0898318966938</v>
      </c>
      <c r="AM33" s="6">
        <v>1989.4560794690003</v>
      </c>
      <c r="AN33" s="6">
        <v>2115.0974643</v>
      </c>
      <c r="AO33" s="6">
        <f t="shared" si="13"/>
        <v>4104.5535437690005</v>
      </c>
    </row>
    <row r="34" spans="1:41" x14ac:dyDescent="0.3">
      <c r="A34" s="2">
        <v>29</v>
      </c>
      <c r="B34" s="3" t="s">
        <v>24</v>
      </c>
      <c r="C34" s="13">
        <f t="shared" si="1"/>
        <v>14995.507570932999</v>
      </c>
      <c r="D34" s="13">
        <f t="shared" si="1"/>
        <v>3429.5100893434151</v>
      </c>
      <c r="E34" s="13">
        <f t="shared" si="1"/>
        <v>18425.017660276415</v>
      </c>
      <c r="F34" s="14">
        <v>264.52999999999997</v>
      </c>
      <c r="G34" s="6">
        <v>0</v>
      </c>
      <c r="H34" s="6">
        <f t="shared" si="2"/>
        <v>264.52999999999997</v>
      </c>
      <c r="I34" s="5">
        <v>724.82</v>
      </c>
      <c r="J34" s="6">
        <v>0</v>
      </c>
      <c r="K34" s="6">
        <f t="shared" si="3"/>
        <v>724.82</v>
      </c>
      <c r="L34" s="5">
        <v>960.8</v>
      </c>
      <c r="M34" s="6">
        <v>0</v>
      </c>
      <c r="N34" s="6">
        <f t="shared" si="4"/>
        <v>960.8</v>
      </c>
      <c r="O34" s="6">
        <v>1616.1189104290002</v>
      </c>
      <c r="P34" s="6">
        <v>0</v>
      </c>
      <c r="Q34" s="6">
        <f t="shared" si="5"/>
        <v>1616.1189104290002</v>
      </c>
      <c r="R34" s="6">
        <v>1389.0791812269999</v>
      </c>
      <c r="S34" s="6">
        <v>0</v>
      </c>
      <c r="T34" s="6">
        <f t="shared" si="6"/>
        <v>1389.0791812269999</v>
      </c>
      <c r="U34" s="6">
        <v>1478.8022172449998</v>
      </c>
      <c r="V34" s="6">
        <v>0</v>
      </c>
      <c r="W34" s="6">
        <f t="shared" si="7"/>
        <v>1478.8022172449998</v>
      </c>
      <c r="X34" s="6">
        <v>1656.4451044530001</v>
      </c>
      <c r="Y34" s="6">
        <v>0</v>
      </c>
      <c r="Z34" s="6">
        <f t="shared" si="8"/>
        <v>1656.4451044530001</v>
      </c>
      <c r="AA34" s="6">
        <v>1336.6992017279999</v>
      </c>
      <c r="AB34" s="6">
        <v>0</v>
      </c>
      <c r="AC34" s="6">
        <f t="shared" si="9"/>
        <v>1336.6992017279999</v>
      </c>
      <c r="AD34" s="6">
        <v>1227.4496036119997</v>
      </c>
      <c r="AE34" s="6">
        <v>0</v>
      </c>
      <c r="AF34" s="6">
        <f t="shared" si="10"/>
        <v>1227.4496036119997</v>
      </c>
      <c r="AG34" s="6">
        <v>1505.306866826</v>
      </c>
      <c r="AH34" s="6">
        <v>0</v>
      </c>
      <c r="AI34" s="6">
        <f t="shared" si="11"/>
        <v>1505.306866826</v>
      </c>
      <c r="AJ34" s="6">
        <v>1445.0514122169998</v>
      </c>
      <c r="AK34" s="6">
        <v>2166.010919943415</v>
      </c>
      <c r="AL34" s="6">
        <f t="shared" si="12"/>
        <v>3611.0623321604148</v>
      </c>
      <c r="AM34" s="6">
        <v>1390.4050731960001</v>
      </c>
      <c r="AN34" s="6">
        <v>1263.4991694</v>
      </c>
      <c r="AO34" s="6">
        <f t="shared" si="13"/>
        <v>2653.9042425960001</v>
      </c>
    </row>
    <row r="35" spans="1:41" x14ac:dyDescent="0.3">
      <c r="A35" s="2">
        <v>30</v>
      </c>
      <c r="B35" s="3" t="s">
        <v>25</v>
      </c>
      <c r="C35" s="13">
        <f t="shared" si="1"/>
        <v>677.99880154799996</v>
      </c>
      <c r="D35" s="13">
        <f t="shared" si="1"/>
        <v>206.96868918641584</v>
      </c>
      <c r="E35" s="13">
        <f t="shared" si="1"/>
        <v>884.96749073441583</v>
      </c>
      <c r="F35" s="14">
        <v>6.21</v>
      </c>
      <c r="G35" s="6">
        <v>0</v>
      </c>
      <c r="H35" s="6">
        <f t="shared" si="2"/>
        <v>6.21</v>
      </c>
      <c r="I35" s="5">
        <v>30.62</v>
      </c>
      <c r="J35" s="6">
        <v>0</v>
      </c>
      <c r="K35" s="6">
        <f t="shared" si="3"/>
        <v>30.62</v>
      </c>
      <c r="L35" s="5">
        <v>58</v>
      </c>
      <c r="M35" s="6">
        <v>0</v>
      </c>
      <c r="N35" s="6">
        <f t="shared" si="4"/>
        <v>58</v>
      </c>
      <c r="O35" s="6">
        <v>57.149087255000005</v>
      </c>
      <c r="P35" s="6">
        <v>0</v>
      </c>
      <c r="Q35" s="6">
        <f t="shared" si="5"/>
        <v>57.149087255000005</v>
      </c>
      <c r="R35" s="6">
        <v>45.875178257000002</v>
      </c>
      <c r="S35" s="6">
        <v>0</v>
      </c>
      <c r="T35" s="6">
        <f t="shared" si="6"/>
        <v>45.875178257000002</v>
      </c>
      <c r="U35" s="6">
        <v>45.434926592000004</v>
      </c>
      <c r="V35" s="6">
        <v>0</v>
      </c>
      <c r="W35" s="6">
        <f t="shared" si="7"/>
        <v>45.434926592000004</v>
      </c>
      <c r="X35" s="6">
        <v>68.46937540399999</v>
      </c>
      <c r="Y35" s="6">
        <v>0</v>
      </c>
      <c r="Z35" s="6">
        <f t="shared" si="8"/>
        <v>68.46937540399999</v>
      </c>
      <c r="AA35" s="6">
        <v>63.010972537000015</v>
      </c>
      <c r="AB35" s="6">
        <v>0</v>
      </c>
      <c r="AC35" s="6">
        <f t="shared" si="9"/>
        <v>63.010972537000015</v>
      </c>
      <c r="AD35" s="6">
        <v>68.294266812000004</v>
      </c>
      <c r="AE35" s="6">
        <v>0</v>
      </c>
      <c r="AF35" s="6">
        <f t="shared" si="10"/>
        <v>68.294266812000004</v>
      </c>
      <c r="AG35" s="6">
        <v>88.832982332</v>
      </c>
      <c r="AH35" s="6">
        <v>0</v>
      </c>
      <c r="AI35" s="6">
        <f t="shared" si="11"/>
        <v>88.832982332</v>
      </c>
      <c r="AJ35" s="6">
        <v>80.205078917000009</v>
      </c>
      <c r="AK35" s="6">
        <v>130.71428478641585</v>
      </c>
      <c r="AL35" s="6">
        <f t="shared" si="12"/>
        <v>210.91936370341585</v>
      </c>
      <c r="AM35" s="6">
        <v>65.896933441999991</v>
      </c>
      <c r="AN35" s="6">
        <v>76.254404399999999</v>
      </c>
      <c r="AO35" s="6">
        <f t="shared" si="13"/>
        <v>142.15133784199998</v>
      </c>
    </row>
    <row r="36" spans="1:41" x14ac:dyDescent="0.3">
      <c r="A36" s="2">
        <v>31</v>
      </c>
      <c r="B36" s="3" t="s">
        <v>26</v>
      </c>
      <c r="C36" s="13">
        <f t="shared" si="1"/>
        <v>18.687988047000001</v>
      </c>
      <c r="D36" s="13">
        <f t="shared" si="1"/>
        <v>0</v>
      </c>
      <c r="E36" s="13">
        <f t="shared" si="1"/>
        <v>18.687988047000001</v>
      </c>
      <c r="F36" s="14">
        <v>0.54</v>
      </c>
      <c r="G36" s="6">
        <v>0</v>
      </c>
      <c r="H36" s="6">
        <f t="shared" si="2"/>
        <v>0.54</v>
      </c>
      <c r="I36" s="5">
        <v>1.0900000000000001</v>
      </c>
      <c r="J36" s="6">
        <v>0</v>
      </c>
      <c r="K36" s="6">
        <f t="shared" si="3"/>
        <v>1.0900000000000001</v>
      </c>
      <c r="L36" s="5">
        <v>0.8</v>
      </c>
      <c r="M36" s="6">
        <v>0</v>
      </c>
      <c r="N36" s="6">
        <f t="shared" si="4"/>
        <v>0.8</v>
      </c>
      <c r="O36" s="6">
        <v>1.814887471</v>
      </c>
      <c r="P36" s="6">
        <v>0</v>
      </c>
      <c r="Q36" s="6">
        <f t="shared" si="5"/>
        <v>1.814887471</v>
      </c>
      <c r="R36" s="6">
        <v>1.6836652109999999</v>
      </c>
      <c r="S36" s="6">
        <v>0</v>
      </c>
      <c r="T36" s="6">
        <f t="shared" si="6"/>
        <v>1.6836652109999999</v>
      </c>
      <c r="U36" s="6">
        <v>2.5089280769999998</v>
      </c>
      <c r="V36" s="6">
        <v>0</v>
      </c>
      <c r="W36" s="6">
        <f t="shared" si="7"/>
        <v>2.5089280769999998</v>
      </c>
      <c r="X36" s="6">
        <v>1.1977747560000001</v>
      </c>
      <c r="Y36" s="6">
        <v>0</v>
      </c>
      <c r="Z36" s="6">
        <f t="shared" si="8"/>
        <v>1.1977747560000001</v>
      </c>
      <c r="AA36" s="6">
        <v>1.668028933</v>
      </c>
      <c r="AB36" s="6">
        <v>0</v>
      </c>
      <c r="AC36" s="6">
        <f t="shared" si="9"/>
        <v>1.668028933</v>
      </c>
      <c r="AD36" s="6">
        <v>1.9377370410000001</v>
      </c>
      <c r="AE36" s="6">
        <v>0</v>
      </c>
      <c r="AF36" s="6">
        <f t="shared" si="10"/>
        <v>1.9377370410000001</v>
      </c>
      <c r="AG36" s="6">
        <v>1.9568126540000004</v>
      </c>
      <c r="AH36" s="6">
        <v>0</v>
      </c>
      <c r="AI36" s="6">
        <f t="shared" si="11"/>
        <v>1.9568126540000004</v>
      </c>
      <c r="AJ36" s="6">
        <v>2.050417339</v>
      </c>
      <c r="AK36" s="6">
        <v>0</v>
      </c>
      <c r="AL36" s="6">
        <f t="shared" si="12"/>
        <v>2.050417339</v>
      </c>
      <c r="AM36" s="6">
        <v>1.439736565</v>
      </c>
      <c r="AN36" s="6">
        <v>0</v>
      </c>
      <c r="AO36" s="6">
        <f t="shared" si="13"/>
        <v>1.439736565</v>
      </c>
    </row>
    <row r="37" spans="1:41" x14ac:dyDescent="0.3">
      <c r="A37" s="2">
        <v>32</v>
      </c>
      <c r="B37" s="3" t="s">
        <v>27</v>
      </c>
      <c r="C37" s="13">
        <f t="shared" si="1"/>
        <v>9343.0437894999977</v>
      </c>
      <c r="D37" s="13">
        <f t="shared" si="1"/>
        <v>1596.1168290198862</v>
      </c>
      <c r="E37" s="13">
        <f t="shared" si="1"/>
        <v>10939.160618519883</v>
      </c>
      <c r="F37" s="14">
        <v>73.47</v>
      </c>
      <c r="G37" s="6">
        <v>0</v>
      </c>
      <c r="H37" s="6">
        <f t="shared" si="2"/>
        <v>73.47</v>
      </c>
      <c r="I37" s="5">
        <v>326.36</v>
      </c>
      <c r="J37" s="6">
        <v>0</v>
      </c>
      <c r="K37" s="6">
        <f t="shared" si="3"/>
        <v>326.36</v>
      </c>
      <c r="L37" s="5">
        <v>520.6</v>
      </c>
      <c r="M37" s="6">
        <v>0</v>
      </c>
      <c r="N37" s="6">
        <f t="shared" si="4"/>
        <v>520.6</v>
      </c>
      <c r="O37" s="6">
        <v>872.42756902500003</v>
      </c>
      <c r="P37" s="6">
        <v>0</v>
      </c>
      <c r="Q37" s="6">
        <f t="shared" si="5"/>
        <v>872.42756902500003</v>
      </c>
      <c r="R37" s="6">
        <v>733.7361251179999</v>
      </c>
      <c r="S37" s="6">
        <v>0</v>
      </c>
      <c r="T37" s="6">
        <f t="shared" si="6"/>
        <v>733.7361251179999</v>
      </c>
      <c r="U37" s="6">
        <v>938.67484270400007</v>
      </c>
      <c r="V37" s="6">
        <v>0</v>
      </c>
      <c r="W37" s="6">
        <f t="shared" si="7"/>
        <v>938.67484270400007</v>
      </c>
      <c r="X37" s="6">
        <v>1025.8822320909999</v>
      </c>
      <c r="Y37" s="6">
        <v>0</v>
      </c>
      <c r="Z37" s="6">
        <f t="shared" si="8"/>
        <v>1025.8822320909999</v>
      </c>
      <c r="AA37" s="6">
        <v>865.183943333</v>
      </c>
      <c r="AB37" s="6">
        <v>0</v>
      </c>
      <c r="AC37" s="6">
        <f t="shared" si="9"/>
        <v>865.183943333</v>
      </c>
      <c r="AD37" s="6">
        <v>999.08549677899987</v>
      </c>
      <c r="AE37" s="6">
        <v>0</v>
      </c>
      <c r="AF37" s="6">
        <f t="shared" si="10"/>
        <v>999.08549677899987</v>
      </c>
      <c r="AG37" s="6">
        <v>1002.7470095629999</v>
      </c>
      <c r="AH37" s="6">
        <v>0</v>
      </c>
      <c r="AI37" s="6">
        <f t="shared" si="11"/>
        <v>1002.7470095629999</v>
      </c>
      <c r="AJ37" s="6">
        <v>1017.7861438049999</v>
      </c>
      <c r="AK37" s="6">
        <v>1008.0682804198863</v>
      </c>
      <c r="AL37" s="6">
        <f t="shared" si="12"/>
        <v>2025.8544242248863</v>
      </c>
      <c r="AM37" s="6">
        <v>967.09042708199979</v>
      </c>
      <c r="AN37" s="6">
        <v>588.0485486</v>
      </c>
      <c r="AO37" s="6">
        <f t="shared" si="13"/>
        <v>1555.1389756819999</v>
      </c>
    </row>
    <row r="38" spans="1:41" x14ac:dyDescent="0.3">
      <c r="A38" s="2">
        <v>33</v>
      </c>
      <c r="B38" s="3" t="s">
        <v>28</v>
      </c>
      <c r="C38" s="13">
        <f t="shared" si="1"/>
        <v>11213.236956604</v>
      </c>
      <c r="D38" s="13">
        <f t="shared" si="1"/>
        <v>2826.2631861834443</v>
      </c>
      <c r="E38" s="13">
        <f t="shared" si="1"/>
        <v>14039.500142787445</v>
      </c>
      <c r="F38" s="14">
        <v>150.29</v>
      </c>
      <c r="G38" s="6">
        <v>0</v>
      </c>
      <c r="H38" s="6">
        <f t="shared" si="2"/>
        <v>150.29</v>
      </c>
      <c r="I38" s="5">
        <v>745.62</v>
      </c>
      <c r="J38" s="6">
        <v>0</v>
      </c>
      <c r="K38" s="6">
        <f t="shared" si="3"/>
        <v>745.62</v>
      </c>
      <c r="L38" s="5">
        <v>890.1</v>
      </c>
      <c r="M38" s="6">
        <v>0</v>
      </c>
      <c r="N38" s="6">
        <f t="shared" si="4"/>
        <v>890.1</v>
      </c>
      <c r="O38" s="6">
        <v>1294.715788921</v>
      </c>
      <c r="P38" s="6">
        <v>0</v>
      </c>
      <c r="Q38" s="6">
        <f t="shared" si="5"/>
        <v>1294.715788921</v>
      </c>
      <c r="R38" s="6">
        <v>663.69170640499999</v>
      </c>
      <c r="S38" s="6">
        <v>0</v>
      </c>
      <c r="T38" s="6">
        <f t="shared" si="6"/>
        <v>663.69170640499999</v>
      </c>
      <c r="U38" s="6">
        <v>1008.7161448860001</v>
      </c>
      <c r="V38" s="6">
        <v>0</v>
      </c>
      <c r="W38" s="6">
        <f t="shared" si="7"/>
        <v>1008.7161448860001</v>
      </c>
      <c r="X38" s="6">
        <v>1115.5591647729998</v>
      </c>
      <c r="Y38" s="6">
        <v>0</v>
      </c>
      <c r="Z38" s="6">
        <f t="shared" si="8"/>
        <v>1115.5591647729998</v>
      </c>
      <c r="AA38" s="6">
        <v>937.30480923800008</v>
      </c>
      <c r="AB38" s="6">
        <v>0</v>
      </c>
      <c r="AC38" s="6">
        <f t="shared" si="9"/>
        <v>937.30480923800008</v>
      </c>
      <c r="AD38" s="6">
        <v>987.48220001000004</v>
      </c>
      <c r="AE38" s="6">
        <v>0</v>
      </c>
      <c r="AF38" s="6">
        <f t="shared" si="10"/>
        <v>987.48220001000004</v>
      </c>
      <c r="AG38" s="6">
        <v>1488.955024931</v>
      </c>
      <c r="AH38" s="6">
        <v>0</v>
      </c>
      <c r="AI38" s="6">
        <f t="shared" si="11"/>
        <v>1488.955024931</v>
      </c>
      <c r="AJ38" s="6">
        <v>946.81177172999992</v>
      </c>
      <c r="AK38" s="6">
        <v>1785.0092939834442</v>
      </c>
      <c r="AL38" s="6">
        <f t="shared" si="12"/>
        <v>2731.8210657134441</v>
      </c>
      <c r="AM38" s="6">
        <v>983.99034571000004</v>
      </c>
      <c r="AN38" s="6">
        <v>1041.2538922000001</v>
      </c>
      <c r="AO38" s="6">
        <f t="shared" si="13"/>
        <v>2025.2442379100003</v>
      </c>
    </row>
    <row r="39" spans="1:41" x14ac:dyDescent="0.3">
      <c r="A39" s="2">
        <v>34</v>
      </c>
      <c r="B39" s="3" t="s">
        <v>29</v>
      </c>
      <c r="C39" s="13">
        <f t="shared" si="1"/>
        <v>347.40239244899999</v>
      </c>
      <c r="D39" s="13">
        <f t="shared" si="1"/>
        <v>103.93159984605573</v>
      </c>
      <c r="E39" s="13">
        <f t="shared" si="1"/>
        <v>451.33399229505568</v>
      </c>
      <c r="F39" s="14">
        <v>-0.13</v>
      </c>
      <c r="G39" s="6">
        <v>0</v>
      </c>
      <c r="H39" s="6">
        <f t="shared" si="2"/>
        <v>-0.13</v>
      </c>
      <c r="I39" s="5">
        <v>12.02</v>
      </c>
      <c r="J39" s="6">
        <v>0</v>
      </c>
      <c r="K39" s="6">
        <f t="shared" si="3"/>
        <v>12.02</v>
      </c>
      <c r="L39" s="5">
        <v>17.5</v>
      </c>
      <c r="M39" s="6">
        <v>0</v>
      </c>
      <c r="N39" s="6">
        <f t="shared" si="4"/>
        <v>17.5</v>
      </c>
      <c r="O39" s="6">
        <v>31.489675351000006</v>
      </c>
      <c r="P39" s="6">
        <v>0</v>
      </c>
      <c r="Q39" s="6">
        <f t="shared" si="5"/>
        <v>31.489675351000006</v>
      </c>
      <c r="R39" s="6">
        <v>25.527421944</v>
      </c>
      <c r="S39" s="6">
        <v>0</v>
      </c>
      <c r="T39" s="6">
        <f t="shared" si="6"/>
        <v>25.527421944</v>
      </c>
      <c r="U39" s="6">
        <v>33.502662371</v>
      </c>
      <c r="V39" s="6">
        <v>0</v>
      </c>
      <c r="W39" s="6">
        <f t="shared" si="7"/>
        <v>33.502662371</v>
      </c>
      <c r="X39" s="6">
        <v>38.645253533999998</v>
      </c>
      <c r="Y39" s="6">
        <v>0</v>
      </c>
      <c r="Z39" s="6">
        <f t="shared" si="8"/>
        <v>38.645253533999998</v>
      </c>
      <c r="AA39" s="6">
        <v>35.679247500999999</v>
      </c>
      <c r="AB39" s="6">
        <v>0</v>
      </c>
      <c r="AC39" s="6">
        <f t="shared" si="9"/>
        <v>35.679247500999999</v>
      </c>
      <c r="AD39" s="6">
        <v>43.288475835</v>
      </c>
      <c r="AE39" s="6">
        <v>0</v>
      </c>
      <c r="AF39" s="6">
        <f t="shared" si="10"/>
        <v>43.288475835</v>
      </c>
      <c r="AG39" s="6">
        <v>40.029075278999997</v>
      </c>
      <c r="AH39" s="6">
        <v>0</v>
      </c>
      <c r="AI39" s="6">
        <f t="shared" si="11"/>
        <v>40.029075278999997</v>
      </c>
      <c r="AJ39" s="6">
        <v>36.773733552000003</v>
      </c>
      <c r="AK39" s="6">
        <v>65.640995346055732</v>
      </c>
      <c r="AL39" s="6">
        <f t="shared" si="12"/>
        <v>102.41472889805573</v>
      </c>
      <c r="AM39" s="6">
        <v>33.076847082</v>
      </c>
      <c r="AN39" s="6">
        <v>38.290604500000001</v>
      </c>
      <c r="AO39" s="6">
        <f t="shared" si="13"/>
        <v>71.367451582000001</v>
      </c>
    </row>
    <row r="40" spans="1:41" x14ac:dyDescent="0.3">
      <c r="A40" s="2">
        <v>35</v>
      </c>
      <c r="B40" s="3" t="s">
        <v>43</v>
      </c>
      <c r="C40" s="13">
        <f t="shared" si="1"/>
        <v>205.721945382</v>
      </c>
      <c r="D40" s="13">
        <f t="shared" si="1"/>
        <v>9.645311309096698</v>
      </c>
      <c r="E40" s="13">
        <f t="shared" si="1"/>
        <v>215.36725669109669</v>
      </c>
      <c r="F40" s="14">
        <v>2.31</v>
      </c>
      <c r="G40" s="6">
        <v>0</v>
      </c>
      <c r="H40" s="6">
        <f t="shared" si="2"/>
        <v>2.31</v>
      </c>
      <c r="I40" s="5">
        <v>7.54</v>
      </c>
      <c r="J40" s="6">
        <v>0</v>
      </c>
      <c r="K40" s="6">
        <f t="shared" si="3"/>
        <v>7.54</v>
      </c>
      <c r="L40" s="5">
        <v>14.1</v>
      </c>
      <c r="M40" s="6">
        <v>0</v>
      </c>
      <c r="N40" s="6">
        <f t="shared" si="4"/>
        <v>14.1</v>
      </c>
      <c r="O40" s="6">
        <v>20.260607234999998</v>
      </c>
      <c r="P40" s="6">
        <v>0</v>
      </c>
      <c r="Q40" s="6">
        <f t="shared" si="5"/>
        <v>20.260607234999998</v>
      </c>
      <c r="R40" s="6">
        <v>13.852804799000001</v>
      </c>
      <c r="S40" s="6">
        <v>0</v>
      </c>
      <c r="T40" s="6">
        <f t="shared" si="6"/>
        <v>13.852804799000001</v>
      </c>
      <c r="U40" s="6">
        <v>21.292840972</v>
      </c>
      <c r="V40" s="6">
        <v>0</v>
      </c>
      <c r="W40" s="6">
        <f t="shared" si="7"/>
        <v>21.292840972</v>
      </c>
      <c r="X40" s="6">
        <v>25.888117703999999</v>
      </c>
      <c r="Y40" s="6">
        <v>0</v>
      </c>
      <c r="Z40" s="6">
        <f t="shared" si="8"/>
        <v>25.888117703999999</v>
      </c>
      <c r="AA40" s="6">
        <v>20.333538495999999</v>
      </c>
      <c r="AB40" s="6">
        <v>0</v>
      </c>
      <c r="AC40" s="6">
        <f t="shared" si="9"/>
        <v>20.333538495999999</v>
      </c>
      <c r="AD40" s="6">
        <v>20.996587722999998</v>
      </c>
      <c r="AE40" s="6">
        <v>0</v>
      </c>
      <c r="AF40" s="6">
        <f t="shared" si="10"/>
        <v>20.996587722999998</v>
      </c>
      <c r="AG40" s="6">
        <v>20.189540556000001</v>
      </c>
      <c r="AH40" s="6">
        <v>0</v>
      </c>
      <c r="AI40" s="6">
        <f t="shared" si="11"/>
        <v>20.189540556000001</v>
      </c>
      <c r="AJ40" s="6">
        <v>20.329164331999998</v>
      </c>
      <c r="AK40" s="6">
        <v>6.0867724090966986</v>
      </c>
      <c r="AL40" s="6">
        <f t="shared" si="12"/>
        <v>26.415936741096697</v>
      </c>
      <c r="AM40" s="6">
        <v>18.628743565000001</v>
      </c>
      <c r="AN40" s="6">
        <v>3.5585388999999998</v>
      </c>
      <c r="AO40" s="6">
        <f t="shared" si="13"/>
        <v>22.187282464999999</v>
      </c>
    </row>
    <row r="41" spans="1:41" x14ac:dyDescent="0.3">
      <c r="A41" s="2">
        <v>36</v>
      </c>
      <c r="B41" s="3" t="s">
        <v>30</v>
      </c>
      <c r="C41" s="13">
        <f t="shared" si="1"/>
        <v>10511.822317811</v>
      </c>
      <c r="D41" s="13">
        <f t="shared" si="1"/>
        <v>1528.4690317162908</v>
      </c>
      <c r="E41" s="13">
        <f t="shared" si="1"/>
        <v>12040.291349527291</v>
      </c>
      <c r="F41" s="14">
        <v>197.55</v>
      </c>
      <c r="G41" s="6">
        <v>0</v>
      </c>
      <c r="H41" s="6">
        <f t="shared" si="2"/>
        <v>197.55</v>
      </c>
      <c r="I41" s="5">
        <v>363.62</v>
      </c>
      <c r="J41" s="6">
        <v>0</v>
      </c>
      <c r="K41" s="6">
        <f t="shared" si="3"/>
        <v>363.62</v>
      </c>
      <c r="L41" s="5">
        <v>572.29999999999995</v>
      </c>
      <c r="M41" s="6">
        <v>0</v>
      </c>
      <c r="N41" s="6">
        <f t="shared" si="4"/>
        <v>572.29999999999995</v>
      </c>
      <c r="O41" s="6">
        <v>950.94282990200008</v>
      </c>
      <c r="P41" s="6">
        <v>0</v>
      </c>
      <c r="Q41" s="6">
        <f t="shared" si="5"/>
        <v>950.94282990200008</v>
      </c>
      <c r="R41" s="6">
        <v>982.14875628900018</v>
      </c>
      <c r="S41" s="6">
        <v>0</v>
      </c>
      <c r="T41" s="6">
        <f t="shared" si="6"/>
        <v>982.14875628900018</v>
      </c>
      <c r="U41" s="6">
        <v>1034.3553228750002</v>
      </c>
      <c r="V41" s="6">
        <v>0</v>
      </c>
      <c r="W41" s="6">
        <f t="shared" si="7"/>
        <v>1034.3553228750002</v>
      </c>
      <c r="X41" s="6">
        <v>1076.8767365040001</v>
      </c>
      <c r="Y41" s="6">
        <v>0</v>
      </c>
      <c r="Z41" s="6">
        <f t="shared" si="8"/>
        <v>1076.8767365040001</v>
      </c>
      <c r="AA41" s="6">
        <v>1025.277775755</v>
      </c>
      <c r="AB41" s="6">
        <v>0</v>
      </c>
      <c r="AC41" s="6">
        <f t="shared" si="9"/>
        <v>1025.277775755</v>
      </c>
      <c r="AD41" s="6">
        <v>1024.6861764989999</v>
      </c>
      <c r="AE41" s="6">
        <v>0</v>
      </c>
      <c r="AF41" s="6">
        <f t="shared" si="10"/>
        <v>1024.6861764989999</v>
      </c>
      <c r="AG41" s="6">
        <v>1137.4837424960001</v>
      </c>
      <c r="AH41" s="6">
        <v>0</v>
      </c>
      <c r="AI41" s="6">
        <f t="shared" si="11"/>
        <v>1137.4837424960001</v>
      </c>
      <c r="AJ41" s="6">
        <v>1116.643556238</v>
      </c>
      <c r="AK41" s="6">
        <v>965.34841101629081</v>
      </c>
      <c r="AL41" s="6">
        <f t="shared" si="12"/>
        <v>2081.991967254291</v>
      </c>
      <c r="AM41" s="6">
        <v>1029.9374212530001</v>
      </c>
      <c r="AN41" s="6">
        <v>563.12062070000002</v>
      </c>
      <c r="AO41" s="6">
        <f t="shared" si="13"/>
        <v>1593.0580419530002</v>
      </c>
    </row>
    <row r="42" spans="1:41" x14ac:dyDescent="0.3">
      <c r="A42" s="2">
        <v>37</v>
      </c>
      <c r="B42" s="3" t="s">
        <v>31</v>
      </c>
      <c r="C42" s="13">
        <f t="shared" si="1"/>
        <v>9284.6578690750011</v>
      </c>
      <c r="D42" s="13">
        <f t="shared" si="1"/>
        <v>1316.3296734721253</v>
      </c>
      <c r="E42" s="13">
        <f t="shared" si="1"/>
        <v>10600.987542547125</v>
      </c>
      <c r="F42" s="14">
        <v>144.47999999999999</v>
      </c>
      <c r="G42" s="6">
        <v>0</v>
      </c>
      <c r="H42" s="6">
        <f t="shared" si="2"/>
        <v>144.47999999999999</v>
      </c>
      <c r="I42" s="5">
        <v>366.73</v>
      </c>
      <c r="J42" s="6">
        <v>0</v>
      </c>
      <c r="K42" s="6">
        <f t="shared" si="3"/>
        <v>366.73</v>
      </c>
      <c r="L42" s="5">
        <v>546.9</v>
      </c>
      <c r="M42" s="6">
        <v>0</v>
      </c>
      <c r="N42" s="6">
        <f t="shared" si="4"/>
        <v>546.9</v>
      </c>
      <c r="O42" s="6">
        <v>1025.143344246</v>
      </c>
      <c r="P42" s="6">
        <v>0</v>
      </c>
      <c r="Q42" s="6">
        <f t="shared" si="5"/>
        <v>1025.143344246</v>
      </c>
      <c r="R42" s="6">
        <v>827.38493648200006</v>
      </c>
      <c r="S42" s="6">
        <v>0</v>
      </c>
      <c r="T42" s="6">
        <f t="shared" si="6"/>
        <v>827.38493648200006</v>
      </c>
      <c r="U42" s="6">
        <v>1065.3069705120001</v>
      </c>
      <c r="V42" s="6">
        <v>0</v>
      </c>
      <c r="W42" s="6">
        <f t="shared" si="7"/>
        <v>1065.3069705120001</v>
      </c>
      <c r="X42" s="6">
        <v>1156.4618705509997</v>
      </c>
      <c r="Y42" s="6">
        <v>0</v>
      </c>
      <c r="Z42" s="6">
        <f t="shared" si="8"/>
        <v>1156.4618705509997</v>
      </c>
      <c r="AA42" s="6">
        <v>824.13054158299985</v>
      </c>
      <c r="AB42" s="6">
        <v>0</v>
      </c>
      <c r="AC42" s="6">
        <f t="shared" si="9"/>
        <v>824.13054158299985</v>
      </c>
      <c r="AD42" s="6">
        <v>749.17435342600004</v>
      </c>
      <c r="AE42" s="6">
        <v>0</v>
      </c>
      <c r="AF42" s="6">
        <f t="shared" si="10"/>
        <v>749.17435342600004</v>
      </c>
      <c r="AG42" s="6">
        <v>1007.406540567</v>
      </c>
      <c r="AH42" s="6">
        <v>0</v>
      </c>
      <c r="AI42" s="6">
        <f t="shared" si="11"/>
        <v>1007.406540567</v>
      </c>
      <c r="AJ42" s="6">
        <v>768.53972275800004</v>
      </c>
      <c r="AK42" s="6">
        <v>831.36981727212526</v>
      </c>
      <c r="AL42" s="6">
        <f t="shared" si="12"/>
        <v>1599.9095400301253</v>
      </c>
      <c r="AM42" s="6">
        <v>802.99958894999986</v>
      </c>
      <c r="AN42" s="6">
        <v>484.95985619999999</v>
      </c>
      <c r="AO42" s="6">
        <f t="shared" si="13"/>
        <v>1287.9594451499997</v>
      </c>
    </row>
    <row r="43" spans="1:41" x14ac:dyDescent="0.3">
      <c r="A43" s="2">
        <v>38</v>
      </c>
      <c r="B43" s="3" t="s">
        <v>40</v>
      </c>
      <c r="C43" s="13">
        <f t="shared" si="1"/>
        <v>126.08499352700001</v>
      </c>
      <c r="D43" s="13">
        <f t="shared" si="1"/>
        <v>0</v>
      </c>
      <c r="E43" s="13">
        <f t="shared" si="1"/>
        <v>126.08499352700001</v>
      </c>
      <c r="F43" s="6"/>
      <c r="G43" s="6">
        <v>0</v>
      </c>
      <c r="H43" s="6">
        <f t="shared" si="2"/>
        <v>0</v>
      </c>
      <c r="I43" s="5">
        <v>1.59</v>
      </c>
      <c r="J43" s="6">
        <v>0</v>
      </c>
      <c r="K43" s="6">
        <f t="shared" si="3"/>
        <v>1.59</v>
      </c>
      <c r="L43" s="5">
        <v>2.8</v>
      </c>
      <c r="M43" s="6">
        <v>0</v>
      </c>
      <c r="N43" s="6">
        <f t="shared" si="4"/>
        <v>2.8</v>
      </c>
      <c r="O43" s="6">
        <v>16.190561023000001</v>
      </c>
      <c r="P43" s="6">
        <v>0</v>
      </c>
      <c r="Q43" s="6">
        <f t="shared" si="5"/>
        <v>16.190561023000001</v>
      </c>
      <c r="R43" s="6">
        <v>9.4083482490000012</v>
      </c>
      <c r="S43" s="6">
        <v>0</v>
      </c>
      <c r="T43" s="6">
        <f t="shared" si="6"/>
        <v>9.4083482490000012</v>
      </c>
      <c r="U43" s="6">
        <v>14.909697787999999</v>
      </c>
      <c r="V43" s="6">
        <v>0</v>
      </c>
      <c r="W43" s="6">
        <f t="shared" si="7"/>
        <v>14.909697787999999</v>
      </c>
      <c r="X43" s="6">
        <v>21.834217213000002</v>
      </c>
      <c r="Y43" s="6">
        <v>0</v>
      </c>
      <c r="Z43" s="6">
        <f t="shared" si="8"/>
        <v>21.834217213000002</v>
      </c>
      <c r="AA43" s="6">
        <v>14.624532567000001</v>
      </c>
      <c r="AB43" s="6">
        <v>0</v>
      </c>
      <c r="AC43" s="6">
        <f t="shared" si="9"/>
        <v>14.624532567000001</v>
      </c>
      <c r="AD43" s="6">
        <v>21.983008978000001</v>
      </c>
      <c r="AE43" s="6">
        <v>0</v>
      </c>
      <c r="AF43" s="6">
        <f t="shared" si="10"/>
        <v>21.983008978000001</v>
      </c>
      <c r="AG43" s="6">
        <v>12.598902528</v>
      </c>
      <c r="AH43" s="6">
        <v>0</v>
      </c>
      <c r="AI43" s="6">
        <f t="shared" si="11"/>
        <v>12.598902528</v>
      </c>
      <c r="AJ43" s="6">
        <v>6.1438153169999996</v>
      </c>
      <c r="AK43" s="6">
        <v>0</v>
      </c>
      <c r="AL43" s="6">
        <f t="shared" si="12"/>
        <v>6.1438153169999996</v>
      </c>
      <c r="AM43" s="6">
        <v>4.0019098639999999</v>
      </c>
      <c r="AN43" s="6">
        <v>0</v>
      </c>
      <c r="AO43" s="6">
        <f t="shared" si="13"/>
        <v>4.0019098639999999</v>
      </c>
    </row>
    <row r="44" spans="1:41" x14ac:dyDescent="0.3">
      <c r="A44" s="2">
        <v>97</v>
      </c>
      <c r="B44" s="3" t="s">
        <v>32</v>
      </c>
      <c r="C44" s="13">
        <f t="shared" si="1"/>
        <v>407.58213610300004</v>
      </c>
      <c r="D44" s="13">
        <f t="shared" si="1"/>
        <v>0</v>
      </c>
      <c r="E44" s="13">
        <f t="shared" si="1"/>
        <v>407.58213610300004</v>
      </c>
      <c r="F44" s="14">
        <v>3.02</v>
      </c>
      <c r="G44" s="6">
        <v>0</v>
      </c>
      <c r="H44" s="6">
        <f t="shared" si="2"/>
        <v>3.02</v>
      </c>
      <c r="I44" s="5">
        <v>39.25</v>
      </c>
      <c r="J44" s="6">
        <v>0</v>
      </c>
      <c r="K44" s="6">
        <f t="shared" si="3"/>
        <v>39.25</v>
      </c>
      <c r="L44" s="5">
        <v>52.5</v>
      </c>
      <c r="M44" s="6">
        <v>0</v>
      </c>
      <c r="N44" s="6">
        <f t="shared" si="4"/>
        <v>52.5</v>
      </c>
      <c r="O44" s="6">
        <v>65.112222099999997</v>
      </c>
      <c r="P44" s="6">
        <v>0</v>
      </c>
      <c r="Q44" s="6">
        <f t="shared" si="5"/>
        <v>65.112222099999997</v>
      </c>
      <c r="R44" s="6">
        <v>39.007332225999996</v>
      </c>
      <c r="S44" s="6">
        <v>0</v>
      </c>
      <c r="T44" s="6">
        <f t="shared" si="6"/>
        <v>39.007332225999996</v>
      </c>
      <c r="U44" s="6">
        <v>90.492317976999999</v>
      </c>
      <c r="V44" s="6">
        <v>0</v>
      </c>
      <c r="W44" s="6">
        <f t="shared" si="7"/>
        <v>90.492317976999999</v>
      </c>
      <c r="X44" s="6">
        <v>19.622187400000001</v>
      </c>
      <c r="Y44" s="6">
        <v>0</v>
      </c>
      <c r="Z44" s="6">
        <f t="shared" si="8"/>
        <v>19.622187400000001</v>
      </c>
      <c r="AA44" s="6">
        <v>14.36266215</v>
      </c>
      <c r="AB44" s="6">
        <v>0</v>
      </c>
      <c r="AC44" s="6">
        <f t="shared" si="9"/>
        <v>14.36266215</v>
      </c>
      <c r="AD44" s="6">
        <v>11.800566399999999</v>
      </c>
      <c r="AE44" s="6">
        <v>0</v>
      </c>
      <c r="AF44" s="6">
        <f t="shared" si="10"/>
        <v>11.800566399999999</v>
      </c>
      <c r="AG44" s="6">
        <v>16.349599250000001</v>
      </c>
      <c r="AH44" s="6">
        <v>0</v>
      </c>
      <c r="AI44" s="6">
        <f t="shared" si="11"/>
        <v>16.349599250000001</v>
      </c>
      <c r="AJ44" s="6">
        <v>21.1277686</v>
      </c>
      <c r="AK44" s="6">
        <v>0</v>
      </c>
      <c r="AL44" s="6">
        <f t="shared" si="12"/>
        <v>21.1277686</v>
      </c>
      <c r="AM44" s="6">
        <v>34.937480000000001</v>
      </c>
      <c r="AN44" s="6">
        <v>0</v>
      </c>
      <c r="AO44" s="6">
        <f t="shared" si="13"/>
        <v>34.937480000000001</v>
      </c>
    </row>
    <row r="45" spans="1:41" x14ac:dyDescent="0.3">
      <c r="A45" s="8"/>
      <c r="B45" s="12" t="s">
        <v>46</v>
      </c>
      <c r="C45" s="15">
        <f>SUM(C7:C44)</f>
        <v>179883.96733210701</v>
      </c>
      <c r="D45" s="15">
        <f>SUM(D7:D44)</f>
        <v>38000</v>
      </c>
      <c r="E45" s="15">
        <f>SUM(E7:E44)</f>
        <v>217883.96733210699</v>
      </c>
      <c r="F45" s="15">
        <f t="shared" ref="F45:AO45" si="14">SUM(F7:F44)</f>
        <v>1833.08</v>
      </c>
      <c r="G45" s="15">
        <f t="shared" si="14"/>
        <v>0</v>
      </c>
      <c r="H45" s="15">
        <f t="shared" si="14"/>
        <v>1833.08</v>
      </c>
      <c r="I45" s="15">
        <f t="shared" si="14"/>
        <v>8920.3700000000008</v>
      </c>
      <c r="J45" s="15">
        <f t="shared" si="14"/>
        <v>0</v>
      </c>
      <c r="K45" s="15">
        <f t="shared" si="14"/>
        <v>8920.3700000000008</v>
      </c>
      <c r="L45" s="15">
        <f t="shared" si="14"/>
        <v>11116.699999999997</v>
      </c>
      <c r="M45" s="15">
        <f t="shared" si="14"/>
        <v>0</v>
      </c>
      <c r="N45" s="15">
        <f t="shared" si="14"/>
        <v>11116.699999999997</v>
      </c>
      <c r="O45" s="15">
        <f t="shared" si="14"/>
        <v>18837.777716257002</v>
      </c>
      <c r="P45" s="15">
        <f t="shared" si="14"/>
        <v>0</v>
      </c>
      <c r="Q45" s="15">
        <f t="shared" si="14"/>
        <v>18837.777716257002</v>
      </c>
      <c r="R45" s="15">
        <f t="shared" si="14"/>
        <v>14650.140362387998</v>
      </c>
      <c r="S45" s="15">
        <f t="shared" si="14"/>
        <v>0</v>
      </c>
      <c r="T45" s="15">
        <f t="shared" si="14"/>
        <v>14650.140362387998</v>
      </c>
      <c r="U45" s="15">
        <f t="shared" si="14"/>
        <v>16997.175112103003</v>
      </c>
      <c r="V45" s="15">
        <f t="shared" si="14"/>
        <v>0</v>
      </c>
      <c r="W45" s="15">
        <f t="shared" si="14"/>
        <v>16997.175112103003</v>
      </c>
      <c r="X45" s="15">
        <f t="shared" si="14"/>
        <v>19427.462972641002</v>
      </c>
      <c r="Y45" s="15">
        <f t="shared" si="14"/>
        <v>0</v>
      </c>
      <c r="Z45" s="15">
        <f t="shared" si="14"/>
        <v>19427.462972641002</v>
      </c>
      <c r="AA45" s="15">
        <f t="shared" si="14"/>
        <v>16285.869869423999</v>
      </c>
      <c r="AB45" s="15">
        <f t="shared" si="14"/>
        <v>0</v>
      </c>
      <c r="AC45" s="15">
        <f t="shared" si="14"/>
        <v>16285.869869423999</v>
      </c>
      <c r="AD45" s="15">
        <f t="shared" si="14"/>
        <v>17680.759015362</v>
      </c>
      <c r="AE45" s="15">
        <f t="shared" si="14"/>
        <v>0</v>
      </c>
      <c r="AF45" s="15">
        <f t="shared" si="14"/>
        <v>17680.759015362</v>
      </c>
      <c r="AG45" s="15">
        <f t="shared" si="14"/>
        <v>19370.908364954994</v>
      </c>
      <c r="AH45" s="15">
        <f t="shared" si="14"/>
        <v>0</v>
      </c>
      <c r="AI45" s="15">
        <f t="shared" si="14"/>
        <v>19370.908364954994</v>
      </c>
      <c r="AJ45" s="15">
        <f t="shared" si="14"/>
        <v>17533.989407024001</v>
      </c>
      <c r="AK45" s="15">
        <f t="shared" si="14"/>
        <v>24000.000000000004</v>
      </c>
      <c r="AL45" s="15">
        <f t="shared" si="14"/>
        <v>41533.989407023997</v>
      </c>
      <c r="AM45" s="15">
        <f t="shared" si="14"/>
        <v>17229.734511953</v>
      </c>
      <c r="AN45" s="15">
        <f t="shared" si="14"/>
        <v>14000</v>
      </c>
      <c r="AO45" s="15">
        <f t="shared" si="14"/>
        <v>31229.734511952996</v>
      </c>
    </row>
  </sheetData>
  <sortState xmlns:xlrd2="http://schemas.microsoft.com/office/spreadsheetml/2017/richdata2" columnSort="1" ref="F1:AO45">
    <sortCondition ref="F5:AO5"/>
  </sortState>
  <mergeCells count="13"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settlement_2020-21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dcterms:created xsi:type="dcterms:W3CDTF">2019-11-01T02:37:37Z</dcterms:created>
  <dcterms:modified xsi:type="dcterms:W3CDTF">2024-08-03T02:14:30Z</dcterms:modified>
  <cp:category/>
  <dc:identifier/>
  <cp:contentStatus/>
  <dc:language/>
  <cp:version/>
</cp:coreProperties>
</file>