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GSTN\Krishnan Sir\Monthly Report\Aug-26\GST Statistics Downloads 31st Aug 26\Downloads\GSTR 3B\"/>
    </mc:Choice>
  </mc:AlternateContent>
  <xr:revisionPtr revIDLastSave="0" documentId="13_ncr:1_{8C6862F1-96AC-4E06-BF00-24D2F5EFD18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STR-3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48" i="1" l="1"/>
  <c r="BG48" i="1"/>
  <c r="BF48" i="1"/>
  <c r="BJ47" i="1"/>
  <c r="BH47" i="1"/>
  <c r="BJ46" i="1"/>
  <c r="BH46" i="1"/>
  <c r="BJ45" i="1"/>
  <c r="BH45" i="1"/>
  <c r="BJ44" i="1"/>
  <c r="BH44" i="1"/>
  <c r="BJ43" i="1"/>
  <c r="BH43" i="1"/>
  <c r="BJ42" i="1"/>
  <c r="BH42" i="1"/>
  <c r="BJ41" i="1"/>
  <c r="BH41" i="1"/>
  <c r="BJ40" i="1"/>
  <c r="BH40" i="1"/>
  <c r="BJ39" i="1"/>
  <c r="BH39" i="1"/>
  <c r="BJ38" i="1"/>
  <c r="BH38" i="1"/>
  <c r="BJ37" i="1"/>
  <c r="BH37" i="1"/>
  <c r="BJ36" i="1"/>
  <c r="BH36" i="1"/>
  <c r="BJ35" i="1"/>
  <c r="BH35" i="1"/>
  <c r="BJ33" i="1"/>
  <c r="BH33" i="1"/>
  <c r="BJ32" i="1"/>
  <c r="BH32" i="1"/>
  <c r="BJ31" i="1"/>
  <c r="BH31" i="1"/>
  <c r="BJ30" i="1"/>
  <c r="BH30" i="1"/>
  <c r="BJ29" i="1"/>
  <c r="BH29" i="1"/>
  <c r="BJ28" i="1"/>
  <c r="BH28" i="1"/>
  <c r="BJ27" i="1"/>
  <c r="BH27" i="1"/>
  <c r="BJ26" i="1"/>
  <c r="BH26" i="1"/>
  <c r="BJ25" i="1"/>
  <c r="BH25" i="1"/>
  <c r="BJ24" i="1"/>
  <c r="BH24" i="1"/>
  <c r="BJ23" i="1"/>
  <c r="BH23" i="1"/>
  <c r="BJ22" i="1"/>
  <c r="BH22" i="1"/>
  <c r="BJ21" i="1"/>
  <c r="BH21" i="1"/>
  <c r="BJ20" i="1"/>
  <c r="BH20" i="1"/>
  <c r="BJ19" i="1"/>
  <c r="BH19" i="1"/>
  <c r="BJ18" i="1"/>
  <c r="BH18" i="1"/>
  <c r="BJ17" i="1"/>
  <c r="BH17" i="1"/>
  <c r="BJ16" i="1"/>
  <c r="BH16" i="1"/>
  <c r="BJ15" i="1"/>
  <c r="BH15" i="1"/>
  <c r="BJ14" i="1"/>
  <c r="BH14" i="1"/>
  <c r="BJ13" i="1"/>
  <c r="BH13" i="1"/>
  <c r="BJ12" i="1"/>
  <c r="BH12" i="1"/>
  <c r="BJ11" i="1"/>
  <c r="BH11" i="1"/>
  <c r="BJ10" i="1"/>
  <c r="BH10" i="1"/>
  <c r="BD48" i="1"/>
  <c r="BB48" i="1"/>
  <c r="BA48" i="1"/>
  <c r="BE47" i="1"/>
  <c r="BC47" i="1"/>
  <c r="BE46" i="1"/>
  <c r="BC46" i="1"/>
  <c r="BE45" i="1"/>
  <c r="BC45" i="1"/>
  <c r="BE44" i="1"/>
  <c r="BC44" i="1"/>
  <c r="BE43" i="1"/>
  <c r="BC43" i="1"/>
  <c r="BE42" i="1"/>
  <c r="BC42" i="1"/>
  <c r="BE41" i="1"/>
  <c r="BC41" i="1"/>
  <c r="BE40" i="1"/>
  <c r="BC40" i="1"/>
  <c r="BE39" i="1"/>
  <c r="BC39" i="1"/>
  <c r="BE38" i="1"/>
  <c r="BC38" i="1"/>
  <c r="BE37" i="1"/>
  <c r="BC37" i="1"/>
  <c r="BE36" i="1"/>
  <c r="BC36" i="1"/>
  <c r="BE35" i="1"/>
  <c r="BC35" i="1"/>
  <c r="BE33" i="1"/>
  <c r="BC33" i="1"/>
  <c r="BE32" i="1"/>
  <c r="BC32" i="1"/>
  <c r="BE31" i="1"/>
  <c r="BC31" i="1"/>
  <c r="BE30" i="1"/>
  <c r="BC30" i="1"/>
  <c r="BE29" i="1"/>
  <c r="BC29" i="1"/>
  <c r="BE28" i="1"/>
  <c r="BC28" i="1"/>
  <c r="BE27" i="1"/>
  <c r="BC27" i="1"/>
  <c r="BE26" i="1"/>
  <c r="BC26" i="1"/>
  <c r="BE25" i="1"/>
  <c r="BC25" i="1"/>
  <c r="BE24" i="1"/>
  <c r="BC24" i="1"/>
  <c r="BE23" i="1"/>
  <c r="BC23" i="1"/>
  <c r="BE22" i="1"/>
  <c r="BC22" i="1"/>
  <c r="BE21" i="1"/>
  <c r="BC21" i="1"/>
  <c r="BE20" i="1"/>
  <c r="BC20" i="1"/>
  <c r="BE19" i="1"/>
  <c r="BC19" i="1"/>
  <c r="BE18" i="1"/>
  <c r="BC18" i="1"/>
  <c r="BE17" i="1"/>
  <c r="BC17" i="1"/>
  <c r="BE16" i="1"/>
  <c r="BC16" i="1"/>
  <c r="BE15" i="1"/>
  <c r="BC15" i="1"/>
  <c r="BE14" i="1"/>
  <c r="BC14" i="1"/>
  <c r="BE13" i="1"/>
  <c r="BC13" i="1"/>
  <c r="BE12" i="1"/>
  <c r="BC12" i="1"/>
  <c r="BE11" i="1"/>
  <c r="BC11" i="1"/>
  <c r="BE10" i="1"/>
  <c r="BC10" i="1"/>
  <c r="BH48" i="1" l="1"/>
  <c r="BJ48" i="1"/>
  <c r="BC48" i="1"/>
  <c r="BE48" i="1"/>
  <c r="AY48" i="1"/>
  <c r="AW48" i="1"/>
  <c r="AV48" i="1"/>
  <c r="AZ47" i="1"/>
  <c r="AX47" i="1"/>
  <c r="AZ46" i="1"/>
  <c r="AX46" i="1"/>
  <c r="AZ45" i="1"/>
  <c r="AX45" i="1"/>
  <c r="AZ44" i="1"/>
  <c r="AX44" i="1"/>
  <c r="AZ43" i="1"/>
  <c r="AX43" i="1"/>
  <c r="AZ42" i="1"/>
  <c r="AX42" i="1"/>
  <c r="AZ41" i="1"/>
  <c r="AX41" i="1"/>
  <c r="AZ40" i="1"/>
  <c r="AX40" i="1"/>
  <c r="AZ39" i="1"/>
  <c r="AX39" i="1"/>
  <c r="AZ38" i="1"/>
  <c r="AX38" i="1"/>
  <c r="AZ37" i="1"/>
  <c r="AX37" i="1"/>
  <c r="AZ36" i="1"/>
  <c r="AX36" i="1"/>
  <c r="AZ35" i="1"/>
  <c r="AX35" i="1"/>
  <c r="AZ33" i="1"/>
  <c r="AX33" i="1"/>
  <c r="AZ32" i="1"/>
  <c r="AX32" i="1"/>
  <c r="AZ31" i="1"/>
  <c r="AX31" i="1"/>
  <c r="AZ30" i="1"/>
  <c r="AX30" i="1"/>
  <c r="AZ29" i="1"/>
  <c r="AX29" i="1"/>
  <c r="AZ28" i="1"/>
  <c r="AX28" i="1"/>
  <c r="AZ27" i="1"/>
  <c r="AX27" i="1"/>
  <c r="AZ26" i="1"/>
  <c r="AX26" i="1"/>
  <c r="AZ25" i="1"/>
  <c r="AX25" i="1"/>
  <c r="AZ24" i="1"/>
  <c r="AX24" i="1"/>
  <c r="AZ23" i="1"/>
  <c r="AX23" i="1"/>
  <c r="AZ22" i="1"/>
  <c r="AX22" i="1"/>
  <c r="AZ21" i="1"/>
  <c r="AX21" i="1"/>
  <c r="AZ20" i="1"/>
  <c r="AX20" i="1"/>
  <c r="AZ19" i="1"/>
  <c r="AX19" i="1"/>
  <c r="AZ18" i="1"/>
  <c r="AX18" i="1"/>
  <c r="AZ17" i="1"/>
  <c r="AX17" i="1"/>
  <c r="AZ16" i="1"/>
  <c r="AX16" i="1"/>
  <c r="AZ15" i="1"/>
  <c r="AX15" i="1"/>
  <c r="AZ14" i="1"/>
  <c r="AX14" i="1"/>
  <c r="AZ13" i="1"/>
  <c r="AX13" i="1"/>
  <c r="AZ12" i="1"/>
  <c r="AX12" i="1"/>
  <c r="AZ11" i="1"/>
  <c r="AX11" i="1"/>
  <c r="AZ10" i="1"/>
  <c r="AX10" i="1"/>
  <c r="AX48" i="1" l="1"/>
  <c r="AZ48" i="1"/>
  <c r="AT48" i="1" l="1"/>
  <c r="AR48" i="1"/>
  <c r="AQ48" i="1"/>
  <c r="AU47" i="1"/>
  <c r="AS47" i="1"/>
  <c r="AU46" i="1"/>
  <c r="AS46" i="1"/>
  <c r="AU45" i="1"/>
  <c r="AS45" i="1"/>
  <c r="AU44" i="1"/>
  <c r="AS44" i="1"/>
  <c r="AU43" i="1"/>
  <c r="AS43" i="1"/>
  <c r="AU42" i="1"/>
  <c r="AS42" i="1"/>
  <c r="AU41" i="1"/>
  <c r="AS41" i="1"/>
  <c r="AU40" i="1"/>
  <c r="AS40" i="1"/>
  <c r="AU39" i="1"/>
  <c r="AS39" i="1"/>
  <c r="AU38" i="1"/>
  <c r="AS38" i="1"/>
  <c r="AU37" i="1"/>
  <c r="AS37" i="1"/>
  <c r="AU36" i="1"/>
  <c r="AS36" i="1"/>
  <c r="AU35" i="1"/>
  <c r="AS35" i="1"/>
  <c r="AU33" i="1"/>
  <c r="AS33" i="1"/>
  <c r="AU32" i="1"/>
  <c r="AS32" i="1"/>
  <c r="AU31" i="1"/>
  <c r="AS31" i="1"/>
  <c r="AU30" i="1"/>
  <c r="AS30" i="1"/>
  <c r="AU29" i="1"/>
  <c r="AS29" i="1"/>
  <c r="AU28" i="1"/>
  <c r="AS28" i="1"/>
  <c r="AU27" i="1"/>
  <c r="AS27" i="1"/>
  <c r="AU26" i="1"/>
  <c r="AS26" i="1"/>
  <c r="AU25" i="1"/>
  <c r="AS25" i="1"/>
  <c r="AU24" i="1"/>
  <c r="AS24" i="1"/>
  <c r="AU23" i="1"/>
  <c r="AS23" i="1"/>
  <c r="AU22" i="1"/>
  <c r="AS22" i="1"/>
  <c r="AU21" i="1"/>
  <c r="AS21" i="1"/>
  <c r="AU20" i="1"/>
  <c r="AS20" i="1"/>
  <c r="AU19" i="1"/>
  <c r="AS19" i="1"/>
  <c r="AU18" i="1"/>
  <c r="AS18" i="1"/>
  <c r="AU17" i="1"/>
  <c r="AS17" i="1"/>
  <c r="AU16" i="1"/>
  <c r="AS16" i="1"/>
  <c r="AU15" i="1"/>
  <c r="AS15" i="1"/>
  <c r="AU14" i="1"/>
  <c r="AS14" i="1"/>
  <c r="AU13" i="1"/>
  <c r="AS13" i="1"/>
  <c r="AU12" i="1"/>
  <c r="AS12" i="1"/>
  <c r="AU11" i="1"/>
  <c r="AS11" i="1"/>
  <c r="AU10" i="1"/>
  <c r="AS10" i="1"/>
  <c r="AO48" i="1"/>
  <c r="AM48" i="1"/>
  <c r="AL48" i="1"/>
  <c r="AP47" i="1"/>
  <c r="AN47" i="1"/>
  <c r="AP46" i="1"/>
  <c r="AN46" i="1"/>
  <c r="AP45" i="1"/>
  <c r="AN45" i="1"/>
  <c r="AP44" i="1"/>
  <c r="AN44" i="1"/>
  <c r="AP43" i="1"/>
  <c r="AN43" i="1"/>
  <c r="AP42" i="1"/>
  <c r="AN42" i="1"/>
  <c r="AP41" i="1"/>
  <c r="AN41" i="1"/>
  <c r="AP40" i="1"/>
  <c r="AN40" i="1"/>
  <c r="AP39" i="1"/>
  <c r="AN39" i="1"/>
  <c r="AP38" i="1"/>
  <c r="AN38" i="1"/>
  <c r="AP37" i="1"/>
  <c r="AN37" i="1"/>
  <c r="AP36" i="1"/>
  <c r="AN36" i="1"/>
  <c r="AP35" i="1"/>
  <c r="AN35" i="1"/>
  <c r="AP33" i="1"/>
  <c r="AN33" i="1"/>
  <c r="AP32" i="1"/>
  <c r="AN32" i="1"/>
  <c r="AP31" i="1"/>
  <c r="AN31" i="1"/>
  <c r="AP30" i="1"/>
  <c r="AN30" i="1"/>
  <c r="AP29" i="1"/>
  <c r="AN29" i="1"/>
  <c r="AP28" i="1"/>
  <c r="AN28" i="1"/>
  <c r="AP27" i="1"/>
  <c r="AN27" i="1"/>
  <c r="AP26" i="1"/>
  <c r="AN26" i="1"/>
  <c r="AP25" i="1"/>
  <c r="AN25" i="1"/>
  <c r="AP24" i="1"/>
  <c r="AN24" i="1"/>
  <c r="AP23" i="1"/>
  <c r="AN23" i="1"/>
  <c r="AP22" i="1"/>
  <c r="AN22" i="1"/>
  <c r="AP21" i="1"/>
  <c r="AN21" i="1"/>
  <c r="AP20" i="1"/>
  <c r="AN20" i="1"/>
  <c r="AP19" i="1"/>
  <c r="AN19" i="1"/>
  <c r="AP18" i="1"/>
  <c r="AN18" i="1"/>
  <c r="AP17" i="1"/>
  <c r="AN17" i="1"/>
  <c r="AP16" i="1"/>
  <c r="AN16" i="1"/>
  <c r="AP15" i="1"/>
  <c r="AN15" i="1"/>
  <c r="AP14" i="1"/>
  <c r="AN14" i="1"/>
  <c r="AP13" i="1"/>
  <c r="AN13" i="1"/>
  <c r="AP12" i="1"/>
  <c r="AN12" i="1"/>
  <c r="AP11" i="1"/>
  <c r="AN11" i="1"/>
  <c r="AP10" i="1"/>
  <c r="AN10" i="1"/>
  <c r="AJ48" i="1"/>
  <c r="AH48" i="1"/>
  <c r="AG48" i="1"/>
  <c r="AK47" i="1"/>
  <c r="AI47" i="1"/>
  <c r="AK46" i="1"/>
  <c r="AI46" i="1"/>
  <c r="AK45" i="1"/>
  <c r="AI45" i="1"/>
  <c r="AK44" i="1"/>
  <c r="AI44" i="1"/>
  <c r="AK43" i="1"/>
  <c r="AI43" i="1"/>
  <c r="AK42" i="1"/>
  <c r="AI42" i="1"/>
  <c r="AK41" i="1"/>
  <c r="AI41" i="1"/>
  <c r="AK40" i="1"/>
  <c r="AI40" i="1"/>
  <c r="AK39" i="1"/>
  <c r="AI39" i="1"/>
  <c r="AK38" i="1"/>
  <c r="AI38" i="1"/>
  <c r="AK37" i="1"/>
  <c r="AI37" i="1"/>
  <c r="AK36" i="1"/>
  <c r="AI36" i="1"/>
  <c r="AK35" i="1"/>
  <c r="AI35" i="1"/>
  <c r="AK33" i="1"/>
  <c r="AI33" i="1"/>
  <c r="AK32" i="1"/>
  <c r="AI32" i="1"/>
  <c r="AK31" i="1"/>
  <c r="AI31" i="1"/>
  <c r="AK30" i="1"/>
  <c r="AI30" i="1"/>
  <c r="AK29" i="1"/>
  <c r="AI29" i="1"/>
  <c r="AK28" i="1"/>
  <c r="AI28" i="1"/>
  <c r="AK27" i="1"/>
  <c r="AI27" i="1"/>
  <c r="AK26" i="1"/>
  <c r="AI26" i="1"/>
  <c r="AK25" i="1"/>
  <c r="AI25" i="1"/>
  <c r="AK24" i="1"/>
  <c r="AI24" i="1"/>
  <c r="AK23" i="1"/>
  <c r="AI23" i="1"/>
  <c r="AK22" i="1"/>
  <c r="AI22" i="1"/>
  <c r="AK21" i="1"/>
  <c r="AI21" i="1"/>
  <c r="AK20" i="1"/>
  <c r="AI20" i="1"/>
  <c r="AK19" i="1"/>
  <c r="AI19" i="1"/>
  <c r="AK18" i="1"/>
  <c r="AI18" i="1"/>
  <c r="AK17" i="1"/>
  <c r="AI17" i="1"/>
  <c r="AK16" i="1"/>
  <c r="AI16" i="1"/>
  <c r="AK15" i="1"/>
  <c r="AI15" i="1"/>
  <c r="AK14" i="1"/>
  <c r="AI14" i="1"/>
  <c r="AK13" i="1"/>
  <c r="AI13" i="1"/>
  <c r="AK12" i="1"/>
  <c r="AI12" i="1"/>
  <c r="AK11" i="1"/>
  <c r="AI11" i="1"/>
  <c r="AK10" i="1"/>
  <c r="AI10" i="1"/>
  <c r="AC48" i="1"/>
  <c r="AE48" i="1"/>
  <c r="AB48" i="1"/>
  <c r="AF47" i="1"/>
  <c r="AD47" i="1"/>
  <c r="AF46" i="1"/>
  <c r="AD46" i="1"/>
  <c r="AF45" i="1"/>
  <c r="AD45" i="1"/>
  <c r="AF44" i="1"/>
  <c r="AD44" i="1"/>
  <c r="AF43" i="1"/>
  <c r="AD43" i="1"/>
  <c r="AF42" i="1"/>
  <c r="AD42" i="1"/>
  <c r="AF41" i="1"/>
  <c r="AD41" i="1"/>
  <c r="AF40" i="1"/>
  <c r="AD40" i="1"/>
  <c r="AF39" i="1"/>
  <c r="AD39" i="1"/>
  <c r="AF38" i="1"/>
  <c r="AD38" i="1"/>
  <c r="AF37" i="1"/>
  <c r="AD37" i="1"/>
  <c r="AF36" i="1"/>
  <c r="AD36" i="1"/>
  <c r="AF35" i="1"/>
  <c r="AD35" i="1"/>
  <c r="AF33" i="1"/>
  <c r="AD33" i="1"/>
  <c r="AF32" i="1"/>
  <c r="AD32" i="1"/>
  <c r="AF31" i="1"/>
  <c r="AD31" i="1"/>
  <c r="AF30" i="1"/>
  <c r="AD30" i="1"/>
  <c r="AF29" i="1"/>
  <c r="AD29" i="1"/>
  <c r="AF28" i="1"/>
  <c r="AD28" i="1"/>
  <c r="AF27" i="1"/>
  <c r="AD27" i="1"/>
  <c r="AF26" i="1"/>
  <c r="AD26" i="1"/>
  <c r="AF25" i="1"/>
  <c r="AD25" i="1"/>
  <c r="AF24" i="1"/>
  <c r="AD24" i="1"/>
  <c r="AF23" i="1"/>
  <c r="AD23" i="1"/>
  <c r="AF22" i="1"/>
  <c r="AD22" i="1"/>
  <c r="AF21" i="1"/>
  <c r="AD21" i="1"/>
  <c r="AF20" i="1"/>
  <c r="AD20" i="1"/>
  <c r="AF19" i="1"/>
  <c r="AD19" i="1"/>
  <c r="AF18" i="1"/>
  <c r="AD18" i="1"/>
  <c r="AF17" i="1"/>
  <c r="AD17" i="1"/>
  <c r="AF16" i="1"/>
  <c r="AD16" i="1"/>
  <c r="AF15" i="1"/>
  <c r="AD15" i="1"/>
  <c r="AF14" i="1"/>
  <c r="AD14" i="1"/>
  <c r="AF13" i="1"/>
  <c r="AD13" i="1"/>
  <c r="AF12" i="1"/>
  <c r="AD12" i="1"/>
  <c r="AF11" i="1"/>
  <c r="AD11" i="1"/>
  <c r="AF10" i="1"/>
  <c r="AD10" i="1"/>
  <c r="Z48" i="1"/>
  <c r="X48" i="1"/>
  <c r="W48" i="1"/>
  <c r="AA47" i="1"/>
  <c r="Y47" i="1"/>
  <c r="AA46" i="1"/>
  <c r="Y46" i="1"/>
  <c r="AA45" i="1"/>
  <c r="Y45" i="1"/>
  <c r="AA44" i="1"/>
  <c r="Y44" i="1"/>
  <c r="AA43" i="1"/>
  <c r="Y43" i="1"/>
  <c r="AA42" i="1"/>
  <c r="Y42" i="1"/>
  <c r="AA41" i="1"/>
  <c r="Y41" i="1"/>
  <c r="AA40" i="1"/>
  <c r="Y40" i="1"/>
  <c r="AA39" i="1"/>
  <c r="Y39" i="1"/>
  <c r="AA38" i="1"/>
  <c r="Y38" i="1"/>
  <c r="AA37" i="1"/>
  <c r="Y37" i="1"/>
  <c r="AA36" i="1"/>
  <c r="Y36" i="1"/>
  <c r="AA35" i="1"/>
  <c r="Y35" i="1"/>
  <c r="AA33" i="1"/>
  <c r="Y33" i="1"/>
  <c r="AA32" i="1"/>
  <c r="Y32" i="1"/>
  <c r="AA31" i="1"/>
  <c r="Y31" i="1"/>
  <c r="AA30" i="1"/>
  <c r="Y30" i="1"/>
  <c r="AA29" i="1"/>
  <c r="Y29" i="1"/>
  <c r="AA28" i="1"/>
  <c r="Y28" i="1"/>
  <c r="AA27" i="1"/>
  <c r="Y27" i="1"/>
  <c r="AA26" i="1"/>
  <c r="Y26" i="1"/>
  <c r="AA25" i="1"/>
  <c r="Y25" i="1"/>
  <c r="AA24" i="1"/>
  <c r="Y24" i="1"/>
  <c r="AA23" i="1"/>
  <c r="Y23" i="1"/>
  <c r="AA22" i="1"/>
  <c r="Y22" i="1"/>
  <c r="AA21" i="1"/>
  <c r="Y21" i="1"/>
  <c r="AA20" i="1"/>
  <c r="Y20" i="1"/>
  <c r="AA19" i="1"/>
  <c r="Y19" i="1"/>
  <c r="AA18" i="1"/>
  <c r="Y18" i="1"/>
  <c r="AA17" i="1"/>
  <c r="Y17" i="1"/>
  <c r="AA16" i="1"/>
  <c r="Y16" i="1"/>
  <c r="AA15" i="1"/>
  <c r="Y15" i="1"/>
  <c r="AA14" i="1"/>
  <c r="Y14" i="1"/>
  <c r="AA13" i="1"/>
  <c r="Y13" i="1"/>
  <c r="AA12" i="1"/>
  <c r="Y12" i="1"/>
  <c r="AA11" i="1"/>
  <c r="Y11" i="1"/>
  <c r="AA10" i="1"/>
  <c r="Y10" i="1"/>
  <c r="U48" i="1"/>
  <c r="S48" i="1"/>
  <c r="R48" i="1"/>
  <c r="V47" i="1"/>
  <c r="T47" i="1"/>
  <c r="V46" i="1"/>
  <c r="T46" i="1"/>
  <c r="V45" i="1"/>
  <c r="T45" i="1"/>
  <c r="V44" i="1"/>
  <c r="T44" i="1"/>
  <c r="V43" i="1"/>
  <c r="T43" i="1"/>
  <c r="V42" i="1"/>
  <c r="T42" i="1"/>
  <c r="V41" i="1"/>
  <c r="T41" i="1"/>
  <c r="V40" i="1"/>
  <c r="T40" i="1"/>
  <c r="V39" i="1"/>
  <c r="T39" i="1"/>
  <c r="V38" i="1"/>
  <c r="T38" i="1"/>
  <c r="V37" i="1"/>
  <c r="T37" i="1"/>
  <c r="V36" i="1"/>
  <c r="T36" i="1"/>
  <c r="V35" i="1"/>
  <c r="T35" i="1"/>
  <c r="V33" i="1"/>
  <c r="T33" i="1"/>
  <c r="V32" i="1"/>
  <c r="T32" i="1"/>
  <c r="V31" i="1"/>
  <c r="T31" i="1"/>
  <c r="V30" i="1"/>
  <c r="T30" i="1"/>
  <c r="V29" i="1"/>
  <c r="T29" i="1"/>
  <c r="V28" i="1"/>
  <c r="T28" i="1"/>
  <c r="V27" i="1"/>
  <c r="T27" i="1"/>
  <c r="V26" i="1"/>
  <c r="T26" i="1"/>
  <c r="V25" i="1"/>
  <c r="T25" i="1"/>
  <c r="V24" i="1"/>
  <c r="T24" i="1"/>
  <c r="V23" i="1"/>
  <c r="T23" i="1"/>
  <c r="V22" i="1"/>
  <c r="T22" i="1"/>
  <c r="V21" i="1"/>
  <c r="T21" i="1"/>
  <c r="V20" i="1"/>
  <c r="T20" i="1"/>
  <c r="V19" i="1"/>
  <c r="T19" i="1"/>
  <c r="V18" i="1"/>
  <c r="T18" i="1"/>
  <c r="V17" i="1"/>
  <c r="T17" i="1"/>
  <c r="V16" i="1"/>
  <c r="T16" i="1"/>
  <c r="V15" i="1"/>
  <c r="T15" i="1"/>
  <c r="V14" i="1"/>
  <c r="T14" i="1"/>
  <c r="V13" i="1"/>
  <c r="T13" i="1"/>
  <c r="V12" i="1"/>
  <c r="T12" i="1"/>
  <c r="V11" i="1"/>
  <c r="T11" i="1"/>
  <c r="V10" i="1"/>
  <c r="T10" i="1"/>
  <c r="AU48" i="1" l="1"/>
  <c r="AS48" i="1"/>
  <c r="AN48" i="1"/>
  <c r="AP48" i="1"/>
  <c r="AK48" i="1"/>
  <c r="AI48" i="1"/>
  <c r="AD48" i="1"/>
  <c r="AF48" i="1"/>
  <c r="Y48" i="1"/>
  <c r="AA48" i="1"/>
  <c r="T48" i="1"/>
  <c r="V48" i="1"/>
  <c r="P48" i="1" l="1"/>
  <c r="N48" i="1"/>
  <c r="M48" i="1"/>
  <c r="Q47" i="1"/>
  <c r="O47" i="1"/>
  <c r="Q46" i="1"/>
  <c r="O46" i="1"/>
  <c r="Q45" i="1"/>
  <c r="O45" i="1"/>
  <c r="Q44" i="1"/>
  <c r="O44" i="1"/>
  <c r="Q43" i="1"/>
  <c r="O43" i="1"/>
  <c r="Q42" i="1"/>
  <c r="O42" i="1"/>
  <c r="Q41" i="1"/>
  <c r="O41" i="1"/>
  <c r="Q40" i="1"/>
  <c r="O40" i="1"/>
  <c r="Q39" i="1"/>
  <c r="O39" i="1"/>
  <c r="Q38" i="1"/>
  <c r="O38" i="1"/>
  <c r="Q37" i="1"/>
  <c r="O37" i="1"/>
  <c r="Q36" i="1"/>
  <c r="O36" i="1"/>
  <c r="Q35" i="1"/>
  <c r="O35" i="1"/>
  <c r="Q33" i="1"/>
  <c r="O33" i="1"/>
  <c r="Q32" i="1"/>
  <c r="O32" i="1"/>
  <c r="Q31" i="1"/>
  <c r="O31" i="1"/>
  <c r="Q30" i="1"/>
  <c r="O30" i="1"/>
  <c r="Q29" i="1"/>
  <c r="O29" i="1"/>
  <c r="Q28" i="1"/>
  <c r="O28" i="1"/>
  <c r="Q27" i="1"/>
  <c r="O27" i="1"/>
  <c r="Q26" i="1"/>
  <c r="O26" i="1"/>
  <c r="Q25" i="1"/>
  <c r="O25" i="1"/>
  <c r="Q24" i="1"/>
  <c r="O24" i="1"/>
  <c r="Q23" i="1"/>
  <c r="O23" i="1"/>
  <c r="Q22" i="1"/>
  <c r="O22" i="1"/>
  <c r="Q21" i="1"/>
  <c r="O21" i="1"/>
  <c r="Q20" i="1"/>
  <c r="O20" i="1"/>
  <c r="Q19" i="1"/>
  <c r="O19" i="1"/>
  <c r="Q18" i="1"/>
  <c r="O18" i="1"/>
  <c r="Q17" i="1"/>
  <c r="O17" i="1"/>
  <c r="Q16" i="1"/>
  <c r="O16" i="1"/>
  <c r="Q15" i="1"/>
  <c r="O15" i="1"/>
  <c r="Q14" i="1"/>
  <c r="O14" i="1"/>
  <c r="Q13" i="1"/>
  <c r="O13" i="1"/>
  <c r="Q12" i="1"/>
  <c r="O12" i="1"/>
  <c r="Q11" i="1"/>
  <c r="O11" i="1"/>
  <c r="Q10" i="1"/>
  <c r="O10" i="1"/>
  <c r="Q48" i="1" l="1"/>
  <c r="O48" i="1"/>
  <c r="K48" i="1"/>
  <c r="I48" i="1"/>
  <c r="H48" i="1"/>
  <c r="L48" i="1" l="1"/>
  <c r="J48" i="1"/>
  <c r="F48" i="1" l="1"/>
  <c r="D48" i="1"/>
  <c r="C48" i="1"/>
  <c r="G47" i="1"/>
  <c r="E47" i="1"/>
  <c r="G46" i="1"/>
  <c r="E46" i="1"/>
  <c r="G45" i="1"/>
  <c r="E45" i="1"/>
  <c r="G44" i="1"/>
  <c r="E44" i="1"/>
  <c r="G43" i="1"/>
  <c r="E43" i="1"/>
  <c r="G42" i="1"/>
  <c r="E42" i="1"/>
  <c r="G41" i="1"/>
  <c r="E41" i="1"/>
  <c r="G40" i="1"/>
  <c r="E40" i="1"/>
  <c r="G39" i="1"/>
  <c r="E39" i="1"/>
  <c r="G38" i="1"/>
  <c r="E38" i="1"/>
  <c r="G37" i="1"/>
  <c r="E37" i="1"/>
  <c r="G36" i="1"/>
  <c r="E36" i="1"/>
  <c r="G35" i="1"/>
  <c r="E35" i="1"/>
  <c r="G33" i="1"/>
  <c r="E33" i="1"/>
  <c r="G32" i="1"/>
  <c r="E32" i="1"/>
  <c r="G31" i="1"/>
  <c r="E31" i="1"/>
  <c r="G30" i="1"/>
  <c r="E30" i="1"/>
  <c r="G29" i="1"/>
  <c r="E29" i="1"/>
  <c r="G28" i="1"/>
  <c r="E28" i="1"/>
  <c r="G27" i="1"/>
  <c r="E27" i="1"/>
  <c r="G26" i="1"/>
  <c r="E26" i="1"/>
  <c r="G25" i="1"/>
  <c r="E25" i="1"/>
  <c r="G24" i="1"/>
  <c r="E24" i="1"/>
  <c r="G23" i="1"/>
  <c r="E23" i="1"/>
  <c r="G22" i="1"/>
  <c r="E22" i="1"/>
  <c r="G21" i="1"/>
  <c r="E21" i="1"/>
  <c r="G20" i="1"/>
  <c r="E20" i="1"/>
  <c r="G19" i="1"/>
  <c r="E19" i="1"/>
  <c r="G18" i="1"/>
  <c r="E18" i="1"/>
  <c r="G17" i="1"/>
  <c r="E17" i="1"/>
  <c r="G16" i="1"/>
  <c r="E16" i="1"/>
  <c r="G15" i="1"/>
  <c r="E15" i="1"/>
  <c r="G14" i="1"/>
  <c r="E14" i="1"/>
  <c r="G13" i="1"/>
  <c r="E13" i="1"/>
  <c r="G12" i="1"/>
  <c r="E12" i="1"/>
  <c r="G11" i="1"/>
  <c r="E11" i="1"/>
  <c r="G10" i="1"/>
  <c r="E10" i="1"/>
  <c r="G48" i="1" l="1"/>
  <c r="E48" i="1"/>
  <c r="J45" i="1"/>
  <c r="L45" i="1"/>
  <c r="L23" i="1"/>
  <c r="J23" i="1"/>
  <c r="L41" i="1"/>
  <c r="J41" i="1"/>
  <c r="J12" i="1"/>
  <c r="L12" i="1"/>
  <c r="L46" i="1"/>
  <c r="J46" i="1"/>
  <c r="L10" i="1"/>
  <c r="J10" i="1"/>
  <c r="L16" i="1"/>
  <c r="J16" i="1"/>
  <c r="J42" i="1"/>
  <c r="L42" i="1"/>
  <c r="J14" i="1"/>
  <c r="L14" i="1"/>
  <c r="L40" i="1"/>
  <c r="J40" i="1"/>
  <c r="L25" i="1"/>
  <c r="J25" i="1"/>
  <c r="L43" i="1"/>
  <c r="J43" i="1"/>
  <c r="L31" i="1"/>
  <c r="J31" i="1"/>
  <c r="L17" i="1"/>
  <c r="J17" i="1"/>
  <c r="L33" i="1"/>
  <c r="J33" i="1"/>
  <c r="J32" i="1"/>
  <c r="L32" i="1"/>
  <c r="L39" i="1"/>
  <c r="J39" i="1"/>
  <c r="L22" i="1"/>
  <c r="J22" i="1"/>
  <c r="L38" i="1"/>
  <c r="J38" i="1"/>
  <c r="L29" i="1"/>
  <c r="J29" i="1"/>
  <c r="L28" i="1"/>
  <c r="J28" i="1"/>
  <c r="J30" i="1"/>
  <c r="L30" i="1"/>
  <c r="L47" i="1"/>
  <c r="J47" i="1"/>
  <c r="J36" i="1"/>
  <c r="L36" i="1"/>
  <c r="L19" i="1"/>
  <c r="J19" i="1"/>
  <c r="L26" i="1"/>
  <c r="J26" i="1"/>
  <c r="J15" i="1"/>
  <c r="L15" i="1"/>
  <c r="J44" i="1"/>
  <c r="L44" i="1"/>
  <c r="J27" i="1"/>
  <c r="L27" i="1"/>
  <c r="J11" i="1"/>
  <c r="L11" i="1"/>
  <c r="J37" i="1"/>
  <c r="L37" i="1"/>
  <c r="J13" i="1"/>
  <c r="L13" i="1"/>
  <c r="L20" i="1"/>
  <c r="J20" i="1"/>
  <c r="J35" i="1"/>
  <c r="L35" i="1"/>
  <c r="J18" i="1"/>
  <c r="L18" i="1"/>
  <c r="J21" i="1"/>
  <c r="L21" i="1"/>
  <c r="L24" i="1"/>
  <c r="J24" i="1"/>
</calcChain>
</file>

<file path=xl/sharedStrings.xml><?xml version="1.0" encoding="utf-8"?>
<sst xmlns="http://schemas.openxmlformats.org/spreadsheetml/2006/main" count="129" uniqueCount="51">
  <si>
    <t>STATE CD</t>
  </si>
  <si>
    <t>STATE</t>
  </si>
  <si>
    <t>No. of Tax Payers eligible to File</t>
  </si>
  <si>
    <t>No. Tax Payers filed by Due Date</t>
  </si>
  <si>
    <t>No. of Tax Payers filed after due date</t>
  </si>
  <si>
    <t>Total Returns Filed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</si>
  <si>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</si>
  <si>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</si>
  <si>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</si>
  <si>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</si>
  <si>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</si>
  <si>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</si>
  <si>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</si>
  <si>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</si>
  <si>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</si>
  <si>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</si>
  <si>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</si>
  <si>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</si>
  <si>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</si>
  <si>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</si>
  <si>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</si>
  <si>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</si>
  <si>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</si>
  <si>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</si>
  <si>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</si>
  <si>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</si>
  <si>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</si>
  <si>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</si>
  <si>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</si>
  <si>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</si>
  <si>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and Diu</t>
  </si>
  <si>
    <t>Dadra and Nagar Haveli</t>
  </si>
  <si>
    <t>Maharashtra</t>
  </si>
  <si>
    <t>Karnataka</t>
  </si>
  <si>
    <t>Goa</t>
  </si>
  <si>
    <t>Lakshadweep</t>
  </si>
  <si>
    <t>Kerala</t>
  </si>
  <si>
    <t>Tamil Nadu</t>
  </si>
  <si>
    <t>Puducherry</t>
  </si>
  <si>
    <t>Andaman and Nicobar Islands</t>
  </si>
  <si>
    <t>Telangana</t>
  </si>
  <si>
    <t>Andhra Pradesh</t>
  </si>
  <si>
    <t>Ladakh</t>
  </si>
  <si>
    <t>Other Territory</t>
  </si>
  <si>
    <t>Total</t>
  </si>
  <si>
    <t>*  State Code 97 represents  territories other than States/UTs</t>
  </si>
  <si>
    <t>STATE WISE RETURN PERIOD WISE GSTR-3B FILING SUMMARY</t>
  </si>
  <si>
    <t>-</t>
  </si>
  <si>
    <t>FINANCIAL YEAR 2025-2026</t>
  </si>
  <si>
    <t>Data Considered upto 31st Aug 2026</t>
  </si>
  <si>
    <t>Filing %age as on 31st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</si>
</sst>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[&gt;=10000000]##\,##\,##\,##0;[&gt;=100000]\ ##\,##\,##0;##,##0"/>
    <numFmt numFmtId="166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/>
    <xf numFmtId="165" fontId="3" fillId="3" borderId="1" xfId="0" applyNumberFormat="1" applyFont="1" applyFill="1" applyBorder="1"/>
    <xf numFmtId="10" fontId="3" fillId="3" borderId="1" xfId="1" applyNumberFormat="1" applyFont="1" applyFill="1" applyBorder="1"/>
    <xf numFmtId="165" fontId="0" fillId="0" borderId="1" xfId="0" applyNumberFormat="1" applyBorder="1"/>
    <xf numFmtId="165" fontId="0" fillId="0" borderId="1" xfId="0" applyNumberFormat="1" applyBorder="1" applyAlignment="1">
      <alignment horizontal="right" vertical="center" wrapText="1"/>
    </xf>
    <xf numFmtId="165" fontId="2" fillId="2" borderId="1" xfId="2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right" vertical="center" wrapText="1"/>
    </xf>
    <xf numFmtId="165" fontId="6" fillId="5" borderId="1" xfId="0" applyNumberFormat="1" applyFont="1" applyFill="1" applyBorder="1" applyAlignment="1">
      <alignment horizontal="right" vertical="center" wrapText="1"/>
    </xf>
    <xf numFmtId="165" fontId="7" fillId="4" borderId="1" xfId="0" applyNumberFormat="1" applyFont="1" applyFill="1" applyBorder="1"/>
    <xf numFmtId="10" fontId="7" fillId="4" borderId="1" xfId="1" applyNumberFormat="1" applyFont="1" applyFill="1" applyBorder="1"/>
    <xf numFmtId="165" fontId="1" fillId="0" borderId="1" xfId="0" applyNumberFormat="1" applyFont="1" applyBorder="1"/>
    <xf numFmtId="166" fontId="0" fillId="0" borderId="1" xfId="10" applyNumberFormat="1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2" borderId="0" xfId="0" applyFont="1" applyFill="1"/>
    <xf numFmtId="165" fontId="3" fillId="0" borderId="1" xfId="0" applyNumberFormat="1" applyFont="1" applyBorder="1"/>
    <xf numFmtId="10" fontId="3" fillId="0" borderId="1" xfId="1" applyNumberFormat="1" applyFont="1" applyFill="1" applyBorder="1"/>
    <xf numFmtId="0" fontId="2" fillId="2" borderId="0" xfId="0" applyFont="1" applyFill="1"/>
    <xf numFmtId="0" fontId="2" fillId="2" borderId="0" xfId="0" applyFont="1" applyFill="1" applyAlignment="1">
      <alignment horizontal="left"/>
    </xf>
    <xf numFmtId="17" fontId="2" fillId="2" borderId="2" xfId="0" applyNumberFormat="1" applyFont="1" applyFill="1" applyBorder="1" applyAlignment="1">
      <alignment horizontal="center" vertical="center"/>
    </xf>
    <xf numFmtId="17" fontId="2" fillId="2" borderId="3" xfId="0" applyNumberFormat="1" applyFont="1" applyFill="1" applyBorder="1" applyAlignment="1">
      <alignment horizontal="center" vertical="center"/>
    </xf>
    <xf numFmtId="17" fontId="2" fillId="2" borderId="4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11">
    <cellStyle name="Comma" xfId="10" builtinId="3"/>
    <cellStyle name="Comma 2" xfId="2" xr:uid="{00000000-0005-0000-0000-000001000000}"/>
    <cellStyle name="Comma 2 2" xfId="8" xr:uid="{00000000-0005-0000-0000-000002000000}"/>
    <cellStyle name="Comma 2 3" xfId="5" xr:uid="{00000000-0005-0000-0000-000003000000}"/>
    <cellStyle name="Comma 3" xfId="7" xr:uid="{00000000-0005-0000-0000-000004000000}"/>
    <cellStyle name="Normal" xfId="0" builtinId="0"/>
    <cellStyle name="Normal 2" xfId="6" xr:uid="{00000000-0005-0000-0000-000006000000}"/>
    <cellStyle name="Normal 2 2" xfId="9" xr:uid="{00000000-0005-0000-0000-000007000000}"/>
    <cellStyle name="Normal 3" xfId="3" xr:uid="{00000000-0005-0000-0000-000008000000}"/>
    <cellStyle name="Percent" xfId="1" builtinId="5"/>
    <cellStyle name="Percent 2" xfId="4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J57"/>
  <sheetViews>
    <sheetView tabSelected="1" zoomScale="55" zoomScaleNormal="55" workbookViewId="0">
      <selection activeCell="A48" sqref="A48:B48"/>
    </sheetView>
  </sheetViews>
  <sheetFormatPr defaultColWidth="8.77734375" defaultRowHeight="14.4" x14ac:dyDescent="0.3"/>
  <cols>
    <col min="1" max="1" width="11.109375" customWidth="1"/>
    <col min="2" max="2" width="29.77734375" customWidth="1"/>
    <col min="3" max="31" width="18.44140625" customWidth="1"/>
    <col min="32" max="51" width="19" customWidth="1"/>
    <col min="52" max="56" width="18.77734375" customWidth="1"/>
    <col min="57" max="62" width="19" customWidth="1"/>
  </cols>
  <sheetData>
    <row r="1" spans="1:62" ht="15.6" x14ac:dyDescent="0.3">
      <c r="A1" s="22" t="s">
        <v>46</v>
      </c>
      <c r="B1" s="22"/>
      <c r="C1" s="22"/>
      <c r="D1" s="22"/>
      <c r="E1" s="2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62" ht="15.6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62" ht="15.6" x14ac:dyDescent="0.3">
      <c r="A3" s="23" t="s">
        <v>48</v>
      </c>
      <c r="B3" s="2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62" ht="15.6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62" ht="15.6" x14ac:dyDescent="0.3">
      <c r="A5" s="22" t="s">
        <v>49</v>
      </c>
      <c r="B5" s="22"/>
      <c r="C5" s="2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62" ht="15.6" x14ac:dyDescent="0.3">
      <c r="A6" s="1"/>
      <c r="B6" s="1"/>
      <c r="C6" s="1"/>
      <c r="D6" s="2"/>
      <c r="E6" s="2"/>
      <c r="F6" s="2"/>
      <c r="G6" s="2"/>
      <c r="H6" s="1"/>
      <c r="I6" s="2"/>
      <c r="J6" s="2"/>
      <c r="K6" s="2"/>
      <c r="L6" s="2"/>
      <c r="M6" s="1"/>
      <c r="N6" s="2"/>
      <c r="O6" s="2"/>
      <c r="P6" s="2"/>
      <c r="Q6" s="2"/>
      <c r="R6" s="1"/>
      <c r="S6" s="2"/>
      <c r="T6" s="2"/>
      <c r="U6" s="2"/>
      <c r="V6" s="2"/>
      <c r="W6" s="1"/>
      <c r="X6" s="2"/>
      <c r="Y6" s="2"/>
      <c r="Z6" s="2"/>
      <c r="AA6" s="2"/>
      <c r="AB6" s="1"/>
      <c r="AC6" s="2"/>
      <c r="AD6" s="2"/>
      <c r="AE6" s="2"/>
      <c r="AF6" s="2"/>
    </row>
    <row r="7" spans="1:62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62" s="15" customFormat="1" ht="15.6" x14ac:dyDescent="0.3">
      <c r="A8" s="28" t="s">
        <v>0</v>
      </c>
      <c r="B8" s="29" t="s">
        <v>1</v>
      </c>
      <c r="C8" s="24">
        <v>45748</v>
      </c>
      <c r="D8" s="25"/>
      <c r="E8" s="25"/>
      <c r="F8" s="25"/>
      <c r="G8" s="26"/>
      <c r="H8" s="24">
        <v>45778</v>
      </c>
      <c r="I8" s="25"/>
      <c r="J8" s="25"/>
      <c r="K8" s="25"/>
      <c r="L8" s="26"/>
      <c r="M8" s="24">
        <v>45809</v>
      </c>
      <c r="N8" s="25"/>
      <c r="O8" s="25"/>
      <c r="P8" s="25"/>
      <c r="Q8" s="26"/>
      <c r="R8" s="24">
        <v>45839</v>
      </c>
      <c r="S8" s="25"/>
      <c r="T8" s="25"/>
      <c r="U8" s="25"/>
      <c r="V8" s="26"/>
      <c r="W8" s="24">
        <v>45870</v>
      </c>
      <c r="X8" s="25"/>
      <c r="Y8" s="25"/>
      <c r="Z8" s="25"/>
      <c r="AA8" s="26"/>
      <c r="AB8" s="24">
        <v>45901</v>
      </c>
      <c r="AC8" s="25"/>
      <c r="AD8" s="25"/>
      <c r="AE8" s="25"/>
      <c r="AF8" s="26"/>
      <c r="AG8" s="24">
        <v>45931</v>
      </c>
      <c r="AH8" s="25"/>
      <c r="AI8" s="25"/>
      <c r="AJ8" s="25"/>
      <c r="AK8" s="26"/>
      <c r="AL8" s="24">
        <v>45962</v>
      </c>
      <c r="AM8" s="25"/>
      <c r="AN8" s="25"/>
      <c r="AO8" s="25"/>
      <c r="AP8" s="26"/>
      <c r="AQ8" s="24">
        <v>45992</v>
      </c>
      <c r="AR8" s="25"/>
      <c r="AS8" s="25"/>
      <c r="AT8" s="25"/>
      <c r="AU8" s="26"/>
      <c r="AV8" s="24">
        <v>46023</v>
      </c>
      <c r="AW8" s="25"/>
      <c r="AX8" s="25"/>
      <c r="AY8" s="25"/>
      <c r="AZ8" s="26"/>
      <c r="BA8" s="24">
        <v>46054</v>
      </c>
      <c r="BB8" s="25"/>
      <c r="BC8" s="25"/>
      <c r="BD8" s="25"/>
      <c r="BE8" s="26"/>
      <c r="BF8" s="24">
        <v>46082</v>
      </c>
      <c r="BG8" s="25"/>
      <c r="BH8" s="25"/>
      <c r="BI8" s="25"/>
      <c r="BJ8" s="26"/>
    </row>
    <row r="9" spans="1:62" s="15" customFormat="1" ht="61.8" customHeight="1" x14ac:dyDescent="0.3">
      <c r="A9" s="28"/>
      <c r="B9" s="29"/>
      <c r="C9" s="16" t="s">
        <v>2</v>
      </c>
      <c r="D9" s="16" t="s">
        <v>3</v>
      </c>
      <c r="E9" s="16" t="s">
        <v>4</v>
      </c>
      <c r="F9" s="8" t="s">
        <v>5</v>
      </c>
      <c r="G9" s="16" t="s">
        <v>50</v>
      </c>
      <c r="H9" s="16" t="s">
        <v>2</v>
      </c>
      <c r="I9" s="16" t="s">
        <v>3</v>
      </c>
      <c r="J9" s="16" t="s">
        <v>4</v>
      </c>
      <c r="K9" s="8" t="s">
        <v>5</v>
      </c>
      <c r="L9" s="16" t="s">
        <v>50</v>
      </c>
      <c r="M9" s="16" t="s">
        <v>2</v>
      </c>
      <c r="N9" s="16" t="s">
        <v>3</v>
      </c>
      <c r="O9" s="16" t="s">
        <v>4</v>
      </c>
      <c r="P9" s="8" t="s">
        <v>5</v>
      </c>
      <c r="Q9" s="16" t="s">
        <v>50</v>
      </c>
      <c r="R9" s="16" t="s">
        <v>2</v>
      </c>
      <c r="S9" s="16" t="s">
        <v>3</v>
      </c>
      <c r="T9" s="16" t="s">
        <v>4</v>
      </c>
      <c r="U9" s="8" t="s">
        <v>5</v>
      </c>
      <c r="V9" s="16" t="s">
        <v>50</v>
      </c>
      <c r="W9" s="16" t="s">
        <v>2</v>
      </c>
      <c r="X9" s="16" t="s">
        <v>3</v>
      </c>
      <c r="Y9" s="16" t="s">
        <v>4</v>
      </c>
      <c r="Z9" s="8" t="s">
        <v>5</v>
      </c>
      <c r="AA9" s="16" t="s">
        <v>50</v>
      </c>
      <c r="AB9" s="16" t="s">
        <v>2</v>
      </c>
      <c r="AC9" s="16" t="s">
        <v>3</v>
      </c>
      <c r="AD9" s="16" t="s">
        <v>4</v>
      </c>
      <c r="AE9" s="8" t="s">
        <v>5</v>
      </c>
      <c r="AF9" s="16" t="s">
        <v>50</v>
      </c>
      <c r="AG9" s="16" t="s">
        <v>2</v>
      </c>
      <c r="AH9" s="16" t="s">
        <v>3</v>
      </c>
      <c r="AI9" s="16" t="s">
        <v>4</v>
      </c>
      <c r="AJ9" s="8" t="s">
        <v>5</v>
      </c>
      <c r="AK9" s="16" t="s">
        <v>50</v>
      </c>
      <c r="AL9" s="16" t="s">
        <v>2</v>
      </c>
      <c r="AM9" s="16" t="s">
        <v>3</v>
      </c>
      <c r="AN9" s="16" t="s">
        <v>4</v>
      </c>
      <c r="AO9" s="8" t="s">
        <v>5</v>
      </c>
      <c r="AP9" s="16" t="s">
        <v>50</v>
      </c>
      <c r="AQ9" s="16" t="s">
        <v>2</v>
      </c>
      <c r="AR9" s="16" t="s">
        <v>3</v>
      </c>
      <c r="AS9" s="16" t="s">
        <v>4</v>
      </c>
      <c r="AT9" s="8" t="s">
        <v>5</v>
      </c>
      <c r="AU9" s="16" t="s">
        <v>50</v>
      </c>
      <c r="AV9" s="16" t="s">
        <v>2</v>
      </c>
      <c r="AW9" s="16" t="s">
        <v>3</v>
      </c>
      <c r="AX9" s="16" t="s">
        <v>4</v>
      </c>
      <c r="AY9" s="8" t="s">
        <v>5</v>
      </c>
      <c r="AZ9" s="16" t="s">
        <v>50</v>
      </c>
      <c r="BA9" s="16" t="s">
        <v>2</v>
      </c>
      <c r="BB9" s="16" t="s">
        <v>3</v>
      </c>
      <c r="BC9" s="16" t="s">
        <v>4</v>
      </c>
      <c r="BD9" s="8" t="s">
        <v>5</v>
      </c>
      <c r="BE9" s="16" t="s">
        <v>50</v>
      </c>
      <c r="BF9" s="16" t="s">
        <v>2</v>
      </c>
      <c r="BG9" s="16" t="s">
        <v>3</v>
      </c>
      <c r="BH9" s="16" t="s">
        <v>4</v>
      </c>
      <c r="BI9" s="8" t="s">
        <v>5</v>
      </c>
      <c r="BJ9" s="16" t="s">
        <v>50</v>
      </c>
    </row>
    <row r="10" spans="1:62" x14ac:dyDescent="0.3">
      <c r="A10" s="17">
        <v>1</v>
      </c>
      <c r="B10" s="3" t="s">
        <v>6</v>
      </c>
      <c r="C10" s="7">
        <v>74189</v>
      </c>
      <c r="D10" s="6">
        <v>59232</v>
      </c>
      <c r="E10" s="4">
        <f>F10-D10</f>
        <v>15099</v>
      </c>
      <c r="F10" s="13">
        <v>74331</v>
      </c>
      <c r="G10" s="5">
        <f>F10/C10</f>
        <v>1.0019140303818626</v>
      </c>
      <c r="H10" s="7">
        <v>75899</v>
      </c>
      <c r="I10" s="6">
        <v>60084</v>
      </c>
      <c r="J10" s="4">
        <f>K10-I10</f>
        <v>14969</v>
      </c>
      <c r="K10" s="13">
        <v>75053</v>
      </c>
      <c r="L10" s="5">
        <f>K10/H10</f>
        <v>0.98885360808442802</v>
      </c>
      <c r="M10" s="7">
        <v>134494</v>
      </c>
      <c r="N10" s="6">
        <v>107836</v>
      </c>
      <c r="O10" s="4">
        <f>P10-N10</f>
        <v>26371</v>
      </c>
      <c r="P10" s="13">
        <v>134207</v>
      </c>
      <c r="Q10" s="5">
        <f>P10/M10</f>
        <v>0.99786607581007336</v>
      </c>
      <c r="R10" s="7">
        <v>73914</v>
      </c>
      <c r="S10" s="6">
        <v>59856</v>
      </c>
      <c r="T10" s="4">
        <f>U10-S10</f>
        <v>14009</v>
      </c>
      <c r="U10" s="13">
        <v>73865</v>
      </c>
      <c r="V10" s="5">
        <f>U10/R10</f>
        <v>0.99933706740265715</v>
      </c>
      <c r="W10" s="7">
        <v>75592</v>
      </c>
      <c r="X10" s="6">
        <v>60683</v>
      </c>
      <c r="Y10" s="4">
        <f>Z10-X10</f>
        <v>14105</v>
      </c>
      <c r="Z10" s="13">
        <v>74788</v>
      </c>
      <c r="AA10" s="5">
        <f>Z10/W10</f>
        <v>0.98936395385755105</v>
      </c>
      <c r="AB10" s="7">
        <v>136558</v>
      </c>
      <c r="AC10" s="6">
        <v>111852</v>
      </c>
      <c r="AD10" s="4">
        <f>AE10-AC10</f>
        <v>24273</v>
      </c>
      <c r="AE10" s="13">
        <v>136125</v>
      </c>
      <c r="AF10" s="5">
        <f>AE10/AB10</f>
        <v>0.99682918613336458</v>
      </c>
      <c r="AG10" s="7">
        <v>73704</v>
      </c>
      <c r="AH10" s="6">
        <v>59412</v>
      </c>
      <c r="AI10" s="4">
        <f>AJ10-AH10</f>
        <v>14219</v>
      </c>
      <c r="AJ10" s="13">
        <v>73631</v>
      </c>
      <c r="AK10" s="5">
        <f>AJ10/AG10</f>
        <v>0.99900955172039507</v>
      </c>
      <c r="AL10" s="7">
        <v>75897</v>
      </c>
      <c r="AM10" s="6">
        <v>63195</v>
      </c>
      <c r="AN10" s="4">
        <f>AO10-AM10</f>
        <v>13063</v>
      </c>
      <c r="AO10" s="13">
        <v>76258</v>
      </c>
      <c r="AP10" s="5">
        <f>AO10/AL10</f>
        <v>1.0047564462363465</v>
      </c>
      <c r="AQ10" s="7">
        <v>140117</v>
      </c>
      <c r="AR10" s="6">
        <v>114958</v>
      </c>
      <c r="AS10" s="4">
        <f>AT10-AR10</f>
        <v>25553</v>
      </c>
      <c r="AT10" s="13">
        <v>140511</v>
      </c>
      <c r="AU10" s="5">
        <f>AT10/AQ10</f>
        <v>1.0028119357394178</v>
      </c>
      <c r="AV10" s="7">
        <v>75508</v>
      </c>
      <c r="AW10" s="6">
        <v>62396</v>
      </c>
      <c r="AX10" s="4">
        <f>AY10-AW10</f>
        <v>13800</v>
      </c>
      <c r="AY10" s="13">
        <v>76196</v>
      </c>
      <c r="AZ10" s="5">
        <f>AY10/AV10</f>
        <v>1.0091116173120729</v>
      </c>
      <c r="BA10" s="7">
        <v>78056</v>
      </c>
      <c r="BB10" s="6">
        <v>63996</v>
      </c>
      <c r="BC10" s="4">
        <f>BD10-BB10</f>
        <v>13840</v>
      </c>
      <c r="BD10" s="13">
        <v>77836</v>
      </c>
      <c r="BE10" s="5">
        <f>BD10/BA10</f>
        <v>0.99718151071025929</v>
      </c>
      <c r="BF10" s="7">
        <v>144885</v>
      </c>
      <c r="BG10" s="6">
        <v>110042</v>
      </c>
      <c r="BH10" s="4">
        <f>BI10-BG10</f>
        <v>33364</v>
      </c>
      <c r="BI10" s="6">
        <v>143406</v>
      </c>
      <c r="BJ10" s="5">
        <f>BI10/BF10</f>
        <v>0.98979190392380167</v>
      </c>
    </row>
    <row r="11" spans="1:62" x14ac:dyDescent="0.3">
      <c r="A11" s="17">
        <v>2</v>
      </c>
      <c r="B11" s="3" t="s">
        <v>7</v>
      </c>
      <c r="C11" s="7">
        <v>47835</v>
      </c>
      <c r="D11" s="6">
        <v>39146</v>
      </c>
      <c r="E11" s="4">
        <f t="shared" ref="E11:E33" si="0">F11-D11</f>
        <v>8662</v>
      </c>
      <c r="F11" s="13">
        <v>47808</v>
      </c>
      <c r="G11" s="5">
        <f t="shared" ref="G11:G33" si="1">F11/C11</f>
        <v>0.99943555973659459</v>
      </c>
      <c r="H11" s="7">
        <v>49123</v>
      </c>
      <c r="I11" s="6">
        <v>39986</v>
      </c>
      <c r="J11" s="4">
        <f t="shared" ref="J11:J33" si="2">K11-I11</f>
        <v>8341</v>
      </c>
      <c r="K11" s="13">
        <v>48327</v>
      </c>
      <c r="L11" s="5">
        <f t="shared" ref="L11:L33" si="3">K11/H11</f>
        <v>0.98379577794515805</v>
      </c>
      <c r="M11" s="7">
        <v>111861</v>
      </c>
      <c r="N11" s="6">
        <v>92189</v>
      </c>
      <c r="O11" s="4">
        <f t="shared" ref="O11:O33" si="4">P11-N11</f>
        <v>19090</v>
      </c>
      <c r="P11" s="13">
        <v>111279</v>
      </c>
      <c r="Q11" s="5">
        <f t="shared" ref="Q11:Q33" si="5">P11/M11</f>
        <v>0.9947971142757529</v>
      </c>
      <c r="R11" s="7">
        <v>47958</v>
      </c>
      <c r="S11" s="6">
        <v>39594</v>
      </c>
      <c r="T11" s="4">
        <f t="shared" ref="T11:T33" si="6">U11-S11</f>
        <v>8139</v>
      </c>
      <c r="U11" s="13">
        <v>47733</v>
      </c>
      <c r="V11" s="5">
        <f t="shared" ref="V11:V33" si="7">U11/R11</f>
        <v>0.99530839484548983</v>
      </c>
      <c r="W11" s="7">
        <v>49731</v>
      </c>
      <c r="X11" s="6">
        <v>40202</v>
      </c>
      <c r="Y11" s="4">
        <f t="shared" ref="Y11:Y33" si="8">Z11-X11</f>
        <v>8162</v>
      </c>
      <c r="Z11" s="13">
        <v>48364</v>
      </c>
      <c r="AA11" s="5">
        <f t="shared" ref="AA11:AA33" si="9">Z11/W11</f>
        <v>0.97251211517966663</v>
      </c>
      <c r="AB11" s="7">
        <v>113134</v>
      </c>
      <c r="AC11" s="6">
        <v>92380</v>
      </c>
      <c r="AD11" s="4">
        <f t="shared" ref="AD11:AD33" si="10">AE11-AC11</f>
        <v>19694</v>
      </c>
      <c r="AE11" s="13">
        <v>112074</v>
      </c>
      <c r="AF11" s="5">
        <f t="shared" ref="AF11:AF33" si="11">AE11/AB11</f>
        <v>0.99063057966659007</v>
      </c>
      <c r="AG11" s="7">
        <v>48119</v>
      </c>
      <c r="AH11" s="6">
        <v>39872</v>
      </c>
      <c r="AI11" s="4">
        <f t="shared" ref="AI11:AI33" si="12">AJ11-AH11</f>
        <v>7942</v>
      </c>
      <c r="AJ11" s="13">
        <v>47814</v>
      </c>
      <c r="AK11" s="5">
        <f t="shared" ref="AK11:AK33" si="13">AJ11/AG11</f>
        <v>0.99366154741370349</v>
      </c>
      <c r="AL11" s="7">
        <v>49938</v>
      </c>
      <c r="AM11" s="6">
        <v>41686</v>
      </c>
      <c r="AN11" s="4">
        <f t="shared" ref="AN11:AN33" si="14">AO11-AM11</f>
        <v>7454</v>
      </c>
      <c r="AO11" s="13">
        <v>49140</v>
      </c>
      <c r="AP11" s="5">
        <f t="shared" ref="AP11:AP33" si="15">AO11/AL11</f>
        <v>0.98402018502943656</v>
      </c>
      <c r="AQ11" s="7">
        <v>114343</v>
      </c>
      <c r="AR11" s="6">
        <v>97739</v>
      </c>
      <c r="AS11" s="4">
        <f t="shared" ref="AS11:AS33" si="16">AT11-AR11</f>
        <v>16155</v>
      </c>
      <c r="AT11" s="13">
        <v>113894</v>
      </c>
      <c r="AU11" s="5">
        <f t="shared" ref="AU11:AU33" si="17">AT11/AQ11</f>
        <v>0.99607321829932749</v>
      </c>
      <c r="AV11" s="7">
        <v>49251</v>
      </c>
      <c r="AW11" s="6">
        <v>41763</v>
      </c>
      <c r="AX11" s="4">
        <f t="shared" ref="AX11:AX33" si="18">AY11-AW11</f>
        <v>7144</v>
      </c>
      <c r="AY11" s="13">
        <v>48907</v>
      </c>
      <c r="AZ11" s="5">
        <f t="shared" ref="AZ11:AZ33" si="19">AY11/AV11</f>
        <v>0.99301537024628939</v>
      </c>
      <c r="BA11" s="7">
        <v>50523</v>
      </c>
      <c r="BB11" s="6">
        <v>42199</v>
      </c>
      <c r="BC11" s="4">
        <f t="shared" ref="BC11:BC33" si="20">BD11-BB11</f>
        <v>7482</v>
      </c>
      <c r="BD11" s="13">
        <v>49681</v>
      </c>
      <c r="BE11" s="5">
        <f t="shared" ref="BE11:BE33" si="21">BD11/BA11</f>
        <v>0.98333432298161239</v>
      </c>
      <c r="BF11" s="7">
        <v>116408</v>
      </c>
      <c r="BG11" s="6">
        <v>95457</v>
      </c>
      <c r="BH11" s="4">
        <f t="shared" ref="BH11:BH33" si="22">BI11-BG11</f>
        <v>19198</v>
      </c>
      <c r="BI11" s="6">
        <v>114655</v>
      </c>
      <c r="BJ11" s="5">
        <f t="shared" ref="BJ11:BJ33" si="23">BI11/BF11</f>
        <v>0.98494089753281566</v>
      </c>
    </row>
    <row r="12" spans="1:62" x14ac:dyDescent="0.3">
      <c r="A12" s="17">
        <v>3</v>
      </c>
      <c r="B12" s="3" t="s">
        <v>8</v>
      </c>
      <c r="C12" s="7">
        <v>182748</v>
      </c>
      <c r="D12" s="6">
        <v>152973</v>
      </c>
      <c r="E12" s="4">
        <f t="shared" si="0"/>
        <v>29312</v>
      </c>
      <c r="F12" s="13">
        <v>182285</v>
      </c>
      <c r="G12" s="5">
        <f t="shared" si="1"/>
        <v>0.9974664565412481</v>
      </c>
      <c r="H12" s="7">
        <v>186824</v>
      </c>
      <c r="I12" s="6">
        <v>158115</v>
      </c>
      <c r="J12" s="4">
        <f t="shared" si="2"/>
        <v>26605</v>
      </c>
      <c r="K12" s="13">
        <v>184720</v>
      </c>
      <c r="L12" s="5">
        <f t="shared" si="3"/>
        <v>0.9887380636320815</v>
      </c>
      <c r="M12" s="7">
        <v>372375</v>
      </c>
      <c r="N12" s="6">
        <v>309614</v>
      </c>
      <c r="O12" s="4">
        <f t="shared" si="4"/>
        <v>61149</v>
      </c>
      <c r="P12" s="13">
        <v>370763</v>
      </c>
      <c r="Q12" s="5">
        <f t="shared" si="5"/>
        <v>0.99567103054716344</v>
      </c>
      <c r="R12" s="7">
        <v>184659</v>
      </c>
      <c r="S12" s="6">
        <v>155344</v>
      </c>
      <c r="T12" s="4">
        <f t="shared" si="6"/>
        <v>28412</v>
      </c>
      <c r="U12" s="13">
        <v>183756</v>
      </c>
      <c r="V12" s="5">
        <f t="shared" si="7"/>
        <v>0.99510990528487642</v>
      </c>
      <c r="W12" s="7">
        <v>189081</v>
      </c>
      <c r="X12" s="6">
        <v>155917</v>
      </c>
      <c r="Y12" s="4">
        <f t="shared" si="8"/>
        <v>29845</v>
      </c>
      <c r="Z12" s="13">
        <v>185762</v>
      </c>
      <c r="AA12" s="5">
        <f t="shared" si="9"/>
        <v>0.98244667629217108</v>
      </c>
      <c r="AB12" s="7">
        <v>377441</v>
      </c>
      <c r="AC12" s="6">
        <v>308621</v>
      </c>
      <c r="AD12" s="4">
        <f t="shared" si="10"/>
        <v>65685</v>
      </c>
      <c r="AE12" s="13">
        <v>374306</v>
      </c>
      <c r="AF12" s="5">
        <f t="shared" si="11"/>
        <v>0.99169406609244892</v>
      </c>
      <c r="AG12" s="7">
        <v>186148</v>
      </c>
      <c r="AH12" s="6">
        <v>156441</v>
      </c>
      <c r="AI12" s="4">
        <f t="shared" si="12"/>
        <v>28688</v>
      </c>
      <c r="AJ12" s="13">
        <v>185129</v>
      </c>
      <c r="AK12" s="5">
        <f t="shared" si="13"/>
        <v>0.99452586114274666</v>
      </c>
      <c r="AL12" s="7">
        <v>192239</v>
      </c>
      <c r="AM12" s="6">
        <v>164253</v>
      </c>
      <c r="AN12" s="4">
        <f t="shared" si="14"/>
        <v>27046</v>
      </c>
      <c r="AO12" s="13">
        <v>191299</v>
      </c>
      <c r="AP12" s="5">
        <f t="shared" si="15"/>
        <v>0.99511025338250825</v>
      </c>
      <c r="AQ12" s="7">
        <v>384779</v>
      </c>
      <c r="AR12" s="6">
        <v>322202</v>
      </c>
      <c r="AS12" s="4">
        <f t="shared" si="16"/>
        <v>61534</v>
      </c>
      <c r="AT12" s="13">
        <v>383736</v>
      </c>
      <c r="AU12" s="5">
        <f t="shared" si="17"/>
        <v>0.99728935310918732</v>
      </c>
      <c r="AV12" s="7">
        <v>191743</v>
      </c>
      <c r="AW12" s="6">
        <v>165505</v>
      </c>
      <c r="AX12" s="4">
        <f t="shared" si="18"/>
        <v>26184</v>
      </c>
      <c r="AY12" s="13">
        <v>191689</v>
      </c>
      <c r="AZ12" s="5">
        <f t="shared" si="19"/>
        <v>0.99971837303056699</v>
      </c>
      <c r="BA12" s="7">
        <v>197493</v>
      </c>
      <c r="BB12" s="6">
        <v>167307</v>
      </c>
      <c r="BC12" s="4">
        <f t="shared" si="20"/>
        <v>27664</v>
      </c>
      <c r="BD12" s="13">
        <v>194971</v>
      </c>
      <c r="BE12" s="5">
        <f t="shared" si="21"/>
        <v>0.98722992713665803</v>
      </c>
      <c r="BF12" s="7">
        <v>393305</v>
      </c>
      <c r="BG12" s="6">
        <v>315979</v>
      </c>
      <c r="BH12" s="4">
        <f t="shared" si="22"/>
        <v>72959</v>
      </c>
      <c r="BI12" s="6">
        <v>388938</v>
      </c>
      <c r="BJ12" s="5">
        <f t="shared" si="23"/>
        <v>0.9888966578100965</v>
      </c>
    </row>
    <row r="13" spans="1:62" x14ac:dyDescent="0.3">
      <c r="A13" s="17">
        <v>4</v>
      </c>
      <c r="B13" s="3" t="s">
        <v>9</v>
      </c>
      <c r="C13" s="7">
        <v>18035</v>
      </c>
      <c r="D13" s="6">
        <v>15177</v>
      </c>
      <c r="E13" s="4">
        <f t="shared" si="0"/>
        <v>2896</v>
      </c>
      <c r="F13" s="13">
        <v>18073</v>
      </c>
      <c r="G13" s="5">
        <f t="shared" si="1"/>
        <v>1.0021070141391739</v>
      </c>
      <c r="H13" s="7">
        <v>18257</v>
      </c>
      <c r="I13" s="6">
        <v>15478</v>
      </c>
      <c r="J13" s="4">
        <f t="shared" si="2"/>
        <v>2628</v>
      </c>
      <c r="K13" s="13">
        <v>18106</v>
      </c>
      <c r="L13" s="5">
        <f t="shared" si="3"/>
        <v>0.99172919975899654</v>
      </c>
      <c r="M13" s="7">
        <v>29011</v>
      </c>
      <c r="N13" s="6">
        <v>23994</v>
      </c>
      <c r="O13" s="4">
        <f t="shared" si="4"/>
        <v>5017</v>
      </c>
      <c r="P13" s="13">
        <v>29011</v>
      </c>
      <c r="Q13" s="5">
        <f t="shared" si="5"/>
        <v>1</v>
      </c>
      <c r="R13" s="7">
        <v>18140</v>
      </c>
      <c r="S13" s="6">
        <v>15367</v>
      </c>
      <c r="T13" s="4">
        <f t="shared" si="6"/>
        <v>2806</v>
      </c>
      <c r="U13" s="13">
        <v>18173</v>
      </c>
      <c r="V13" s="5">
        <f t="shared" si="7"/>
        <v>1.001819184123484</v>
      </c>
      <c r="W13" s="7">
        <v>18401</v>
      </c>
      <c r="X13" s="6">
        <v>15431</v>
      </c>
      <c r="Y13" s="4">
        <f t="shared" si="8"/>
        <v>2817</v>
      </c>
      <c r="Z13" s="13">
        <v>18248</v>
      </c>
      <c r="AA13" s="5">
        <f t="shared" si="9"/>
        <v>0.99168523449812507</v>
      </c>
      <c r="AB13" s="7">
        <v>29242</v>
      </c>
      <c r="AC13" s="6">
        <v>24363</v>
      </c>
      <c r="AD13" s="4">
        <f t="shared" si="10"/>
        <v>4854</v>
      </c>
      <c r="AE13" s="13">
        <v>29217</v>
      </c>
      <c r="AF13" s="5">
        <f t="shared" si="11"/>
        <v>0.99914506531700975</v>
      </c>
      <c r="AG13" s="7">
        <v>18261</v>
      </c>
      <c r="AH13" s="6">
        <v>15707</v>
      </c>
      <c r="AI13" s="4">
        <f t="shared" si="12"/>
        <v>2722</v>
      </c>
      <c r="AJ13" s="13">
        <v>18429</v>
      </c>
      <c r="AK13" s="5">
        <f t="shared" si="13"/>
        <v>1.0091999342861837</v>
      </c>
      <c r="AL13" s="7">
        <v>18637</v>
      </c>
      <c r="AM13" s="6">
        <v>16162</v>
      </c>
      <c r="AN13" s="4">
        <f t="shared" si="14"/>
        <v>2588</v>
      </c>
      <c r="AO13" s="13">
        <v>18750</v>
      </c>
      <c r="AP13" s="5">
        <f t="shared" si="15"/>
        <v>1.0060632075977893</v>
      </c>
      <c r="AQ13" s="7">
        <v>29668</v>
      </c>
      <c r="AR13" s="6">
        <v>25476</v>
      </c>
      <c r="AS13" s="4">
        <f t="shared" si="16"/>
        <v>4352</v>
      </c>
      <c r="AT13" s="13">
        <v>29828</v>
      </c>
      <c r="AU13" s="5">
        <f t="shared" si="17"/>
        <v>1.0053930160442228</v>
      </c>
      <c r="AV13" s="7">
        <v>18676</v>
      </c>
      <c r="AW13" s="6">
        <v>16371</v>
      </c>
      <c r="AX13" s="4">
        <f t="shared" si="18"/>
        <v>2539</v>
      </c>
      <c r="AY13" s="13">
        <v>18910</v>
      </c>
      <c r="AZ13" s="5">
        <f t="shared" si="19"/>
        <v>1.0125294495609338</v>
      </c>
      <c r="BA13" s="7">
        <v>19025</v>
      </c>
      <c r="BB13" s="6">
        <v>16587</v>
      </c>
      <c r="BC13" s="4">
        <f t="shared" si="20"/>
        <v>2580</v>
      </c>
      <c r="BD13" s="13">
        <v>19167</v>
      </c>
      <c r="BE13" s="5">
        <f t="shared" si="21"/>
        <v>1.0074638633377135</v>
      </c>
      <c r="BF13" s="7">
        <v>30254</v>
      </c>
      <c r="BG13" s="6">
        <v>25125</v>
      </c>
      <c r="BH13" s="4">
        <f t="shared" si="22"/>
        <v>5016</v>
      </c>
      <c r="BI13" s="6">
        <v>30141</v>
      </c>
      <c r="BJ13" s="5">
        <f t="shared" si="23"/>
        <v>0.99626495669994053</v>
      </c>
    </row>
    <row r="14" spans="1:62" x14ac:dyDescent="0.3">
      <c r="A14" s="17">
        <v>5</v>
      </c>
      <c r="B14" s="3" t="s">
        <v>10</v>
      </c>
      <c r="C14" s="7">
        <v>94613</v>
      </c>
      <c r="D14" s="6">
        <v>76148</v>
      </c>
      <c r="E14" s="4">
        <f t="shared" si="0"/>
        <v>19393</v>
      </c>
      <c r="F14" s="13">
        <v>95541</v>
      </c>
      <c r="G14" s="5">
        <f t="shared" si="1"/>
        <v>1.0098083772843056</v>
      </c>
      <c r="H14" s="7">
        <v>97351</v>
      </c>
      <c r="I14" s="6">
        <v>78426</v>
      </c>
      <c r="J14" s="4">
        <f t="shared" si="2"/>
        <v>18943</v>
      </c>
      <c r="K14" s="13">
        <v>97369</v>
      </c>
      <c r="L14" s="5">
        <f t="shared" si="3"/>
        <v>1.0001848979466055</v>
      </c>
      <c r="M14" s="7">
        <v>172809</v>
      </c>
      <c r="N14" s="6">
        <v>136763</v>
      </c>
      <c r="O14" s="4">
        <f t="shared" si="4"/>
        <v>35867</v>
      </c>
      <c r="P14" s="13">
        <v>172630</v>
      </c>
      <c r="Q14" s="5">
        <f t="shared" si="5"/>
        <v>0.99896417431962459</v>
      </c>
      <c r="R14" s="7">
        <v>97326</v>
      </c>
      <c r="S14" s="6">
        <v>78853</v>
      </c>
      <c r="T14" s="4">
        <f t="shared" si="6"/>
        <v>18039</v>
      </c>
      <c r="U14" s="13">
        <v>96892</v>
      </c>
      <c r="V14" s="5">
        <f t="shared" si="7"/>
        <v>0.99554075992026791</v>
      </c>
      <c r="W14" s="7">
        <v>98912</v>
      </c>
      <c r="X14" s="6">
        <v>80279</v>
      </c>
      <c r="Y14" s="4">
        <f t="shared" si="8"/>
        <v>17771</v>
      </c>
      <c r="Z14" s="13">
        <v>98050</v>
      </c>
      <c r="AA14" s="5">
        <f t="shared" si="9"/>
        <v>0.99128518278874156</v>
      </c>
      <c r="AB14" s="7">
        <v>175426</v>
      </c>
      <c r="AC14" s="6">
        <v>140708</v>
      </c>
      <c r="AD14" s="4">
        <f t="shared" si="10"/>
        <v>34644</v>
      </c>
      <c r="AE14" s="13">
        <v>175352</v>
      </c>
      <c r="AF14" s="5">
        <f t="shared" si="11"/>
        <v>0.9995781697125854</v>
      </c>
      <c r="AG14" s="7">
        <v>98057</v>
      </c>
      <c r="AH14" s="6">
        <v>79598</v>
      </c>
      <c r="AI14" s="4">
        <f t="shared" si="12"/>
        <v>18735</v>
      </c>
      <c r="AJ14" s="13">
        <v>98333</v>
      </c>
      <c r="AK14" s="5">
        <f t="shared" si="13"/>
        <v>1.00281468941534</v>
      </c>
      <c r="AL14" s="7">
        <v>101581</v>
      </c>
      <c r="AM14" s="6">
        <v>84679</v>
      </c>
      <c r="AN14" s="4">
        <f t="shared" si="14"/>
        <v>18044</v>
      </c>
      <c r="AO14" s="13">
        <v>102723</v>
      </c>
      <c r="AP14" s="5">
        <f t="shared" si="15"/>
        <v>1.0112422598714326</v>
      </c>
      <c r="AQ14" s="7">
        <v>182247</v>
      </c>
      <c r="AR14" s="6">
        <v>150894</v>
      </c>
      <c r="AS14" s="4">
        <f t="shared" si="16"/>
        <v>31695</v>
      </c>
      <c r="AT14" s="13">
        <v>182589</v>
      </c>
      <c r="AU14" s="5">
        <f t="shared" si="17"/>
        <v>1.0018765740999851</v>
      </c>
      <c r="AV14" s="7">
        <v>102257</v>
      </c>
      <c r="AW14" s="6">
        <v>85508</v>
      </c>
      <c r="AX14" s="4">
        <f t="shared" si="18"/>
        <v>17856</v>
      </c>
      <c r="AY14" s="13">
        <v>103364</v>
      </c>
      <c r="AZ14" s="5">
        <f t="shared" si="19"/>
        <v>1.0108256647466678</v>
      </c>
      <c r="BA14" s="7">
        <v>106311</v>
      </c>
      <c r="BB14" s="6">
        <v>87910</v>
      </c>
      <c r="BC14" s="4">
        <f t="shared" si="20"/>
        <v>17918</v>
      </c>
      <c r="BD14" s="13">
        <v>105828</v>
      </c>
      <c r="BE14" s="5">
        <f t="shared" si="21"/>
        <v>0.99545672602082569</v>
      </c>
      <c r="BF14" s="7">
        <v>189210</v>
      </c>
      <c r="BG14" s="6">
        <v>147639</v>
      </c>
      <c r="BH14" s="4">
        <f t="shared" si="22"/>
        <v>39468</v>
      </c>
      <c r="BI14" s="6">
        <v>187107</v>
      </c>
      <c r="BJ14" s="5">
        <f t="shared" si="23"/>
        <v>0.9888853654669415</v>
      </c>
    </row>
    <row r="15" spans="1:62" x14ac:dyDescent="0.3">
      <c r="A15" s="17">
        <v>6</v>
      </c>
      <c r="B15" s="3" t="s">
        <v>11</v>
      </c>
      <c r="C15" s="7">
        <v>324796</v>
      </c>
      <c r="D15" s="6">
        <v>269173</v>
      </c>
      <c r="E15" s="4">
        <f t="shared" si="0"/>
        <v>55252</v>
      </c>
      <c r="F15" s="13">
        <v>324425</v>
      </c>
      <c r="G15" s="5">
        <f t="shared" si="1"/>
        <v>0.9988577445535044</v>
      </c>
      <c r="H15" s="7">
        <v>331968</v>
      </c>
      <c r="I15" s="6">
        <v>277363</v>
      </c>
      <c r="J15" s="4">
        <f t="shared" si="2"/>
        <v>52247</v>
      </c>
      <c r="K15" s="13">
        <v>329610</v>
      </c>
      <c r="L15" s="5">
        <f t="shared" si="3"/>
        <v>0.9928969057258531</v>
      </c>
      <c r="M15" s="7">
        <v>549212</v>
      </c>
      <c r="N15" s="6">
        <v>453936</v>
      </c>
      <c r="O15" s="4">
        <f t="shared" si="4"/>
        <v>93523</v>
      </c>
      <c r="P15" s="13">
        <v>547459</v>
      </c>
      <c r="Q15" s="5">
        <f t="shared" si="5"/>
        <v>0.99680815422823976</v>
      </c>
      <c r="R15" s="7">
        <v>333160</v>
      </c>
      <c r="S15" s="6">
        <v>278332</v>
      </c>
      <c r="T15" s="4">
        <f t="shared" si="6"/>
        <v>54013</v>
      </c>
      <c r="U15" s="13">
        <v>332345</v>
      </c>
      <c r="V15" s="5">
        <f t="shared" si="7"/>
        <v>0.99755372793852803</v>
      </c>
      <c r="W15" s="7">
        <v>340519</v>
      </c>
      <c r="X15" s="6">
        <v>281895</v>
      </c>
      <c r="Y15" s="4">
        <f t="shared" si="8"/>
        <v>54980</v>
      </c>
      <c r="Z15" s="13">
        <v>336875</v>
      </c>
      <c r="AA15" s="5">
        <f t="shared" si="9"/>
        <v>0.98929868817892685</v>
      </c>
      <c r="AB15" s="7">
        <v>562036</v>
      </c>
      <c r="AC15" s="6">
        <v>463414</v>
      </c>
      <c r="AD15" s="4">
        <f t="shared" si="10"/>
        <v>95164</v>
      </c>
      <c r="AE15" s="13">
        <v>558578</v>
      </c>
      <c r="AF15" s="5">
        <f t="shared" si="11"/>
        <v>0.99384736920766636</v>
      </c>
      <c r="AG15" s="7">
        <v>340264</v>
      </c>
      <c r="AH15" s="6">
        <v>283134</v>
      </c>
      <c r="AI15" s="4">
        <f t="shared" si="12"/>
        <v>56240</v>
      </c>
      <c r="AJ15" s="13">
        <v>339374</v>
      </c>
      <c r="AK15" s="5">
        <f t="shared" si="13"/>
        <v>0.99738438389015593</v>
      </c>
      <c r="AL15" s="7">
        <v>350627</v>
      </c>
      <c r="AM15" s="6">
        <v>297883</v>
      </c>
      <c r="AN15" s="4">
        <f t="shared" si="14"/>
        <v>54760</v>
      </c>
      <c r="AO15" s="13">
        <v>352643</v>
      </c>
      <c r="AP15" s="5">
        <f t="shared" si="15"/>
        <v>1.0057496998234592</v>
      </c>
      <c r="AQ15" s="7">
        <v>580651</v>
      </c>
      <c r="AR15" s="6">
        <v>497925</v>
      </c>
      <c r="AS15" s="4">
        <f t="shared" si="16"/>
        <v>83650</v>
      </c>
      <c r="AT15" s="13">
        <v>581575</v>
      </c>
      <c r="AU15" s="5">
        <f t="shared" si="17"/>
        <v>1.0015913173317534</v>
      </c>
      <c r="AV15" s="7">
        <v>355536</v>
      </c>
      <c r="AW15" s="6">
        <v>305020</v>
      </c>
      <c r="AX15" s="4">
        <f t="shared" si="18"/>
        <v>52149</v>
      </c>
      <c r="AY15" s="13">
        <v>357169</v>
      </c>
      <c r="AZ15" s="5">
        <f t="shared" si="19"/>
        <v>1.0045930651185815</v>
      </c>
      <c r="BA15" s="7">
        <v>365201</v>
      </c>
      <c r="BB15" s="6">
        <v>310982</v>
      </c>
      <c r="BC15" s="4">
        <f t="shared" si="20"/>
        <v>53065</v>
      </c>
      <c r="BD15" s="13">
        <v>364047</v>
      </c>
      <c r="BE15" s="5">
        <f t="shared" si="21"/>
        <v>0.99684009627574954</v>
      </c>
      <c r="BF15" s="7">
        <v>600313</v>
      </c>
      <c r="BG15" s="6">
        <v>491036</v>
      </c>
      <c r="BH15" s="4">
        <f t="shared" si="22"/>
        <v>104023</v>
      </c>
      <c r="BI15" s="6">
        <v>595059</v>
      </c>
      <c r="BJ15" s="5">
        <f t="shared" si="23"/>
        <v>0.99124789901268173</v>
      </c>
    </row>
    <row r="16" spans="1:62" x14ac:dyDescent="0.3">
      <c r="A16" s="17">
        <v>7</v>
      </c>
      <c r="B16" s="3" t="s">
        <v>12</v>
      </c>
      <c r="C16" s="7">
        <v>453518</v>
      </c>
      <c r="D16" s="6">
        <v>374739</v>
      </c>
      <c r="E16" s="4">
        <f t="shared" si="0"/>
        <v>77279</v>
      </c>
      <c r="F16" s="13">
        <v>452018</v>
      </c>
      <c r="G16" s="5">
        <f t="shared" si="1"/>
        <v>0.99669252378075401</v>
      </c>
      <c r="H16" s="7">
        <v>461360</v>
      </c>
      <c r="I16" s="6">
        <v>383819</v>
      </c>
      <c r="J16" s="4">
        <f t="shared" si="2"/>
        <v>75037</v>
      </c>
      <c r="K16" s="13">
        <v>458856</v>
      </c>
      <c r="L16" s="5">
        <f t="shared" si="3"/>
        <v>0.99457256805964978</v>
      </c>
      <c r="M16" s="7">
        <v>788355</v>
      </c>
      <c r="N16" s="6">
        <v>652999</v>
      </c>
      <c r="O16" s="4">
        <f t="shared" si="4"/>
        <v>134772</v>
      </c>
      <c r="P16" s="13">
        <v>787771</v>
      </c>
      <c r="Q16" s="5">
        <f t="shared" si="5"/>
        <v>0.99925921697712328</v>
      </c>
      <c r="R16" s="7">
        <v>462019</v>
      </c>
      <c r="S16" s="6">
        <v>384148</v>
      </c>
      <c r="T16" s="4">
        <f t="shared" si="6"/>
        <v>78442</v>
      </c>
      <c r="U16" s="13">
        <v>462590</v>
      </c>
      <c r="V16" s="5">
        <f t="shared" si="7"/>
        <v>1.0012358799097008</v>
      </c>
      <c r="W16" s="7">
        <v>472236</v>
      </c>
      <c r="X16" s="6">
        <v>388079</v>
      </c>
      <c r="Y16" s="4">
        <f t="shared" si="8"/>
        <v>79173</v>
      </c>
      <c r="Z16" s="13">
        <v>467252</v>
      </c>
      <c r="AA16" s="5">
        <f t="shared" si="9"/>
        <v>0.98944595498860743</v>
      </c>
      <c r="AB16" s="7">
        <v>804216</v>
      </c>
      <c r="AC16" s="6">
        <v>666061</v>
      </c>
      <c r="AD16" s="4">
        <f t="shared" si="10"/>
        <v>134283</v>
      </c>
      <c r="AE16" s="13">
        <v>800344</v>
      </c>
      <c r="AF16" s="5">
        <f t="shared" si="11"/>
        <v>0.99518537308384813</v>
      </c>
      <c r="AG16" s="7">
        <v>471201</v>
      </c>
      <c r="AH16" s="6">
        <v>390389</v>
      </c>
      <c r="AI16" s="4">
        <f t="shared" si="12"/>
        <v>79391</v>
      </c>
      <c r="AJ16" s="13">
        <v>469780</v>
      </c>
      <c r="AK16" s="5">
        <f t="shared" si="13"/>
        <v>0.99698430181599784</v>
      </c>
      <c r="AL16" s="7">
        <v>484445</v>
      </c>
      <c r="AM16" s="6">
        <v>410144</v>
      </c>
      <c r="AN16" s="4">
        <f t="shared" si="14"/>
        <v>79487</v>
      </c>
      <c r="AO16" s="13">
        <v>489631</v>
      </c>
      <c r="AP16" s="5">
        <f t="shared" si="15"/>
        <v>1.0107050335951449</v>
      </c>
      <c r="AQ16" s="7">
        <v>831010</v>
      </c>
      <c r="AR16" s="6">
        <v>702182</v>
      </c>
      <c r="AS16" s="4">
        <f t="shared" si="16"/>
        <v>130787</v>
      </c>
      <c r="AT16" s="13">
        <v>832969</v>
      </c>
      <c r="AU16" s="5">
        <f t="shared" si="17"/>
        <v>1.0023573723541233</v>
      </c>
      <c r="AV16" s="7">
        <v>496237</v>
      </c>
      <c r="AW16" s="6">
        <v>422868</v>
      </c>
      <c r="AX16" s="4">
        <f t="shared" si="18"/>
        <v>74826</v>
      </c>
      <c r="AY16" s="13">
        <v>497694</v>
      </c>
      <c r="AZ16" s="5">
        <f t="shared" si="19"/>
        <v>1.0029360970665226</v>
      </c>
      <c r="BA16" s="7">
        <v>510690</v>
      </c>
      <c r="BB16" s="6">
        <v>429901</v>
      </c>
      <c r="BC16" s="4">
        <f t="shared" si="20"/>
        <v>76746</v>
      </c>
      <c r="BD16" s="13">
        <v>506647</v>
      </c>
      <c r="BE16" s="5">
        <f t="shared" si="21"/>
        <v>0.99208325990326818</v>
      </c>
      <c r="BF16" s="7">
        <v>859721</v>
      </c>
      <c r="BG16" s="6">
        <v>709693</v>
      </c>
      <c r="BH16" s="4">
        <f t="shared" si="22"/>
        <v>140386</v>
      </c>
      <c r="BI16" s="6">
        <v>850079</v>
      </c>
      <c r="BJ16" s="5">
        <f t="shared" si="23"/>
        <v>0.98878473365196384</v>
      </c>
    </row>
    <row r="17" spans="1:62" x14ac:dyDescent="0.3">
      <c r="A17" s="17">
        <v>8</v>
      </c>
      <c r="B17" s="3" t="s">
        <v>13</v>
      </c>
      <c r="C17" s="7">
        <v>342259</v>
      </c>
      <c r="D17" s="6">
        <v>282768</v>
      </c>
      <c r="E17" s="4">
        <f t="shared" si="0"/>
        <v>58693</v>
      </c>
      <c r="F17" s="13">
        <v>341461</v>
      </c>
      <c r="G17" s="5">
        <f t="shared" si="1"/>
        <v>0.99766843238600011</v>
      </c>
      <c r="H17" s="7">
        <v>352243</v>
      </c>
      <c r="I17" s="6">
        <v>293219</v>
      </c>
      <c r="J17" s="4">
        <f t="shared" si="2"/>
        <v>55262</v>
      </c>
      <c r="K17" s="13">
        <v>348481</v>
      </c>
      <c r="L17" s="5">
        <f t="shared" si="3"/>
        <v>0.98931987292863166</v>
      </c>
      <c r="M17" s="7">
        <v>765449</v>
      </c>
      <c r="N17" s="6">
        <v>630754</v>
      </c>
      <c r="O17" s="4">
        <f t="shared" si="4"/>
        <v>133595</v>
      </c>
      <c r="P17" s="13">
        <v>764349</v>
      </c>
      <c r="Q17" s="5">
        <f t="shared" si="5"/>
        <v>0.99856293495712978</v>
      </c>
      <c r="R17" s="7">
        <v>346814</v>
      </c>
      <c r="S17" s="6">
        <v>291467</v>
      </c>
      <c r="T17" s="4">
        <f t="shared" si="6"/>
        <v>57134</v>
      </c>
      <c r="U17" s="13">
        <v>348601</v>
      </c>
      <c r="V17" s="5">
        <f t="shared" si="7"/>
        <v>1.0051526178297301</v>
      </c>
      <c r="W17" s="7">
        <v>360071</v>
      </c>
      <c r="X17" s="6">
        <v>297205</v>
      </c>
      <c r="Y17" s="4">
        <f t="shared" si="8"/>
        <v>59528</v>
      </c>
      <c r="Z17" s="13">
        <v>356733</v>
      </c>
      <c r="AA17" s="5">
        <f t="shared" si="9"/>
        <v>0.99072960610546257</v>
      </c>
      <c r="AB17" s="7">
        <v>784641</v>
      </c>
      <c r="AC17" s="6">
        <v>636878</v>
      </c>
      <c r="AD17" s="4">
        <f t="shared" si="10"/>
        <v>146127</v>
      </c>
      <c r="AE17" s="13">
        <v>783005</v>
      </c>
      <c r="AF17" s="5">
        <f t="shared" si="11"/>
        <v>0.99791497003088037</v>
      </c>
      <c r="AG17" s="7">
        <v>355351</v>
      </c>
      <c r="AH17" s="6">
        <v>296567</v>
      </c>
      <c r="AI17" s="4">
        <f t="shared" si="12"/>
        <v>60390</v>
      </c>
      <c r="AJ17" s="13">
        <v>356957</v>
      </c>
      <c r="AK17" s="5">
        <f t="shared" si="13"/>
        <v>1.0045194751105244</v>
      </c>
      <c r="AL17" s="7">
        <v>371770</v>
      </c>
      <c r="AM17" s="6">
        <v>316957</v>
      </c>
      <c r="AN17" s="4">
        <f t="shared" si="14"/>
        <v>56055</v>
      </c>
      <c r="AO17" s="13">
        <v>373012</v>
      </c>
      <c r="AP17" s="5">
        <f t="shared" si="15"/>
        <v>1.0033407752104797</v>
      </c>
      <c r="AQ17" s="7">
        <v>810773</v>
      </c>
      <c r="AR17" s="6">
        <v>686655</v>
      </c>
      <c r="AS17" s="4">
        <f t="shared" si="16"/>
        <v>125497</v>
      </c>
      <c r="AT17" s="13">
        <v>812152</v>
      </c>
      <c r="AU17" s="5">
        <f t="shared" si="17"/>
        <v>1.0017008459827843</v>
      </c>
      <c r="AV17" s="7">
        <v>369648</v>
      </c>
      <c r="AW17" s="6">
        <v>317431</v>
      </c>
      <c r="AX17" s="4">
        <f t="shared" si="18"/>
        <v>55230</v>
      </c>
      <c r="AY17" s="13">
        <v>372661</v>
      </c>
      <c r="AZ17" s="5">
        <f t="shared" si="19"/>
        <v>1.0081509977059255</v>
      </c>
      <c r="BA17" s="7">
        <v>385393</v>
      </c>
      <c r="BB17" s="6">
        <v>326949</v>
      </c>
      <c r="BC17" s="4">
        <f t="shared" si="20"/>
        <v>57007</v>
      </c>
      <c r="BD17" s="13">
        <v>383956</v>
      </c>
      <c r="BE17" s="5">
        <f t="shared" si="21"/>
        <v>0.9962713386076032</v>
      </c>
      <c r="BF17" s="7">
        <v>839843</v>
      </c>
      <c r="BG17" s="6">
        <v>675432</v>
      </c>
      <c r="BH17" s="4">
        <f t="shared" si="22"/>
        <v>155487</v>
      </c>
      <c r="BI17" s="6">
        <v>830919</v>
      </c>
      <c r="BJ17" s="5">
        <f t="shared" si="23"/>
        <v>0.98937420446440583</v>
      </c>
    </row>
    <row r="18" spans="1:62" x14ac:dyDescent="0.3">
      <c r="A18" s="17">
        <v>9</v>
      </c>
      <c r="B18" s="3" t="s">
        <v>14</v>
      </c>
      <c r="C18" s="7">
        <v>1070856</v>
      </c>
      <c r="D18" s="6">
        <v>873536</v>
      </c>
      <c r="E18" s="4">
        <f t="shared" si="0"/>
        <v>190835</v>
      </c>
      <c r="F18" s="13">
        <v>1064371</v>
      </c>
      <c r="G18" s="5">
        <f t="shared" si="1"/>
        <v>0.9939440970588016</v>
      </c>
      <c r="H18" s="7">
        <v>1089051</v>
      </c>
      <c r="I18" s="6">
        <v>884558</v>
      </c>
      <c r="J18" s="4">
        <f t="shared" si="2"/>
        <v>195494</v>
      </c>
      <c r="K18" s="13">
        <v>1080052</v>
      </c>
      <c r="L18" s="5">
        <f t="shared" si="3"/>
        <v>0.99173684244355864</v>
      </c>
      <c r="M18" s="7">
        <v>1637429</v>
      </c>
      <c r="N18" s="6">
        <v>1324037</v>
      </c>
      <c r="O18" s="4">
        <f t="shared" si="4"/>
        <v>300786</v>
      </c>
      <c r="P18" s="13">
        <v>1624823</v>
      </c>
      <c r="Q18" s="5">
        <f t="shared" si="5"/>
        <v>0.99230134558506045</v>
      </c>
      <c r="R18" s="7">
        <v>1090030</v>
      </c>
      <c r="S18" s="6">
        <v>888726</v>
      </c>
      <c r="T18" s="4">
        <f t="shared" si="6"/>
        <v>191191</v>
      </c>
      <c r="U18" s="13">
        <v>1079917</v>
      </c>
      <c r="V18" s="5">
        <f t="shared" si="7"/>
        <v>0.99072227369888899</v>
      </c>
      <c r="W18" s="7">
        <v>1107435</v>
      </c>
      <c r="X18" s="6">
        <v>896262</v>
      </c>
      <c r="Y18" s="4">
        <f t="shared" si="8"/>
        <v>194191</v>
      </c>
      <c r="Z18" s="13">
        <v>1090453</v>
      </c>
      <c r="AA18" s="5">
        <f t="shared" si="9"/>
        <v>0.98466546569324609</v>
      </c>
      <c r="AB18" s="7">
        <v>1665905</v>
      </c>
      <c r="AC18" s="6">
        <v>1345645</v>
      </c>
      <c r="AD18" s="4">
        <f t="shared" si="10"/>
        <v>303167</v>
      </c>
      <c r="AE18" s="13">
        <v>1648812</v>
      </c>
      <c r="AF18" s="5">
        <f t="shared" si="11"/>
        <v>0.98973951095650714</v>
      </c>
      <c r="AG18" s="7">
        <v>1104366</v>
      </c>
      <c r="AH18" s="6">
        <v>892354</v>
      </c>
      <c r="AI18" s="4">
        <f t="shared" si="12"/>
        <v>203447</v>
      </c>
      <c r="AJ18" s="13">
        <v>1095801</v>
      </c>
      <c r="AK18" s="5">
        <f t="shared" si="13"/>
        <v>0.99224441896979809</v>
      </c>
      <c r="AL18" s="7">
        <v>1131950</v>
      </c>
      <c r="AM18" s="6">
        <v>942776</v>
      </c>
      <c r="AN18" s="4">
        <f t="shared" si="14"/>
        <v>192047</v>
      </c>
      <c r="AO18" s="13">
        <v>1134823</v>
      </c>
      <c r="AP18" s="5">
        <f t="shared" si="15"/>
        <v>1.0025380979725254</v>
      </c>
      <c r="AQ18" s="7">
        <v>1717059</v>
      </c>
      <c r="AR18" s="6">
        <v>1445798</v>
      </c>
      <c r="AS18" s="4">
        <f t="shared" si="16"/>
        <v>267152</v>
      </c>
      <c r="AT18" s="13">
        <v>1712950</v>
      </c>
      <c r="AU18" s="5">
        <f t="shared" si="17"/>
        <v>0.99760695468239591</v>
      </c>
      <c r="AV18" s="7">
        <v>1151692</v>
      </c>
      <c r="AW18" s="6">
        <v>965517</v>
      </c>
      <c r="AX18" s="4">
        <f t="shared" si="18"/>
        <v>186592</v>
      </c>
      <c r="AY18" s="13">
        <v>1152109</v>
      </c>
      <c r="AZ18" s="5">
        <f t="shared" si="19"/>
        <v>1.0003620759717007</v>
      </c>
      <c r="BA18" s="7">
        <v>1182353</v>
      </c>
      <c r="BB18" s="6">
        <v>985583</v>
      </c>
      <c r="BC18" s="4">
        <f t="shared" si="20"/>
        <v>187419</v>
      </c>
      <c r="BD18" s="13">
        <v>1173002</v>
      </c>
      <c r="BE18" s="5">
        <f t="shared" si="21"/>
        <v>0.99209119442332361</v>
      </c>
      <c r="BF18" s="7">
        <v>1777125</v>
      </c>
      <c r="BG18" s="6">
        <v>1397229</v>
      </c>
      <c r="BH18" s="4">
        <f t="shared" si="22"/>
        <v>353848</v>
      </c>
      <c r="BI18" s="6">
        <v>1751077</v>
      </c>
      <c r="BJ18" s="5">
        <f t="shared" si="23"/>
        <v>0.98534261799254419</v>
      </c>
    </row>
    <row r="19" spans="1:62" x14ac:dyDescent="0.3">
      <c r="A19" s="18">
        <v>10</v>
      </c>
      <c r="B19" s="3" t="s">
        <v>15</v>
      </c>
      <c r="C19" s="7">
        <v>305619</v>
      </c>
      <c r="D19" s="6">
        <v>233841</v>
      </c>
      <c r="E19" s="4">
        <f t="shared" si="0"/>
        <v>66077</v>
      </c>
      <c r="F19" s="13">
        <v>299918</v>
      </c>
      <c r="G19" s="5">
        <f t="shared" si="1"/>
        <v>0.98134605505547756</v>
      </c>
      <c r="H19" s="7">
        <v>314567</v>
      </c>
      <c r="I19" s="6">
        <v>237989</v>
      </c>
      <c r="J19" s="4">
        <f t="shared" si="2"/>
        <v>68629</v>
      </c>
      <c r="K19" s="13">
        <v>306618</v>
      </c>
      <c r="L19" s="5">
        <f t="shared" si="3"/>
        <v>0.97473034361519173</v>
      </c>
      <c r="M19" s="7">
        <v>534704</v>
      </c>
      <c r="N19" s="6">
        <v>411123</v>
      </c>
      <c r="O19" s="4">
        <f t="shared" si="4"/>
        <v>115398</v>
      </c>
      <c r="P19" s="13">
        <v>526521</v>
      </c>
      <c r="Q19" s="5">
        <f t="shared" si="5"/>
        <v>0.98469620575121941</v>
      </c>
      <c r="R19" s="7">
        <v>310887</v>
      </c>
      <c r="S19" s="6">
        <v>241303</v>
      </c>
      <c r="T19" s="4">
        <f t="shared" si="6"/>
        <v>64680</v>
      </c>
      <c r="U19" s="13">
        <v>305983</v>
      </c>
      <c r="V19" s="5">
        <f t="shared" si="7"/>
        <v>0.98422577978493797</v>
      </c>
      <c r="W19" s="7">
        <v>321022</v>
      </c>
      <c r="X19" s="6">
        <v>242319</v>
      </c>
      <c r="Y19" s="4">
        <f t="shared" si="8"/>
        <v>68527</v>
      </c>
      <c r="Z19" s="13">
        <v>310846</v>
      </c>
      <c r="AA19" s="5">
        <f t="shared" si="9"/>
        <v>0.96830123792138856</v>
      </c>
      <c r="AB19" s="7">
        <v>548160</v>
      </c>
      <c r="AC19" s="6">
        <v>422235</v>
      </c>
      <c r="AD19" s="4">
        <f t="shared" si="10"/>
        <v>114798</v>
      </c>
      <c r="AE19" s="13">
        <v>537033</v>
      </c>
      <c r="AF19" s="5">
        <f t="shared" si="11"/>
        <v>0.9797011821366024</v>
      </c>
      <c r="AG19" s="7">
        <v>315587</v>
      </c>
      <c r="AH19" s="6">
        <v>241954</v>
      </c>
      <c r="AI19" s="4">
        <f t="shared" si="12"/>
        <v>67972</v>
      </c>
      <c r="AJ19" s="13">
        <v>309926</v>
      </c>
      <c r="AK19" s="5">
        <f t="shared" si="13"/>
        <v>0.98206199875153288</v>
      </c>
      <c r="AL19" s="7">
        <v>327315</v>
      </c>
      <c r="AM19" s="6">
        <v>260068</v>
      </c>
      <c r="AN19" s="4">
        <f t="shared" si="14"/>
        <v>62762</v>
      </c>
      <c r="AO19" s="13">
        <v>322830</v>
      </c>
      <c r="AP19" s="5">
        <f t="shared" si="15"/>
        <v>0.98629760322624993</v>
      </c>
      <c r="AQ19" s="7">
        <v>564697</v>
      </c>
      <c r="AR19" s="6">
        <v>451043</v>
      </c>
      <c r="AS19" s="4">
        <f t="shared" si="16"/>
        <v>109180</v>
      </c>
      <c r="AT19" s="13">
        <v>560223</v>
      </c>
      <c r="AU19" s="5">
        <f t="shared" si="17"/>
        <v>0.99207716704710669</v>
      </c>
      <c r="AV19" s="7">
        <v>330794</v>
      </c>
      <c r="AW19" s="6">
        <v>268125</v>
      </c>
      <c r="AX19" s="4">
        <f t="shared" si="18"/>
        <v>61538</v>
      </c>
      <c r="AY19" s="13">
        <v>329663</v>
      </c>
      <c r="AZ19" s="5">
        <f t="shared" si="19"/>
        <v>0.99658095370532718</v>
      </c>
      <c r="BA19" s="7">
        <v>346688</v>
      </c>
      <c r="BB19" s="6">
        <v>274881</v>
      </c>
      <c r="BC19" s="4">
        <f t="shared" si="20"/>
        <v>64480</v>
      </c>
      <c r="BD19" s="13">
        <v>339361</v>
      </c>
      <c r="BE19" s="5">
        <f t="shared" si="21"/>
        <v>0.97886572364777558</v>
      </c>
      <c r="BF19" s="7">
        <v>595475</v>
      </c>
      <c r="BG19" s="6">
        <v>433627</v>
      </c>
      <c r="BH19" s="4">
        <f t="shared" si="22"/>
        <v>143924</v>
      </c>
      <c r="BI19" s="6">
        <v>577551</v>
      </c>
      <c r="BJ19" s="5">
        <f t="shared" si="23"/>
        <v>0.96989965993534577</v>
      </c>
    </row>
    <row r="20" spans="1:62" x14ac:dyDescent="0.3">
      <c r="A20" s="18">
        <v>11</v>
      </c>
      <c r="B20" s="3" t="s">
        <v>16</v>
      </c>
      <c r="C20" s="7">
        <v>6537</v>
      </c>
      <c r="D20" s="6">
        <v>4734</v>
      </c>
      <c r="E20" s="4">
        <f t="shared" si="0"/>
        <v>1768</v>
      </c>
      <c r="F20" s="13">
        <v>6502</v>
      </c>
      <c r="G20" s="5">
        <f t="shared" si="1"/>
        <v>0.99464586201621541</v>
      </c>
      <c r="H20" s="7">
        <v>6601</v>
      </c>
      <c r="I20" s="6">
        <v>4849</v>
      </c>
      <c r="J20" s="4">
        <f t="shared" si="2"/>
        <v>1678</v>
      </c>
      <c r="K20" s="13">
        <v>6527</v>
      </c>
      <c r="L20" s="5">
        <f t="shared" si="3"/>
        <v>0.9887895773367672</v>
      </c>
      <c r="M20" s="7">
        <v>10050</v>
      </c>
      <c r="N20" s="6">
        <v>7443</v>
      </c>
      <c r="O20" s="4">
        <f t="shared" si="4"/>
        <v>2582</v>
      </c>
      <c r="P20" s="13">
        <v>10025</v>
      </c>
      <c r="Q20" s="5">
        <f t="shared" si="5"/>
        <v>0.99751243781094523</v>
      </c>
      <c r="R20" s="7">
        <v>6485</v>
      </c>
      <c r="S20" s="6">
        <v>4803</v>
      </c>
      <c r="T20" s="4">
        <f t="shared" si="6"/>
        <v>1649</v>
      </c>
      <c r="U20" s="13">
        <v>6452</v>
      </c>
      <c r="V20" s="5">
        <f t="shared" si="7"/>
        <v>0.99491133384733998</v>
      </c>
      <c r="W20" s="7">
        <v>6573</v>
      </c>
      <c r="X20" s="6">
        <v>4906</v>
      </c>
      <c r="Y20" s="4">
        <f t="shared" si="8"/>
        <v>1550</v>
      </c>
      <c r="Z20" s="13">
        <v>6456</v>
      </c>
      <c r="AA20" s="5">
        <f t="shared" si="9"/>
        <v>0.98219990871748064</v>
      </c>
      <c r="AB20" s="7">
        <v>10123</v>
      </c>
      <c r="AC20" s="6">
        <v>7388</v>
      </c>
      <c r="AD20" s="4">
        <f t="shared" si="10"/>
        <v>2649</v>
      </c>
      <c r="AE20" s="13">
        <v>10037</v>
      </c>
      <c r="AF20" s="5">
        <f t="shared" si="11"/>
        <v>0.99150449471500546</v>
      </c>
      <c r="AG20" s="7">
        <v>6547</v>
      </c>
      <c r="AH20" s="6">
        <v>4896</v>
      </c>
      <c r="AI20" s="4">
        <f t="shared" si="12"/>
        <v>1592</v>
      </c>
      <c r="AJ20" s="13">
        <v>6488</v>
      </c>
      <c r="AK20" s="5">
        <f t="shared" si="13"/>
        <v>0.99098823888804033</v>
      </c>
      <c r="AL20" s="7">
        <v>6649</v>
      </c>
      <c r="AM20" s="6">
        <v>4989</v>
      </c>
      <c r="AN20" s="4">
        <f t="shared" si="14"/>
        <v>1577</v>
      </c>
      <c r="AO20" s="13">
        <v>6566</v>
      </c>
      <c r="AP20" s="5">
        <f t="shared" si="15"/>
        <v>0.98751691983756951</v>
      </c>
      <c r="AQ20" s="7">
        <v>10228</v>
      </c>
      <c r="AR20" s="6">
        <v>7694</v>
      </c>
      <c r="AS20" s="4">
        <f t="shared" si="16"/>
        <v>2466</v>
      </c>
      <c r="AT20" s="13">
        <v>10160</v>
      </c>
      <c r="AU20" s="5">
        <f t="shared" si="17"/>
        <v>0.99335158388736799</v>
      </c>
      <c r="AV20" s="7">
        <v>6568</v>
      </c>
      <c r="AW20" s="6">
        <v>5084</v>
      </c>
      <c r="AX20" s="4">
        <f t="shared" si="18"/>
        <v>1422</v>
      </c>
      <c r="AY20" s="13">
        <v>6506</v>
      </c>
      <c r="AZ20" s="5">
        <f t="shared" si="19"/>
        <v>0.99056029232643117</v>
      </c>
      <c r="BA20" s="7">
        <v>6793</v>
      </c>
      <c r="BB20" s="6">
        <v>5124</v>
      </c>
      <c r="BC20" s="4">
        <f t="shared" si="20"/>
        <v>1441</v>
      </c>
      <c r="BD20" s="13">
        <v>6565</v>
      </c>
      <c r="BE20" s="5">
        <f t="shared" si="21"/>
        <v>0.96643603709701165</v>
      </c>
      <c r="BF20" s="7">
        <v>10395</v>
      </c>
      <c r="BG20" s="6">
        <v>7498</v>
      </c>
      <c r="BH20" s="4">
        <f t="shared" si="22"/>
        <v>2643</v>
      </c>
      <c r="BI20" s="6">
        <v>10141</v>
      </c>
      <c r="BJ20" s="5">
        <f t="shared" si="23"/>
        <v>0.97556517556517552</v>
      </c>
    </row>
    <row r="21" spans="1:62" x14ac:dyDescent="0.3">
      <c r="A21" s="18">
        <v>12</v>
      </c>
      <c r="B21" s="3" t="s">
        <v>17</v>
      </c>
      <c r="C21" s="7">
        <v>12010</v>
      </c>
      <c r="D21" s="6">
        <v>7878</v>
      </c>
      <c r="E21" s="4">
        <f t="shared" si="0"/>
        <v>4207</v>
      </c>
      <c r="F21" s="13">
        <v>12085</v>
      </c>
      <c r="G21" s="5">
        <f t="shared" si="1"/>
        <v>1.0062447960033305</v>
      </c>
      <c r="H21" s="7">
        <v>12254</v>
      </c>
      <c r="I21" s="6">
        <v>8454</v>
      </c>
      <c r="J21" s="4">
        <f t="shared" si="2"/>
        <v>3845</v>
      </c>
      <c r="K21" s="13">
        <v>12299</v>
      </c>
      <c r="L21" s="5">
        <f t="shared" si="3"/>
        <v>1.0036722702790926</v>
      </c>
      <c r="M21" s="7">
        <v>16207</v>
      </c>
      <c r="N21" s="6">
        <v>11256</v>
      </c>
      <c r="O21" s="4">
        <f t="shared" si="4"/>
        <v>5153</v>
      </c>
      <c r="P21" s="13">
        <v>16409</v>
      </c>
      <c r="Q21" s="5">
        <f t="shared" si="5"/>
        <v>1.0124637502313816</v>
      </c>
      <c r="R21" s="7">
        <v>12383</v>
      </c>
      <c r="S21" s="6">
        <v>8645</v>
      </c>
      <c r="T21" s="4">
        <f t="shared" si="6"/>
        <v>3959</v>
      </c>
      <c r="U21" s="13">
        <v>12604</v>
      </c>
      <c r="V21" s="5">
        <f t="shared" si="7"/>
        <v>1.0178470483727691</v>
      </c>
      <c r="W21" s="7">
        <v>12782</v>
      </c>
      <c r="X21" s="6">
        <v>8791</v>
      </c>
      <c r="Y21" s="4">
        <f t="shared" si="8"/>
        <v>4029</v>
      </c>
      <c r="Z21" s="13">
        <v>12820</v>
      </c>
      <c r="AA21" s="5">
        <f t="shared" si="9"/>
        <v>1.002972930683774</v>
      </c>
      <c r="AB21" s="7">
        <v>16816</v>
      </c>
      <c r="AC21" s="6">
        <v>12153</v>
      </c>
      <c r="AD21" s="4">
        <f t="shared" si="10"/>
        <v>4755</v>
      </c>
      <c r="AE21" s="13">
        <v>16908</v>
      </c>
      <c r="AF21" s="5">
        <f t="shared" si="11"/>
        <v>1.0054709800190296</v>
      </c>
      <c r="AG21" s="7">
        <v>12696</v>
      </c>
      <c r="AH21" s="6">
        <v>8835</v>
      </c>
      <c r="AI21" s="4">
        <f t="shared" si="12"/>
        <v>3966</v>
      </c>
      <c r="AJ21" s="13">
        <v>12801</v>
      </c>
      <c r="AK21" s="5">
        <f t="shared" si="13"/>
        <v>1.0082703213610587</v>
      </c>
      <c r="AL21" s="7">
        <v>13072</v>
      </c>
      <c r="AM21" s="6">
        <v>9129</v>
      </c>
      <c r="AN21" s="4">
        <f t="shared" si="14"/>
        <v>3938</v>
      </c>
      <c r="AO21" s="13">
        <v>13067</v>
      </c>
      <c r="AP21" s="5">
        <f t="shared" si="15"/>
        <v>0.99961750305997554</v>
      </c>
      <c r="AQ21" s="7">
        <v>17310</v>
      </c>
      <c r="AR21" s="6">
        <v>12626</v>
      </c>
      <c r="AS21" s="4">
        <f t="shared" si="16"/>
        <v>4709</v>
      </c>
      <c r="AT21" s="13">
        <v>17335</v>
      </c>
      <c r="AU21" s="5">
        <f t="shared" si="17"/>
        <v>1.0014442518775275</v>
      </c>
      <c r="AV21" s="7">
        <v>13094</v>
      </c>
      <c r="AW21" s="6">
        <v>9489</v>
      </c>
      <c r="AX21" s="4">
        <f t="shared" si="18"/>
        <v>3582</v>
      </c>
      <c r="AY21" s="13">
        <v>13071</v>
      </c>
      <c r="AZ21" s="5">
        <f t="shared" si="19"/>
        <v>0.99824347029173666</v>
      </c>
      <c r="BA21" s="7">
        <v>13518</v>
      </c>
      <c r="BB21" s="6">
        <v>9781</v>
      </c>
      <c r="BC21" s="4">
        <f t="shared" si="20"/>
        <v>3455</v>
      </c>
      <c r="BD21" s="13">
        <v>13236</v>
      </c>
      <c r="BE21" s="5">
        <f t="shared" si="21"/>
        <v>0.979138925876609</v>
      </c>
      <c r="BF21" s="7">
        <v>17905</v>
      </c>
      <c r="BG21" s="6">
        <v>10944</v>
      </c>
      <c r="BH21" s="4">
        <f t="shared" si="22"/>
        <v>6160</v>
      </c>
      <c r="BI21" s="6">
        <v>17104</v>
      </c>
      <c r="BJ21" s="5">
        <f t="shared" si="23"/>
        <v>0.95526389276738344</v>
      </c>
    </row>
    <row r="22" spans="1:62" x14ac:dyDescent="0.3">
      <c r="A22" s="18">
        <v>13</v>
      </c>
      <c r="B22" s="3" t="s">
        <v>18</v>
      </c>
      <c r="C22" s="7">
        <v>6996</v>
      </c>
      <c r="D22" s="6">
        <v>5094</v>
      </c>
      <c r="E22" s="4">
        <f t="shared" si="0"/>
        <v>1906</v>
      </c>
      <c r="F22" s="13">
        <v>7000</v>
      </c>
      <c r="G22" s="5">
        <f t="shared" si="1"/>
        <v>1.0005717552887363</v>
      </c>
      <c r="H22" s="7">
        <v>7077</v>
      </c>
      <c r="I22" s="6">
        <v>5092</v>
      </c>
      <c r="J22" s="4">
        <f t="shared" si="2"/>
        <v>1964</v>
      </c>
      <c r="K22" s="13">
        <v>7056</v>
      </c>
      <c r="L22" s="5">
        <f t="shared" si="3"/>
        <v>0.9970326409495549</v>
      </c>
      <c r="M22" s="7">
        <v>8504</v>
      </c>
      <c r="N22" s="6">
        <v>6118</v>
      </c>
      <c r="O22" s="4">
        <f t="shared" si="4"/>
        <v>2427</v>
      </c>
      <c r="P22" s="13">
        <v>8545</v>
      </c>
      <c r="Q22" s="5">
        <f t="shared" si="5"/>
        <v>1.0048212605832549</v>
      </c>
      <c r="R22" s="7">
        <v>7111</v>
      </c>
      <c r="S22" s="6">
        <v>5241</v>
      </c>
      <c r="T22" s="4">
        <f t="shared" si="6"/>
        <v>1863</v>
      </c>
      <c r="U22" s="13">
        <v>7104</v>
      </c>
      <c r="V22" s="5">
        <f t="shared" si="7"/>
        <v>0.99901560961890035</v>
      </c>
      <c r="W22" s="7">
        <v>7191</v>
      </c>
      <c r="X22" s="6">
        <v>5391</v>
      </c>
      <c r="Y22" s="4">
        <f t="shared" si="8"/>
        <v>1772</v>
      </c>
      <c r="Z22" s="13">
        <v>7163</v>
      </c>
      <c r="AA22" s="5">
        <f t="shared" si="9"/>
        <v>0.99610624391600611</v>
      </c>
      <c r="AB22" s="7">
        <v>8707</v>
      </c>
      <c r="AC22" s="6">
        <v>6629</v>
      </c>
      <c r="AD22" s="4">
        <f t="shared" si="10"/>
        <v>2066</v>
      </c>
      <c r="AE22" s="13">
        <v>8695</v>
      </c>
      <c r="AF22" s="5">
        <f t="shared" si="11"/>
        <v>0.99862179855288846</v>
      </c>
      <c r="AG22" s="7">
        <v>7162</v>
      </c>
      <c r="AH22" s="6">
        <v>5297</v>
      </c>
      <c r="AI22" s="4">
        <f t="shared" si="12"/>
        <v>1874</v>
      </c>
      <c r="AJ22" s="13">
        <v>7171</v>
      </c>
      <c r="AK22" s="5">
        <f t="shared" si="13"/>
        <v>1.0012566322256353</v>
      </c>
      <c r="AL22" s="7">
        <v>7226</v>
      </c>
      <c r="AM22" s="6">
        <v>5512</v>
      </c>
      <c r="AN22" s="4">
        <f t="shared" si="14"/>
        <v>1704</v>
      </c>
      <c r="AO22" s="13">
        <v>7216</v>
      </c>
      <c r="AP22" s="5">
        <f t="shared" si="15"/>
        <v>0.99861610849709381</v>
      </c>
      <c r="AQ22" s="7">
        <v>8754</v>
      </c>
      <c r="AR22" s="6">
        <v>6346</v>
      </c>
      <c r="AS22" s="4">
        <f t="shared" si="16"/>
        <v>2423</v>
      </c>
      <c r="AT22" s="13">
        <v>8769</v>
      </c>
      <c r="AU22" s="5">
        <f t="shared" si="17"/>
        <v>1.0017135023989034</v>
      </c>
      <c r="AV22" s="7">
        <v>7182</v>
      </c>
      <c r="AW22" s="6">
        <v>5386</v>
      </c>
      <c r="AX22" s="4">
        <f t="shared" si="18"/>
        <v>1795</v>
      </c>
      <c r="AY22" s="13">
        <v>7181</v>
      </c>
      <c r="AZ22" s="5">
        <f t="shared" si="19"/>
        <v>0.99986076301865778</v>
      </c>
      <c r="BA22" s="7">
        <v>7296</v>
      </c>
      <c r="BB22" s="6">
        <v>5497</v>
      </c>
      <c r="BC22" s="4">
        <f t="shared" si="20"/>
        <v>1729</v>
      </c>
      <c r="BD22" s="13">
        <v>7226</v>
      </c>
      <c r="BE22" s="5">
        <f t="shared" si="21"/>
        <v>0.99040570175438591</v>
      </c>
      <c r="BF22" s="7">
        <v>8939</v>
      </c>
      <c r="BG22" s="6">
        <v>6106</v>
      </c>
      <c r="BH22" s="4">
        <f t="shared" si="22"/>
        <v>2566</v>
      </c>
      <c r="BI22" s="6">
        <v>8672</v>
      </c>
      <c r="BJ22" s="5">
        <f t="shared" si="23"/>
        <v>0.97013088712383932</v>
      </c>
    </row>
    <row r="23" spans="1:62" x14ac:dyDescent="0.3">
      <c r="A23" s="18">
        <v>14</v>
      </c>
      <c r="B23" s="3" t="s">
        <v>19</v>
      </c>
      <c r="C23" s="7">
        <v>9407</v>
      </c>
      <c r="D23" s="6">
        <v>6233</v>
      </c>
      <c r="E23" s="4">
        <f t="shared" si="0"/>
        <v>2972</v>
      </c>
      <c r="F23" s="13">
        <v>9205</v>
      </c>
      <c r="G23" s="5">
        <f t="shared" si="1"/>
        <v>0.97852662910598487</v>
      </c>
      <c r="H23" s="7">
        <v>9786</v>
      </c>
      <c r="I23" s="6">
        <v>6074</v>
      </c>
      <c r="J23" s="4">
        <f t="shared" si="2"/>
        <v>3258</v>
      </c>
      <c r="K23" s="13">
        <v>9332</v>
      </c>
      <c r="L23" s="5">
        <f t="shared" si="3"/>
        <v>0.95360719395054161</v>
      </c>
      <c r="M23" s="7">
        <v>12056</v>
      </c>
      <c r="N23" s="6">
        <v>7853</v>
      </c>
      <c r="O23" s="4">
        <f t="shared" si="4"/>
        <v>4036</v>
      </c>
      <c r="P23" s="13">
        <v>11889</v>
      </c>
      <c r="Q23" s="5">
        <f t="shared" si="5"/>
        <v>0.98614797611147975</v>
      </c>
      <c r="R23" s="7">
        <v>9480</v>
      </c>
      <c r="S23" s="6">
        <v>6427</v>
      </c>
      <c r="T23" s="4">
        <f t="shared" si="6"/>
        <v>2987</v>
      </c>
      <c r="U23" s="13">
        <v>9414</v>
      </c>
      <c r="V23" s="5">
        <f t="shared" si="7"/>
        <v>0.99303797468354427</v>
      </c>
      <c r="W23" s="7">
        <v>9764</v>
      </c>
      <c r="X23" s="6">
        <v>6419</v>
      </c>
      <c r="Y23" s="4">
        <f t="shared" si="8"/>
        <v>3071</v>
      </c>
      <c r="Z23" s="13">
        <v>9490</v>
      </c>
      <c r="AA23" s="5">
        <f t="shared" si="9"/>
        <v>0.97193773043834497</v>
      </c>
      <c r="AB23" s="7">
        <v>12327</v>
      </c>
      <c r="AC23" s="6">
        <v>8541</v>
      </c>
      <c r="AD23" s="4">
        <f t="shared" si="10"/>
        <v>3573</v>
      </c>
      <c r="AE23" s="13">
        <v>12114</v>
      </c>
      <c r="AF23" s="5">
        <f t="shared" si="11"/>
        <v>0.98272085665612074</v>
      </c>
      <c r="AG23" s="7">
        <v>9618</v>
      </c>
      <c r="AH23" s="6">
        <v>6336</v>
      </c>
      <c r="AI23" s="4">
        <f t="shared" si="12"/>
        <v>3078</v>
      </c>
      <c r="AJ23" s="13">
        <v>9414</v>
      </c>
      <c r="AK23" s="5">
        <f t="shared" si="13"/>
        <v>0.97878976918278227</v>
      </c>
      <c r="AL23" s="7">
        <v>9741</v>
      </c>
      <c r="AM23" s="6">
        <v>6636</v>
      </c>
      <c r="AN23" s="4">
        <f t="shared" si="14"/>
        <v>2941</v>
      </c>
      <c r="AO23" s="13">
        <v>9577</v>
      </c>
      <c r="AP23" s="5">
        <f t="shared" si="15"/>
        <v>0.98316394620675496</v>
      </c>
      <c r="AQ23" s="7">
        <v>12556</v>
      </c>
      <c r="AR23" s="6">
        <v>8626</v>
      </c>
      <c r="AS23" s="4">
        <f t="shared" si="16"/>
        <v>3705</v>
      </c>
      <c r="AT23" s="13">
        <v>12331</v>
      </c>
      <c r="AU23" s="5">
        <f t="shared" si="17"/>
        <v>0.98208028034405859</v>
      </c>
      <c r="AV23" s="7">
        <v>9718</v>
      </c>
      <c r="AW23" s="6">
        <v>6864</v>
      </c>
      <c r="AX23" s="4">
        <f t="shared" si="18"/>
        <v>2756</v>
      </c>
      <c r="AY23" s="13">
        <v>9620</v>
      </c>
      <c r="AZ23" s="5">
        <f t="shared" si="19"/>
        <v>0.98991562049804482</v>
      </c>
      <c r="BA23" s="7">
        <v>10107</v>
      </c>
      <c r="BB23" s="6">
        <v>6835</v>
      </c>
      <c r="BC23" s="4">
        <f t="shared" si="20"/>
        <v>2955</v>
      </c>
      <c r="BD23" s="13">
        <v>9790</v>
      </c>
      <c r="BE23" s="5">
        <f t="shared" si="21"/>
        <v>0.96863559908973973</v>
      </c>
      <c r="BF23" s="7">
        <v>13018</v>
      </c>
      <c r="BG23" s="6">
        <v>8007</v>
      </c>
      <c r="BH23" s="4">
        <f t="shared" si="22"/>
        <v>4398</v>
      </c>
      <c r="BI23" s="6">
        <v>12405</v>
      </c>
      <c r="BJ23" s="5">
        <f t="shared" si="23"/>
        <v>0.95291135351052392</v>
      </c>
    </row>
    <row r="24" spans="1:62" x14ac:dyDescent="0.3">
      <c r="A24" s="18">
        <v>15</v>
      </c>
      <c r="B24" s="3" t="s">
        <v>20</v>
      </c>
      <c r="C24" s="7">
        <v>6942</v>
      </c>
      <c r="D24" s="6">
        <v>5607</v>
      </c>
      <c r="E24" s="4">
        <f t="shared" si="0"/>
        <v>1290</v>
      </c>
      <c r="F24" s="13">
        <v>6897</v>
      </c>
      <c r="G24" s="5">
        <f t="shared" si="1"/>
        <v>0.99351771823681934</v>
      </c>
      <c r="H24" s="7">
        <v>7059</v>
      </c>
      <c r="I24" s="6">
        <v>5355</v>
      </c>
      <c r="J24" s="4">
        <f t="shared" si="2"/>
        <v>1600</v>
      </c>
      <c r="K24" s="13">
        <v>6955</v>
      </c>
      <c r="L24" s="5">
        <f t="shared" si="3"/>
        <v>0.98526703499079193</v>
      </c>
      <c r="M24" s="7">
        <v>8056</v>
      </c>
      <c r="N24" s="6">
        <v>6163</v>
      </c>
      <c r="O24" s="4">
        <f t="shared" si="4"/>
        <v>1784</v>
      </c>
      <c r="P24" s="13">
        <v>7947</v>
      </c>
      <c r="Q24" s="5">
        <f t="shared" si="5"/>
        <v>0.98646971201588873</v>
      </c>
      <c r="R24" s="7">
        <v>7134</v>
      </c>
      <c r="S24" s="6">
        <v>5622</v>
      </c>
      <c r="T24" s="4">
        <f t="shared" si="6"/>
        <v>1402</v>
      </c>
      <c r="U24" s="13">
        <v>7024</v>
      </c>
      <c r="V24" s="5">
        <f t="shared" si="7"/>
        <v>0.98458088029156154</v>
      </c>
      <c r="W24" s="7">
        <v>7208</v>
      </c>
      <c r="X24" s="6">
        <v>5619</v>
      </c>
      <c r="Y24" s="4">
        <f t="shared" si="8"/>
        <v>1459</v>
      </c>
      <c r="Z24" s="13">
        <v>7078</v>
      </c>
      <c r="AA24" s="5">
        <f t="shared" si="9"/>
        <v>0.98196448390677027</v>
      </c>
      <c r="AB24" s="7">
        <v>8228</v>
      </c>
      <c r="AC24" s="6">
        <v>6814</v>
      </c>
      <c r="AD24" s="4">
        <f t="shared" si="10"/>
        <v>1282</v>
      </c>
      <c r="AE24" s="13">
        <v>8096</v>
      </c>
      <c r="AF24" s="5">
        <f t="shared" si="11"/>
        <v>0.98395721925133695</v>
      </c>
      <c r="AG24" s="7">
        <v>7344</v>
      </c>
      <c r="AH24" s="6">
        <v>5745</v>
      </c>
      <c r="AI24" s="4">
        <f t="shared" si="12"/>
        <v>1451</v>
      </c>
      <c r="AJ24" s="13">
        <v>7196</v>
      </c>
      <c r="AK24" s="5">
        <f t="shared" si="13"/>
        <v>0.97984749455337694</v>
      </c>
      <c r="AL24" s="7">
        <v>7506</v>
      </c>
      <c r="AM24" s="6">
        <v>5942</v>
      </c>
      <c r="AN24" s="4">
        <f t="shared" si="14"/>
        <v>1361</v>
      </c>
      <c r="AO24" s="13">
        <v>7303</v>
      </c>
      <c r="AP24" s="5">
        <f t="shared" si="15"/>
        <v>0.97295496935784709</v>
      </c>
      <c r="AQ24" s="7">
        <v>8509</v>
      </c>
      <c r="AR24" s="6">
        <v>6694</v>
      </c>
      <c r="AS24" s="4">
        <f t="shared" si="16"/>
        <v>1613</v>
      </c>
      <c r="AT24" s="13">
        <v>8307</v>
      </c>
      <c r="AU24" s="5">
        <f t="shared" si="17"/>
        <v>0.97626043013280062</v>
      </c>
      <c r="AV24" s="7">
        <v>7570</v>
      </c>
      <c r="AW24" s="6">
        <v>6043</v>
      </c>
      <c r="AX24" s="4">
        <f t="shared" si="18"/>
        <v>1310</v>
      </c>
      <c r="AY24" s="13">
        <v>7353</v>
      </c>
      <c r="AZ24" s="5">
        <f t="shared" si="19"/>
        <v>0.97133421400264197</v>
      </c>
      <c r="BA24" s="7">
        <v>7648</v>
      </c>
      <c r="BB24" s="6">
        <v>5994</v>
      </c>
      <c r="BC24" s="4">
        <f t="shared" si="20"/>
        <v>1490</v>
      </c>
      <c r="BD24" s="13">
        <v>7484</v>
      </c>
      <c r="BE24" s="5">
        <f t="shared" si="21"/>
        <v>0.97855648535564854</v>
      </c>
      <c r="BF24" s="7">
        <v>8767</v>
      </c>
      <c r="BG24" s="6">
        <v>6767</v>
      </c>
      <c r="BH24" s="4">
        <f t="shared" si="22"/>
        <v>1770</v>
      </c>
      <c r="BI24" s="6">
        <v>8537</v>
      </c>
      <c r="BJ24" s="5">
        <f t="shared" si="23"/>
        <v>0.97376525607391351</v>
      </c>
    </row>
    <row r="25" spans="1:62" x14ac:dyDescent="0.3">
      <c r="A25" s="18">
        <v>16</v>
      </c>
      <c r="B25" s="3" t="s">
        <v>21</v>
      </c>
      <c r="C25" s="7">
        <v>21473</v>
      </c>
      <c r="D25" s="6">
        <v>16660</v>
      </c>
      <c r="E25" s="4">
        <f t="shared" si="0"/>
        <v>4701</v>
      </c>
      <c r="F25" s="13">
        <v>21361</v>
      </c>
      <c r="G25" s="5">
        <f t="shared" si="1"/>
        <v>0.99478414753411259</v>
      </c>
      <c r="H25" s="7">
        <v>21813</v>
      </c>
      <c r="I25" s="6">
        <v>17022</v>
      </c>
      <c r="J25" s="4">
        <f t="shared" si="2"/>
        <v>4535</v>
      </c>
      <c r="K25" s="13">
        <v>21557</v>
      </c>
      <c r="L25" s="5">
        <f t="shared" si="3"/>
        <v>0.98826387933800941</v>
      </c>
      <c r="M25" s="7">
        <v>29215</v>
      </c>
      <c r="N25" s="6">
        <v>22791</v>
      </c>
      <c r="O25" s="4">
        <f t="shared" si="4"/>
        <v>6249</v>
      </c>
      <c r="P25" s="13">
        <v>29040</v>
      </c>
      <c r="Q25" s="5">
        <f t="shared" si="5"/>
        <v>0.99400992640766728</v>
      </c>
      <c r="R25" s="7">
        <v>21767</v>
      </c>
      <c r="S25" s="6">
        <v>17091</v>
      </c>
      <c r="T25" s="4">
        <f t="shared" si="6"/>
        <v>4562</v>
      </c>
      <c r="U25" s="13">
        <v>21653</v>
      </c>
      <c r="V25" s="5">
        <f t="shared" si="7"/>
        <v>0.99476271420039508</v>
      </c>
      <c r="W25" s="7">
        <v>22114</v>
      </c>
      <c r="X25" s="6">
        <v>17526</v>
      </c>
      <c r="Y25" s="4">
        <f t="shared" si="8"/>
        <v>4262</v>
      </c>
      <c r="Z25" s="13">
        <v>21788</v>
      </c>
      <c r="AA25" s="5">
        <f t="shared" si="9"/>
        <v>0.98525820747038073</v>
      </c>
      <c r="AB25" s="7">
        <v>29630</v>
      </c>
      <c r="AC25" s="6">
        <v>23886</v>
      </c>
      <c r="AD25" s="4">
        <f t="shared" si="10"/>
        <v>5523</v>
      </c>
      <c r="AE25" s="13">
        <v>29409</v>
      </c>
      <c r="AF25" s="5">
        <f t="shared" si="11"/>
        <v>0.99254134323320964</v>
      </c>
      <c r="AG25" s="7">
        <v>22174</v>
      </c>
      <c r="AH25" s="6">
        <v>17515</v>
      </c>
      <c r="AI25" s="4">
        <f t="shared" si="12"/>
        <v>4410</v>
      </c>
      <c r="AJ25" s="13">
        <v>21925</v>
      </c>
      <c r="AK25" s="5">
        <f t="shared" si="13"/>
        <v>0.98877063227203033</v>
      </c>
      <c r="AL25" s="7">
        <v>22503</v>
      </c>
      <c r="AM25" s="6">
        <v>17962</v>
      </c>
      <c r="AN25" s="4">
        <f t="shared" si="14"/>
        <v>4346</v>
      </c>
      <c r="AO25" s="13">
        <v>22308</v>
      </c>
      <c r="AP25" s="5">
        <f t="shared" si="15"/>
        <v>0.99133448873483532</v>
      </c>
      <c r="AQ25" s="7">
        <v>30294</v>
      </c>
      <c r="AR25" s="6">
        <v>24332</v>
      </c>
      <c r="AS25" s="4">
        <f t="shared" si="16"/>
        <v>5746</v>
      </c>
      <c r="AT25" s="13">
        <v>30078</v>
      </c>
      <c r="AU25" s="5">
        <f t="shared" si="17"/>
        <v>0.99286987522281644</v>
      </c>
      <c r="AV25" s="7">
        <v>22740</v>
      </c>
      <c r="AW25" s="6">
        <v>18263</v>
      </c>
      <c r="AX25" s="4">
        <f t="shared" si="18"/>
        <v>4386</v>
      </c>
      <c r="AY25" s="13">
        <v>22649</v>
      </c>
      <c r="AZ25" s="5">
        <f t="shared" si="19"/>
        <v>0.99599824098504841</v>
      </c>
      <c r="BA25" s="7">
        <v>23197</v>
      </c>
      <c r="BB25" s="6">
        <v>18655</v>
      </c>
      <c r="BC25" s="4">
        <f t="shared" si="20"/>
        <v>4250</v>
      </c>
      <c r="BD25" s="13">
        <v>22905</v>
      </c>
      <c r="BE25" s="5">
        <f t="shared" si="21"/>
        <v>0.98741216536621113</v>
      </c>
      <c r="BF25" s="7">
        <v>31043</v>
      </c>
      <c r="BG25" s="6">
        <v>23068</v>
      </c>
      <c r="BH25" s="4">
        <f t="shared" si="22"/>
        <v>7353</v>
      </c>
      <c r="BI25" s="6">
        <v>30421</v>
      </c>
      <c r="BJ25" s="5">
        <f t="shared" si="23"/>
        <v>0.97996327674515993</v>
      </c>
    </row>
    <row r="26" spans="1:62" x14ac:dyDescent="0.3">
      <c r="A26" s="18">
        <v>17</v>
      </c>
      <c r="B26" s="3" t="s">
        <v>22</v>
      </c>
      <c r="C26" s="7">
        <v>14552</v>
      </c>
      <c r="D26" s="6">
        <v>11146</v>
      </c>
      <c r="E26" s="4">
        <f t="shared" si="0"/>
        <v>3342</v>
      </c>
      <c r="F26" s="13">
        <v>14488</v>
      </c>
      <c r="G26" s="5">
        <f t="shared" si="1"/>
        <v>0.99560197910940074</v>
      </c>
      <c r="H26" s="7">
        <v>14990</v>
      </c>
      <c r="I26" s="6">
        <v>11479</v>
      </c>
      <c r="J26" s="4">
        <f t="shared" si="2"/>
        <v>3327</v>
      </c>
      <c r="K26" s="13">
        <v>14806</v>
      </c>
      <c r="L26" s="5">
        <f t="shared" si="3"/>
        <v>0.98772515010006667</v>
      </c>
      <c r="M26" s="7">
        <v>28508</v>
      </c>
      <c r="N26" s="6">
        <v>22439</v>
      </c>
      <c r="O26" s="4">
        <f t="shared" si="4"/>
        <v>5998</v>
      </c>
      <c r="P26" s="13">
        <v>28437</v>
      </c>
      <c r="Q26" s="5">
        <f t="shared" si="5"/>
        <v>0.997509471025677</v>
      </c>
      <c r="R26" s="7">
        <v>14719</v>
      </c>
      <c r="S26" s="6">
        <v>11247</v>
      </c>
      <c r="T26" s="4">
        <f t="shared" si="6"/>
        <v>3435</v>
      </c>
      <c r="U26" s="13">
        <v>14682</v>
      </c>
      <c r="V26" s="5">
        <f t="shared" si="7"/>
        <v>0.99748624227189342</v>
      </c>
      <c r="W26" s="7">
        <v>15123</v>
      </c>
      <c r="X26" s="6">
        <v>11371</v>
      </c>
      <c r="Y26" s="4">
        <f t="shared" si="8"/>
        <v>3483</v>
      </c>
      <c r="Z26" s="13">
        <v>14854</v>
      </c>
      <c r="AA26" s="5">
        <f t="shared" si="9"/>
        <v>0.98221252397011172</v>
      </c>
      <c r="AB26" s="7">
        <v>29054</v>
      </c>
      <c r="AC26" s="6">
        <v>23578</v>
      </c>
      <c r="AD26" s="4">
        <f t="shared" si="10"/>
        <v>5208</v>
      </c>
      <c r="AE26" s="13">
        <v>28786</v>
      </c>
      <c r="AF26" s="5">
        <f t="shared" si="11"/>
        <v>0.99077579679218009</v>
      </c>
      <c r="AG26" s="7">
        <v>14835</v>
      </c>
      <c r="AH26" s="6">
        <v>11361</v>
      </c>
      <c r="AI26" s="4">
        <f t="shared" si="12"/>
        <v>3343</v>
      </c>
      <c r="AJ26" s="13">
        <v>14704</v>
      </c>
      <c r="AK26" s="5">
        <f t="shared" si="13"/>
        <v>0.99116953151331311</v>
      </c>
      <c r="AL26" s="7">
        <v>15316</v>
      </c>
      <c r="AM26" s="6">
        <v>11686</v>
      </c>
      <c r="AN26" s="4">
        <f t="shared" si="14"/>
        <v>3292</v>
      </c>
      <c r="AO26" s="13">
        <v>14978</v>
      </c>
      <c r="AP26" s="5">
        <f t="shared" si="15"/>
        <v>0.97793157482371373</v>
      </c>
      <c r="AQ26" s="7">
        <v>29312</v>
      </c>
      <c r="AR26" s="6">
        <v>23528</v>
      </c>
      <c r="AS26" s="4">
        <f t="shared" si="16"/>
        <v>5588</v>
      </c>
      <c r="AT26" s="13">
        <v>29116</v>
      </c>
      <c r="AU26" s="5">
        <f t="shared" si="17"/>
        <v>0.99331331877729256</v>
      </c>
      <c r="AV26" s="7">
        <v>15164</v>
      </c>
      <c r="AW26" s="6">
        <v>11996</v>
      </c>
      <c r="AX26" s="4">
        <f t="shared" si="18"/>
        <v>3079</v>
      </c>
      <c r="AY26" s="13">
        <v>15075</v>
      </c>
      <c r="AZ26" s="5">
        <f t="shared" si="19"/>
        <v>0.99413083619097864</v>
      </c>
      <c r="BA26" s="7">
        <v>15499</v>
      </c>
      <c r="BB26" s="6">
        <v>11911</v>
      </c>
      <c r="BC26" s="4">
        <f t="shared" si="20"/>
        <v>3213</v>
      </c>
      <c r="BD26" s="13">
        <v>15124</v>
      </c>
      <c r="BE26" s="5">
        <f t="shared" si="21"/>
        <v>0.97580489063810572</v>
      </c>
      <c r="BF26" s="7">
        <v>29635</v>
      </c>
      <c r="BG26" s="6">
        <v>22864</v>
      </c>
      <c r="BH26" s="4">
        <f t="shared" si="22"/>
        <v>6155</v>
      </c>
      <c r="BI26" s="6">
        <v>29019</v>
      </c>
      <c r="BJ26" s="5">
        <f t="shared" si="23"/>
        <v>0.97921376750463973</v>
      </c>
    </row>
    <row r="27" spans="1:62" x14ac:dyDescent="0.3">
      <c r="A27" s="18">
        <v>18</v>
      </c>
      <c r="B27" s="3" t="s">
        <v>23</v>
      </c>
      <c r="C27" s="7">
        <v>131128</v>
      </c>
      <c r="D27" s="6">
        <v>94995</v>
      </c>
      <c r="E27" s="4">
        <f t="shared" si="0"/>
        <v>34828</v>
      </c>
      <c r="F27" s="13">
        <v>129823</v>
      </c>
      <c r="G27" s="5">
        <f t="shared" si="1"/>
        <v>0.99004789213592825</v>
      </c>
      <c r="H27" s="7">
        <v>134384</v>
      </c>
      <c r="I27" s="6">
        <v>96804</v>
      </c>
      <c r="J27" s="4">
        <f t="shared" si="2"/>
        <v>33999</v>
      </c>
      <c r="K27" s="13">
        <v>130803</v>
      </c>
      <c r="L27" s="5">
        <f t="shared" si="3"/>
        <v>0.97335248243838557</v>
      </c>
      <c r="M27" s="7">
        <v>190911</v>
      </c>
      <c r="N27" s="6">
        <v>139789</v>
      </c>
      <c r="O27" s="4">
        <f t="shared" si="4"/>
        <v>51254</v>
      </c>
      <c r="P27" s="13">
        <v>191043</v>
      </c>
      <c r="Q27" s="5">
        <f t="shared" si="5"/>
        <v>1.000691421657212</v>
      </c>
      <c r="R27" s="7">
        <v>131264</v>
      </c>
      <c r="S27" s="6">
        <v>97558</v>
      </c>
      <c r="T27" s="4">
        <f t="shared" si="6"/>
        <v>33124</v>
      </c>
      <c r="U27" s="13">
        <v>130682</v>
      </c>
      <c r="V27" s="5">
        <f t="shared" si="7"/>
        <v>0.99556618722574353</v>
      </c>
      <c r="W27" s="7">
        <v>134144</v>
      </c>
      <c r="X27" s="6">
        <v>94271</v>
      </c>
      <c r="Y27" s="4">
        <f t="shared" si="8"/>
        <v>37665</v>
      </c>
      <c r="Z27" s="13">
        <v>131936</v>
      </c>
      <c r="AA27" s="5">
        <f t="shared" si="9"/>
        <v>0.98354007633587781</v>
      </c>
      <c r="AB27" s="7">
        <v>194609</v>
      </c>
      <c r="AC27" s="6">
        <v>144584</v>
      </c>
      <c r="AD27" s="4">
        <f t="shared" si="10"/>
        <v>48792</v>
      </c>
      <c r="AE27" s="13">
        <v>193376</v>
      </c>
      <c r="AF27" s="5">
        <f t="shared" si="11"/>
        <v>0.99366421902378621</v>
      </c>
      <c r="AG27" s="7">
        <v>134089</v>
      </c>
      <c r="AH27" s="6">
        <v>98349</v>
      </c>
      <c r="AI27" s="4">
        <f t="shared" si="12"/>
        <v>34093</v>
      </c>
      <c r="AJ27" s="13">
        <v>132442</v>
      </c>
      <c r="AK27" s="5">
        <f t="shared" si="13"/>
        <v>0.98771711326059553</v>
      </c>
      <c r="AL27" s="7">
        <v>137688</v>
      </c>
      <c r="AM27" s="6">
        <v>104122</v>
      </c>
      <c r="AN27" s="4">
        <f t="shared" si="14"/>
        <v>32596</v>
      </c>
      <c r="AO27" s="13">
        <v>136718</v>
      </c>
      <c r="AP27" s="5">
        <f t="shared" si="15"/>
        <v>0.99295508686305267</v>
      </c>
      <c r="AQ27" s="7">
        <v>200322</v>
      </c>
      <c r="AR27" s="6">
        <v>150289</v>
      </c>
      <c r="AS27" s="4">
        <f t="shared" si="16"/>
        <v>49593</v>
      </c>
      <c r="AT27" s="13">
        <v>199882</v>
      </c>
      <c r="AU27" s="5">
        <f t="shared" si="17"/>
        <v>0.9978035363065465</v>
      </c>
      <c r="AV27" s="7">
        <v>139481</v>
      </c>
      <c r="AW27" s="6">
        <v>107242</v>
      </c>
      <c r="AX27" s="4">
        <f t="shared" si="18"/>
        <v>31071</v>
      </c>
      <c r="AY27" s="13">
        <v>138313</v>
      </c>
      <c r="AZ27" s="5">
        <f t="shared" si="19"/>
        <v>0.99162609961213355</v>
      </c>
      <c r="BA27" s="7">
        <v>143305</v>
      </c>
      <c r="BB27" s="6">
        <v>108417</v>
      </c>
      <c r="BC27" s="4">
        <f t="shared" si="20"/>
        <v>31964</v>
      </c>
      <c r="BD27" s="13">
        <v>140381</v>
      </c>
      <c r="BE27" s="5">
        <f t="shared" si="21"/>
        <v>0.97959596664456927</v>
      </c>
      <c r="BF27" s="7">
        <v>208143</v>
      </c>
      <c r="BG27" s="6">
        <v>140127</v>
      </c>
      <c r="BH27" s="4">
        <f t="shared" si="22"/>
        <v>61673</v>
      </c>
      <c r="BI27" s="6">
        <v>201800</v>
      </c>
      <c r="BJ27" s="5">
        <f t="shared" si="23"/>
        <v>0.96952575873317859</v>
      </c>
    </row>
    <row r="28" spans="1:62" x14ac:dyDescent="0.3">
      <c r="A28" s="18">
        <v>19</v>
      </c>
      <c r="B28" s="3" t="s">
        <v>24</v>
      </c>
      <c r="C28" s="7">
        <v>437513</v>
      </c>
      <c r="D28" s="6">
        <v>364855</v>
      </c>
      <c r="E28" s="4">
        <f t="shared" si="0"/>
        <v>70341</v>
      </c>
      <c r="F28" s="13">
        <v>435196</v>
      </c>
      <c r="G28" s="5">
        <f t="shared" si="1"/>
        <v>0.99470415736218121</v>
      </c>
      <c r="H28" s="7">
        <v>447363</v>
      </c>
      <c r="I28" s="6">
        <v>372097</v>
      </c>
      <c r="J28" s="4">
        <f t="shared" si="2"/>
        <v>70539</v>
      </c>
      <c r="K28" s="13">
        <v>442636</v>
      </c>
      <c r="L28" s="5">
        <f t="shared" si="3"/>
        <v>0.98943363666642081</v>
      </c>
      <c r="M28" s="7">
        <v>722935</v>
      </c>
      <c r="N28" s="6">
        <v>599439</v>
      </c>
      <c r="O28" s="4">
        <f t="shared" si="4"/>
        <v>118374</v>
      </c>
      <c r="P28" s="13">
        <v>717813</v>
      </c>
      <c r="Q28" s="5">
        <f t="shared" si="5"/>
        <v>0.99291499235754255</v>
      </c>
      <c r="R28" s="7">
        <v>448339</v>
      </c>
      <c r="S28" s="6">
        <v>375900</v>
      </c>
      <c r="T28" s="4">
        <f t="shared" si="6"/>
        <v>69984</v>
      </c>
      <c r="U28" s="13">
        <v>445884</v>
      </c>
      <c r="V28" s="5">
        <f t="shared" si="7"/>
        <v>0.99452423277921398</v>
      </c>
      <c r="W28" s="7">
        <v>458076</v>
      </c>
      <c r="X28" s="6">
        <v>376941</v>
      </c>
      <c r="Y28" s="4">
        <f t="shared" si="8"/>
        <v>73964</v>
      </c>
      <c r="Z28" s="13">
        <v>450905</v>
      </c>
      <c r="AA28" s="5">
        <f t="shared" si="9"/>
        <v>0.98434539246762542</v>
      </c>
      <c r="AB28" s="7">
        <v>737235</v>
      </c>
      <c r="AC28" s="6">
        <v>615522</v>
      </c>
      <c r="AD28" s="4">
        <f t="shared" si="10"/>
        <v>114621</v>
      </c>
      <c r="AE28" s="13">
        <v>730143</v>
      </c>
      <c r="AF28" s="5">
        <f t="shared" si="11"/>
        <v>0.99038027223341263</v>
      </c>
      <c r="AG28" s="7">
        <v>456666</v>
      </c>
      <c r="AH28" s="6">
        <v>380204</v>
      </c>
      <c r="AI28" s="4">
        <f t="shared" si="12"/>
        <v>71710</v>
      </c>
      <c r="AJ28" s="13">
        <v>451914</v>
      </c>
      <c r="AK28" s="5">
        <f t="shared" si="13"/>
        <v>0.98959414539291302</v>
      </c>
      <c r="AL28" s="7">
        <v>468801</v>
      </c>
      <c r="AM28" s="6">
        <v>395237</v>
      </c>
      <c r="AN28" s="4">
        <f t="shared" si="14"/>
        <v>70015</v>
      </c>
      <c r="AO28" s="13">
        <v>465252</v>
      </c>
      <c r="AP28" s="5">
        <f t="shared" si="15"/>
        <v>0.99242962365694609</v>
      </c>
      <c r="AQ28" s="7">
        <v>756132</v>
      </c>
      <c r="AR28" s="6">
        <v>643574</v>
      </c>
      <c r="AS28" s="4">
        <f t="shared" si="16"/>
        <v>108942</v>
      </c>
      <c r="AT28" s="13">
        <v>752516</v>
      </c>
      <c r="AU28" s="5">
        <f t="shared" si="17"/>
        <v>0.99521776621013258</v>
      </c>
      <c r="AV28" s="7">
        <v>474991</v>
      </c>
      <c r="AW28" s="6">
        <v>405035</v>
      </c>
      <c r="AX28" s="4">
        <f t="shared" si="18"/>
        <v>66876</v>
      </c>
      <c r="AY28" s="13">
        <v>471911</v>
      </c>
      <c r="AZ28" s="5">
        <f t="shared" si="19"/>
        <v>0.99351566661263058</v>
      </c>
      <c r="BA28" s="7">
        <v>487540</v>
      </c>
      <c r="BB28" s="6">
        <v>410764</v>
      </c>
      <c r="BC28" s="4">
        <f t="shared" si="20"/>
        <v>69033</v>
      </c>
      <c r="BD28" s="13">
        <v>479797</v>
      </c>
      <c r="BE28" s="5">
        <f t="shared" si="21"/>
        <v>0.98411822619682487</v>
      </c>
      <c r="BF28" s="7">
        <v>779284</v>
      </c>
      <c r="BG28" s="6">
        <v>624198</v>
      </c>
      <c r="BH28" s="4">
        <f t="shared" si="22"/>
        <v>139594</v>
      </c>
      <c r="BI28" s="6">
        <v>763792</v>
      </c>
      <c r="BJ28" s="5">
        <f t="shared" si="23"/>
        <v>0.98012021291339224</v>
      </c>
    </row>
    <row r="29" spans="1:62" x14ac:dyDescent="0.3">
      <c r="A29" s="18">
        <v>20</v>
      </c>
      <c r="B29" s="3" t="s">
        <v>25</v>
      </c>
      <c r="C29" s="7">
        <v>143752</v>
      </c>
      <c r="D29" s="6">
        <v>114507</v>
      </c>
      <c r="E29" s="4">
        <f t="shared" si="0"/>
        <v>28227</v>
      </c>
      <c r="F29" s="13">
        <v>142734</v>
      </c>
      <c r="G29" s="5">
        <f t="shared" si="1"/>
        <v>0.99291835939673878</v>
      </c>
      <c r="H29" s="7">
        <v>146310</v>
      </c>
      <c r="I29" s="6">
        <v>116595</v>
      </c>
      <c r="J29" s="4">
        <f t="shared" si="2"/>
        <v>27593</v>
      </c>
      <c r="K29" s="13">
        <v>144188</v>
      </c>
      <c r="L29" s="5">
        <f t="shared" si="3"/>
        <v>0.9854965484245779</v>
      </c>
      <c r="M29" s="7">
        <v>194093</v>
      </c>
      <c r="N29" s="6">
        <v>153852</v>
      </c>
      <c r="O29" s="4">
        <f t="shared" si="4"/>
        <v>37810</v>
      </c>
      <c r="P29" s="13">
        <v>191662</v>
      </c>
      <c r="Q29" s="5">
        <f t="shared" si="5"/>
        <v>0.98747507638091014</v>
      </c>
      <c r="R29" s="7">
        <v>146918</v>
      </c>
      <c r="S29" s="6">
        <v>118549</v>
      </c>
      <c r="T29" s="4">
        <f t="shared" si="6"/>
        <v>26692</v>
      </c>
      <c r="U29" s="13">
        <v>145241</v>
      </c>
      <c r="V29" s="5">
        <f t="shared" si="7"/>
        <v>0.98858546944554104</v>
      </c>
      <c r="W29" s="7">
        <v>149105</v>
      </c>
      <c r="X29" s="6">
        <v>119418</v>
      </c>
      <c r="Y29" s="4">
        <f t="shared" si="8"/>
        <v>27120</v>
      </c>
      <c r="Z29" s="13">
        <v>146538</v>
      </c>
      <c r="AA29" s="5">
        <f t="shared" si="9"/>
        <v>0.98278394420039572</v>
      </c>
      <c r="AB29" s="7">
        <v>197403</v>
      </c>
      <c r="AC29" s="6">
        <v>161534</v>
      </c>
      <c r="AD29" s="4">
        <f t="shared" si="10"/>
        <v>33134</v>
      </c>
      <c r="AE29" s="13">
        <v>194668</v>
      </c>
      <c r="AF29" s="5">
        <f t="shared" si="11"/>
        <v>0.98614509404618977</v>
      </c>
      <c r="AG29" s="7">
        <v>149309</v>
      </c>
      <c r="AH29" s="6">
        <v>119671</v>
      </c>
      <c r="AI29" s="4">
        <f t="shared" si="12"/>
        <v>27763</v>
      </c>
      <c r="AJ29" s="13">
        <v>147434</v>
      </c>
      <c r="AK29" s="5">
        <f t="shared" si="13"/>
        <v>0.98744215017179138</v>
      </c>
      <c r="AL29" s="7">
        <v>152026</v>
      </c>
      <c r="AM29" s="6">
        <v>126013</v>
      </c>
      <c r="AN29" s="4">
        <f t="shared" si="14"/>
        <v>26139</v>
      </c>
      <c r="AO29" s="13">
        <v>152152</v>
      </c>
      <c r="AP29" s="5">
        <f t="shared" si="15"/>
        <v>1.0008288055990422</v>
      </c>
      <c r="AQ29" s="7">
        <v>203571</v>
      </c>
      <c r="AR29" s="6">
        <v>168214</v>
      </c>
      <c r="AS29" s="4">
        <f t="shared" si="16"/>
        <v>34775</v>
      </c>
      <c r="AT29" s="13">
        <v>202989</v>
      </c>
      <c r="AU29" s="5">
        <f t="shared" si="17"/>
        <v>0.99714104661272973</v>
      </c>
      <c r="AV29" s="7">
        <v>155780</v>
      </c>
      <c r="AW29" s="6">
        <v>129349</v>
      </c>
      <c r="AX29" s="4">
        <f t="shared" si="18"/>
        <v>26143</v>
      </c>
      <c r="AY29" s="13">
        <v>155492</v>
      </c>
      <c r="AZ29" s="5">
        <f t="shared" si="19"/>
        <v>0.99815123892669144</v>
      </c>
      <c r="BA29" s="7">
        <v>159604</v>
      </c>
      <c r="BB29" s="6">
        <v>131066</v>
      </c>
      <c r="BC29" s="4">
        <f t="shared" si="20"/>
        <v>26984</v>
      </c>
      <c r="BD29" s="13">
        <v>158050</v>
      </c>
      <c r="BE29" s="5">
        <f t="shared" si="21"/>
        <v>0.99026340191975137</v>
      </c>
      <c r="BF29" s="7">
        <v>211893</v>
      </c>
      <c r="BG29" s="6">
        <v>164370</v>
      </c>
      <c r="BH29" s="4">
        <f t="shared" si="22"/>
        <v>43558</v>
      </c>
      <c r="BI29" s="6">
        <v>207928</v>
      </c>
      <c r="BJ29" s="5">
        <f t="shared" si="23"/>
        <v>0.98128772540857889</v>
      </c>
    </row>
    <row r="30" spans="1:62" x14ac:dyDescent="0.3">
      <c r="A30" s="18">
        <v>21</v>
      </c>
      <c r="B30" s="3" t="s">
        <v>26</v>
      </c>
      <c r="C30" s="7">
        <v>186272</v>
      </c>
      <c r="D30" s="6">
        <v>144364</v>
      </c>
      <c r="E30" s="4">
        <f t="shared" si="0"/>
        <v>41253</v>
      </c>
      <c r="F30" s="13">
        <v>185617</v>
      </c>
      <c r="G30" s="5">
        <f t="shared" si="1"/>
        <v>0.99648363683215946</v>
      </c>
      <c r="H30" s="7">
        <v>190966</v>
      </c>
      <c r="I30" s="6">
        <v>146812</v>
      </c>
      <c r="J30" s="4">
        <f t="shared" si="2"/>
        <v>41678</v>
      </c>
      <c r="K30" s="13">
        <v>188490</v>
      </c>
      <c r="L30" s="5">
        <f t="shared" si="3"/>
        <v>0.9870343411916257</v>
      </c>
      <c r="M30" s="7">
        <v>320227</v>
      </c>
      <c r="N30" s="6">
        <v>250002</v>
      </c>
      <c r="O30" s="4">
        <f t="shared" si="4"/>
        <v>67874</v>
      </c>
      <c r="P30" s="13">
        <v>317876</v>
      </c>
      <c r="Q30" s="5">
        <f t="shared" si="5"/>
        <v>0.9926583329950317</v>
      </c>
      <c r="R30" s="7">
        <v>189502</v>
      </c>
      <c r="S30" s="6">
        <v>150515</v>
      </c>
      <c r="T30" s="4">
        <f t="shared" si="6"/>
        <v>38019</v>
      </c>
      <c r="U30" s="13">
        <v>188534</v>
      </c>
      <c r="V30" s="5">
        <f t="shared" si="7"/>
        <v>0.99489187449208982</v>
      </c>
      <c r="W30" s="7">
        <v>194334</v>
      </c>
      <c r="X30" s="6">
        <v>152878</v>
      </c>
      <c r="Y30" s="4">
        <f t="shared" si="8"/>
        <v>37921</v>
      </c>
      <c r="Z30" s="13">
        <v>190799</v>
      </c>
      <c r="AA30" s="5">
        <f t="shared" si="9"/>
        <v>0.98180966789136226</v>
      </c>
      <c r="AB30" s="7">
        <v>325942</v>
      </c>
      <c r="AC30" s="6">
        <v>261942</v>
      </c>
      <c r="AD30" s="4">
        <f t="shared" si="10"/>
        <v>60845</v>
      </c>
      <c r="AE30" s="13">
        <v>322787</v>
      </c>
      <c r="AF30" s="5">
        <f t="shared" si="11"/>
        <v>0.9903203637456971</v>
      </c>
      <c r="AG30" s="7">
        <v>192789</v>
      </c>
      <c r="AH30" s="6">
        <v>151479</v>
      </c>
      <c r="AI30" s="4">
        <f t="shared" si="12"/>
        <v>40019</v>
      </c>
      <c r="AJ30" s="13">
        <v>191498</v>
      </c>
      <c r="AK30" s="5">
        <f t="shared" si="13"/>
        <v>0.99330355985040641</v>
      </c>
      <c r="AL30" s="7">
        <v>197994</v>
      </c>
      <c r="AM30" s="6">
        <v>158774</v>
      </c>
      <c r="AN30" s="4">
        <f t="shared" si="14"/>
        <v>37609</v>
      </c>
      <c r="AO30" s="13">
        <v>196383</v>
      </c>
      <c r="AP30" s="5">
        <f t="shared" si="15"/>
        <v>0.99186338979969091</v>
      </c>
      <c r="AQ30" s="7">
        <v>333633</v>
      </c>
      <c r="AR30" s="6">
        <v>270143</v>
      </c>
      <c r="AS30" s="4">
        <f t="shared" si="16"/>
        <v>61590</v>
      </c>
      <c r="AT30" s="13">
        <v>331733</v>
      </c>
      <c r="AU30" s="5">
        <f t="shared" si="17"/>
        <v>0.99430511969739199</v>
      </c>
      <c r="AV30" s="7">
        <v>198460</v>
      </c>
      <c r="AW30" s="6">
        <v>160295</v>
      </c>
      <c r="AX30" s="4">
        <f t="shared" si="18"/>
        <v>37380</v>
      </c>
      <c r="AY30" s="13">
        <v>197675</v>
      </c>
      <c r="AZ30" s="5">
        <f t="shared" si="19"/>
        <v>0.99604454298095335</v>
      </c>
      <c r="BA30" s="7">
        <v>203942</v>
      </c>
      <c r="BB30" s="6">
        <v>162272</v>
      </c>
      <c r="BC30" s="4">
        <f t="shared" si="20"/>
        <v>38575</v>
      </c>
      <c r="BD30" s="13">
        <v>200847</v>
      </c>
      <c r="BE30" s="5">
        <f t="shared" si="21"/>
        <v>0.9848241166606192</v>
      </c>
      <c r="BF30" s="7">
        <v>342999</v>
      </c>
      <c r="BG30" s="6">
        <v>255925</v>
      </c>
      <c r="BH30" s="4">
        <f t="shared" si="22"/>
        <v>79373</v>
      </c>
      <c r="BI30" s="6">
        <v>335298</v>
      </c>
      <c r="BJ30" s="5">
        <f t="shared" si="23"/>
        <v>0.97754803949865743</v>
      </c>
    </row>
    <row r="31" spans="1:62" x14ac:dyDescent="0.3">
      <c r="A31" s="18">
        <v>22</v>
      </c>
      <c r="B31" s="3" t="s">
        <v>27</v>
      </c>
      <c r="C31" s="7">
        <v>82883</v>
      </c>
      <c r="D31" s="6">
        <v>64340</v>
      </c>
      <c r="E31" s="4">
        <f t="shared" si="0"/>
        <v>19256</v>
      </c>
      <c r="F31" s="13">
        <v>83596</v>
      </c>
      <c r="G31" s="5">
        <f t="shared" si="1"/>
        <v>1.0086024878443107</v>
      </c>
      <c r="H31" s="7">
        <v>85478</v>
      </c>
      <c r="I31" s="6">
        <v>67087</v>
      </c>
      <c r="J31" s="4">
        <f t="shared" si="2"/>
        <v>18037</v>
      </c>
      <c r="K31" s="13">
        <v>85124</v>
      </c>
      <c r="L31" s="5">
        <f t="shared" si="3"/>
        <v>0.99585858349516831</v>
      </c>
      <c r="M31" s="7">
        <v>149930</v>
      </c>
      <c r="N31" s="6">
        <v>111852</v>
      </c>
      <c r="O31" s="4">
        <f t="shared" si="4"/>
        <v>38915</v>
      </c>
      <c r="P31" s="13">
        <v>150767</v>
      </c>
      <c r="Q31" s="5">
        <f t="shared" si="5"/>
        <v>1.0055826052157673</v>
      </c>
      <c r="R31" s="7">
        <v>83981</v>
      </c>
      <c r="S31" s="6">
        <v>65809</v>
      </c>
      <c r="T31" s="4">
        <f t="shared" si="6"/>
        <v>18578</v>
      </c>
      <c r="U31" s="13">
        <v>84387</v>
      </c>
      <c r="V31" s="5">
        <f t="shared" si="7"/>
        <v>1.0048344268346412</v>
      </c>
      <c r="W31" s="7">
        <v>85994</v>
      </c>
      <c r="X31" s="6">
        <v>66564</v>
      </c>
      <c r="Y31" s="4">
        <f t="shared" si="8"/>
        <v>18997</v>
      </c>
      <c r="Z31" s="13">
        <v>85561</v>
      </c>
      <c r="AA31" s="5">
        <f t="shared" si="9"/>
        <v>0.99496476498360353</v>
      </c>
      <c r="AB31" s="7">
        <v>153633</v>
      </c>
      <c r="AC31" s="6">
        <v>113241</v>
      </c>
      <c r="AD31" s="4">
        <f t="shared" si="10"/>
        <v>40261</v>
      </c>
      <c r="AE31" s="13">
        <v>153502</v>
      </c>
      <c r="AF31" s="5">
        <f t="shared" si="11"/>
        <v>0.99914731860993411</v>
      </c>
      <c r="AG31" s="7">
        <v>85109</v>
      </c>
      <c r="AH31" s="6">
        <v>65518</v>
      </c>
      <c r="AI31" s="4">
        <f t="shared" si="12"/>
        <v>20289</v>
      </c>
      <c r="AJ31" s="13">
        <v>85807</v>
      </c>
      <c r="AK31" s="5">
        <f t="shared" si="13"/>
        <v>1.0082012478116298</v>
      </c>
      <c r="AL31" s="7">
        <v>88549</v>
      </c>
      <c r="AM31" s="6">
        <v>70171</v>
      </c>
      <c r="AN31" s="4">
        <f t="shared" si="14"/>
        <v>18256</v>
      </c>
      <c r="AO31" s="13">
        <v>88427</v>
      </c>
      <c r="AP31" s="5">
        <f t="shared" si="15"/>
        <v>0.99862223175868725</v>
      </c>
      <c r="AQ31" s="7">
        <v>156407</v>
      </c>
      <c r="AR31" s="6">
        <v>123123</v>
      </c>
      <c r="AS31" s="4">
        <f t="shared" si="16"/>
        <v>34286</v>
      </c>
      <c r="AT31" s="13">
        <v>157409</v>
      </c>
      <c r="AU31" s="5">
        <f t="shared" si="17"/>
        <v>1.0064063628865716</v>
      </c>
      <c r="AV31" s="7">
        <v>87916</v>
      </c>
      <c r="AW31" s="6">
        <v>71426</v>
      </c>
      <c r="AX31" s="4">
        <f t="shared" si="18"/>
        <v>17436</v>
      </c>
      <c r="AY31" s="13">
        <v>88862</v>
      </c>
      <c r="AZ31" s="5">
        <f t="shared" si="19"/>
        <v>1.0107602711679331</v>
      </c>
      <c r="BA31" s="7">
        <v>90084</v>
      </c>
      <c r="BB31" s="6">
        <v>72758</v>
      </c>
      <c r="BC31" s="4">
        <f t="shared" si="20"/>
        <v>17543</v>
      </c>
      <c r="BD31" s="13">
        <v>90301</v>
      </c>
      <c r="BE31" s="5">
        <f t="shared" si="21"/>
        <v>1.0024088628391279</v>
      </c>
      <c r="BF31" s="7">
        <v>159779</v>
      </c>
      <c r="BG31" s="6">
        <v>109294</v>
      </c>
      <c r="BH31" s="4">
        <f t="shared" si="22"/>
        <v>49597</v>
      </c>
      <c r="BI31" s="6">
        <v>158891</v>
      </c>
      <c r="BJ31" s="5">
        <f t="shared" si="23"/>
        <v>0.99444232345927808</v>
      </c>
    </row>
    <row r="32" spans="1:62" x14ac:dyDescent="0.3">
      <c r="A32" s="18">
        <v>23</v>
      </c>
      <c r="B32" s="3" t="s">
        <v>28</v>
      </c>
      <c r="C32" s="7">
        <v>232014</v>
      </c>
      <c r="D32" s="6">
        <v>183213</v>
      </c>
      <c r="E32" s="4">
        <f t="shared" si="0"/>
        <v>48452</v>
      </c>
      <c r="F32" s="13">
        <v>231665</v>
      </c>
      <c r="G32" s="5">
        <f t="shared" si="1"/>
        <v>0.99849578042704323</v>
      </c>
      <c r="H32" s="7">
        <v>238678</v>
      </c>
      <c r="I32" s="6">
        <v>189272</v>
      </c>
      <c r="J32" s="4">
        <f t="shared" si="2"/>
        <v>46607</v>
      </c>
      <c r="K32" s="13">
        <v>235879</v>
      </c>
      <c r="L32" s="5">
        <f t="shared" si="3"/>
        <v>0.98827290324202477</v>
      </c>
      <c r="M32" s="7">
        <v>498323</v>
      </c>
      <c r="N32" s="6">
        <v>386676</v>
      </c>
      <c r="O32" s="4">
        <f t="shared" si="4"/>
        <v>108122</v>
      </c>
      <c r="P32" s="13">
        <v>494798</v>
      </c>
      <c r="Q32" s="5">
        <f t="shared" si="5"/>
        <v>0.99292627472542905</v>
      </c>
      <c r="R32" s="7">
        <v>234167</v>
      </c>
      <c r="S32" s="6">
        <v>189787</v>
      </c>
      <c r="T32" s="4">
        <f t="shared" si="6"/>
        <v>43976</v>
      </c>
      <c r="U32" s="13">
        <v>233763</v>
      </c>
      <c r="V32" s="5">
        <f t="shared" si="7"/>
        <v>0.99827473555197788</v>
      </c>
      <c r="W32" s="7">
        <v>242821</v>
      </c>
      <c r="X32" s="6">
        <v>191962</v>
      </c>
      <c r="Y32" s="4">
        <f t="shared" si="8"/>
        <v>46291</v>
      </c>
      <c r="Z32" s="13">
        <v>238253</v>
      </c>
      <c r="AA32" s="5">
        <f t="shared" si="9"/>
        <v>0.98118778853558797</v>
      </c>
      <c r="AB32" s="7">
        <v>507064</v>
      </c>
      <c r="AC32" s="6">
        <v>392508</v>
      </c>
      <c r="AD32" s="4">
        <f t="shared" si="10"/>
        <v>111457</v>
      </c>
      <c r="AE32" s="13">
        <v>503965</v>
      </c>
      <c r="AF32" s="5">
        <f t="shared" si="11"/>
        <v>0.99388834545540605</v>
      </c>
      <c r="AG32" s="7">
        <v>238186</v>
      </c>
      <c r="AH32" s="6">
        <v>190133</v>
      </c>
      <c r="AI32" s="4">
        <f t="shared" si="12"/>
        <v>47880</v>
      </c>
      <c r="AJ32" s="13">
        <v>238013</v>
      </c>
      <c r="AK32" s="5">
        <f t="shared" si="13"/>
        <v>0.99927367687437552</v>
      </c>
      <c r="AL32" s="7">
        <v>247675</v>
      </c>
      <c r="AM32" s="6">
        <v>203613</v>
      </c>
      <c r="AN32" s="4">
        <f t="shared" si="14"/>
        <v>43891</v>
      </c>
      <c r="AO32" s="13">
        <v>247504</v>
      </c>
      <c r="AP32" s="5">
        <f t="shared" si="15"/>
        <v>0.99930957908549511</v>
      </c>
      <c r="AQ32" s="7">
        <v>518099</v>
      </c>
      <c r="AR32" s="6">
        <v>416826</v>
      </c>
      <c r="AS32" s="4">
        <f t="shared" si="16"/>
        <v>101464</v>
      </c>
      <c r="AT32" s="13">
        <v>518290</v>
      </c>
      <c r="AU32" s="5">
        <f t="shared" si="17"/>
        <v>1.0003686554114175</v>
      </c>
      <c r="AV32" s="7">
        <v>246693</v>
      </c>
      <c r="AW32" s="6">
        <v>204836</v>
      </c>
      <c r="AX32" s="4">
        <f t="shared" si="18"/>
        <v>43679</v>
      </c>
      <c r="AY32" s="13">
        <v>248515</v>
      </c>
      <c r="AZ32" s="5">
        <f t="shared" si="19"/>
        <v>1.0073856980133202</v>
      </c>
      <c r="BA32" s="7">
        <v>255610</v>
      </c>
      <c r="BB32" s="6">
        <v>213119</v>
      </c>
      <c r="BC32" s="4">
        <f t="shared" si="20"/>
        <v>41708</v>
      </c>
      <c r="BD32" s="13">
        <v>254827</v>
      </c>
      <c r="BE32" s="5">
        <f t="shared" si="21"/>
        <v>0.99693673956417983</v>
      </c>
      <c r="BF32" s="7">
        <v>535637</v>
      </c>
      <c r="BG32" s="6">
        <v>398643</v>
      </c>
      <c r="BH32" s="4">
        <f t="shared" si="22"/>
        <v>130229</v>
      </c>
      <c r="BI32" s="6">
        <v>528872</v>
      </c>
      <c r="BJ32" s="5">
        <f t="shared" si="23"/>
        <v>0.98737017793767046</v>
      </c>
    </row>
    <row r="33" spans="1:62" x14ac:dyDescent="0.3">
      <c r="A33" s="18">
        <v>24</v>
      </c>
      <c r="B33" s="3" t="s">
        <v>29</v>
      </c>
      <c r="C33" s="7">
        <v>715793</v>
      </c>
      <c r="D33" s="6">
        <v>637216</v>
      </c>
      <c r="E33" s="20">
        <f t="shared" si="0"/>
        <v>81488</v>
      </c>
      <c r="F33" s="13">
        <v>718704</v>
      </c>
      <c r="G33" s="21">
        <f t="shared" si="1"/>
        <v>1.0040668182002339</v>
      </c>
      <c r="H33" s="7">
        <v>726544</v>
      </c>
      <c r="I33" s="6">
        <v>656733</v>
      </c>
      <c r="J33" s="20">
        <f t="shared" si="2"/>
        <v>73282</v>
      </c>
      <c r="K33" s="13">
        <v>730015</v>
      </c>
      <c r="L33" s="21">
        <f t="shared" si="3"/>
        <v>1.0047774119667907</v>
      </c>
      <c r="M33" s="7">
        <v>1152516</v>
      </c>
      <c r="N33" s="6">
        <v>1013927</v>
      </c>
      <c r="O33" s="20">
        <f t="shared" si="4"/>
        <v>140400</v>
      </c>
      <c r="P33" s="13">
        <v>1154327</v>
      </c>
      <c r="Q33" s="21">
        <f t="shared" si="5"/>
        <v>1.0015713447795953</v>
      </c>
      <c r="R33" s="7">
        <v>733468</v>
      </c>
      <c r="S33" s="6">
        <v>654125</v>
      </c>
      <c r="T33" s="20">
        <f t="shared" si="6"/>
        <v>83172</v>
      </c>
      <c r="U33" s="13">
        <v>737297</v>
      </c>
      <c r="V33" s="21">
        <f t="shared" si="7"/>
        <v>1.0052204049801763</v>
      </c>
      <c r="W33" s="7">
        <v>745690</v>
      </c>
      <c r="X33" s="6">
        <v>665552</v>
      </c>
      <c r="Y33" s="20">
        <f t="shared" si="8"/>
        <v>81079</v>
      </c>
      <c r="Z33" s="13">
        <v>746631</v>
      </c>
      <c r="AA33" s="21">
        <f t="shared" si="9"/>
        <v>1.0012619184915983</v>
      </c>
      <c r="AB33" s="7">
        <v>1180887</v>
      </c>
      <c r="AC33" s="6">
        <v>1039885</v>
      </c>
      <c r="AD33" s="20">
        <f t="shared" si="10"/>
        <v>141053</v>
      </c>
      <c r="AE33" s="13">
        <v>1180938</v>
      </c>
      <c r="AF33" s="21">
        <f t="shared" si="11"/>
        <v>1.000043187874877</v>
      </c>
      <c r="AG33" s="7">
        <v>749948</v>
      </c>
      <c r="AH33" s="6">
        <v>670486</v>
      </c>
      <c r="AI33" s="20">
        <f t="shared" si="12"/>
        <v>81317</v>
      </c>
      <c r="AJ33" s="13">
        <v>751803</v>
      </c>
      <c r="AK33" s="21">
        <f t="shared" si="13"/>
        <v>1.0024735048296682</v>
      </c>
      <c r="AL33" s="7">
        <v>765123</v>
      </c>
      <c r="AM33" s="6">
        <v>698471</v>
      </c>
      <c r="AN33" s="20">
        <f t="shared" si="14"/>
        <v>75864</v>
      </c>
      <c r="AO33" s="13">
        <v>774335</v>
      </c>
      <c r="AP33" s="21">
        <f t="shared" si="15"/>
        <v>1.0120398942392268</v>
      </c>
      <c r="AQ33" s="7">
        <v>1217820</v>
      </c>
      <c r="AR33" s="6">
        <v>1083826</v>
      </c>
      <c r="AS33" s="20">
        <f t="shared" si="16"/>
        <v>140244</v>
      </c>
      <c r="AT33" s="13">
        <v>1224070</v>
      </c>
      <c r="AU33" s="21">
        <f t="shared" si="17"/>
        <v>1.0051321213315596</v>
      </c>
      <c r="AV33" s="7">
        <v>779865</v>
      </c>
      <c r="AW33" s="6">
        <v>712529</v>
      </c>
      <c r="AX33" s="20">
        <f t="shared" si="18"/>
        <v>73542</v>
      </c>
      <c r="AY33" s="13">
        <v>786071</v>
      </c>
      <c r="AZ33" s="21">
        <f t="shared" si="19"/>
        <v>1.0079577875657966</v>
      </c>
      <c r="BA33" s="7">
        <v>794982</v>
      </c>
      <c r="BB33" s="6">
        <v>724830</v>
      </c>
      <c r="BC33" s="20">
        <f t="shared" si="20"/>
        <v>75414</v>
      </c>
      <c r="BD33" s="13">
        <v>800244</v>
      </c>
      <c r="BE33" s="21">
        <f t="shared" si="21"/>
        <v>1.0066190177890819</v>
      </c>
      <c r="BF33" s="7">
        <v>1258934</v>
      </c>
      <c r="BG33" s="6">
        <v>1090188</v>
      </c>
      <c r="BH33" s="20">
        <f t="shared" si="22"/>
        <v>167383</v>
      </c>
      <c r="BI33" s="6">
        <v>1257571</v>
      </c>
      <c r="BJ33" s="21">
        <f t="shared" si="23"/>
        <v>0.99891733800183324</v>
      </c>
    </row>
    <row r="34" spans="1:62" x14ac:dyDescent="0.3">
      <c r="A34" s="18">
        <v>25</v>
      </c>
      <c r="B34" s="3" t="s">
        <v>30</v>
      </c>
      <c r="C34" s="14">
        <v>0</v>
      </c>
      <c r="D34" s="14">
        <v>0</v>
      </c>
      <c r="E34" s="14" t="s">
        <v>47</v>
      </c>
      <c r="F34" s="14">
        <v>0</v>
      </c>
      <c r="G34" s="14" t="s">
        <v>47</v>
      </c>
      <c r="H34" s="14">
        <v>0</v>
      </c>
      <c r="I34" s="14">
        <v>0</v>
      </c>
      <c r="J34" s="14" t="s">
        <v>47</v>
      </c>
      <c r="K34" s="14">
        <v>0</v>
      </c>
      <c r="L34" s="14" t="s">
        <v>47</v>
      </c>
      <c r="M34" s="14">
        <v>0</v>
      </c>
      <c r="N34" s="14">
        <v>0</v>
      </c>
      <c r="O34" s="14" t="s">
        <v>47</v>
      </c>
      <c r="P34" s="14">
        <v>0</v>
      </c>
      <c r="Q34" s="14" t="s">
        <v>47</v>
      </c>
      <c r="R34" s="14">
        <v>0</v>
      </c>
      <c r="S34" s="14">
        <v>0</v>
      </c>
      <c r="T34" s="14" t="s">
        <v>47</v>
      </c>
      <c r="U34" s="14">
        <v>0</v>
      </c>
      <c r="V34" s="14" t="s">
        <v>47</v>
      </c>
      <c r="W34" s="14">
        <v>0</v>
      </c>
      <c r="X34" s="14">
        <v>0</v>
      </c>
      <c r="Y34" s="14" t="s">
        <v>47</v>
      </c>
      <c r="Z34" s="14">
        <v>0</v>
      </c>
      <c r="AA34" s="14" t="s">
        <v>47</v>
      </c>
      <c r="AB34" s="14">
        <v>0</v>
      </c>
      <c r="AC34" s="14">
        <v>0</v>
      </c>
      <c r="AD34" s="14" t="s">
        <v>47</v>
      </c>
      <c r="AE34" s="14">
        <v>0</v>
      </c>
      <c r="AF34" s="14" t="s">
        <v>47</v>
      </c>
      <c r="AG34" s="14">
        <v>0</v>
      </c>
      <c r="AH34" s="14">
        <v>0</v>
      </c>
      <c r="AI34" s="14" t="s">
        <v>47</v>
      </c>
      <c r="AJ34" s="14">
        <v>0</v>
      </c>
      <c r="AK34" s="14" t="s">
        <v>47</v>
      </c>
      <c r="AL34" s="14">
        <v>0</v>
      </c>
      <c r="AM34" s="14">
        <v>0</v>
      </c>
      <c r="AN34" s="14" t="s">
        <v>47</v>
      </c>
      <c r="AO34" s="14">
        <v>0</v>
      </c>
      <c r="AP34" s="14" t="s">
        <v>47</v>
      </c>
      <c r="AQ34" s="14">
        <v>0</v>
      </c>
      <c r="AR34" s="14">
        <v>0</v>
      </c>
      <c r="AS34" s="14" t="s">
        <v>47</v>
      </c>
      <c r="AT34" s="14">
        <v>0</v>
      </c>
      <c r="AU34" s="14" t="s">
        <v>47</v>
      </c>
      <c r="AV34" s="14">
        <v>0</v>
      </c>
      <c r="AW34" s="14">
        <v>0</v>
      </c>
      <c r="AX34" s="14" t="s">
        <v>47</v>
      </c>
      <c r="AY34" s="14">
        <v>0</v>
      </c>
      <c r="AZ34" s="14" t="s">
        <v>47</v>
      </c>
      <c r="BA34" s="14">
        <v>0</v>
      </c>
      <c r="BB34" s="14">
        <v>0</v>
      </c>
      <c r="BC34" s="14" t="s">
        <v>47</v>
      </c>
      <c r="BD34" s="14">
        <v>0</v>
      </c>
      <c r="BE34" s="14" t="s">
        <v>47</v>
      </c>
      <c r="BF34" s="14">
        <v>0</v>
      </c>
      <c r="BG34" s="14">
        <v>0</v>
      </c>
      <c r="BH34" s="14" t="s">
        <v>47</v>
      </c>
      <c r="BI34" s="6">
        <v>0</v>
      </c>
      <c r="BJ34" s="14" t="s">
        <v>47</v>
      </c>
    </row>
    <row r="35" spans="1:62" x14ac:dyDescent="0.3">
      <c r="A35" s="18">
        <v>26</v>
      </c>
      <c r="B35" s="3" t="s">
        <v>31</v>
      </c>
      <c r="C35" s="7">
        <v>12258</v>
      </c>
      <c r="D35" s="6">
        <v>9978</v>
      </c>
      <c r="E35" s="4">
        <f t="shared" ref="E35:E48" si="24">F35-D35</f>
        <v>2265</v>
      </c>
      <c r="F35" s="13">
        <v>12243</v>
      </c>
      <c r="G35" s="5">
        <f t="shared" ref="G35:G48" si="25">F35/C35</f>
        <v>0.99877630934899653</v>
      </c>
      <c r="H35" s="7">
        <v>12343</v>
      </c>
      <c r="I35" s="6">
        <v>10149</v>
      </c>
      <c r="J35" s="4">
        <f t="shared" ref="J35:J48" si="26">K35-I35</f>
        <v>2184</v>
      </c>
      <c r="K35" s="13">
        <v>12333</v>
      </c>
      <c r="L35" s="5">
        <f t="shared" ref="L35:L48" si="27">K35/H35</f>
        <v>0.99918982419184965</v>
      </c>
      <c r="M35" s="7">
        <v>15097</v>
      </c>
      <c r="N35" s="6">
        <v>12214</v>
      </c>
      <c r="O35" s="4">
        <f t="shared" ref="O35:O48" si="28">P35-N35</f>
        <v>2856</v>
      </c>
      <c r="P35" s="13">
        <v>15070</v>
      </c>
      <c r="Q35" s="5">
        <f t="shared" ref="Q35:Q48" si="29">P35/M35</f>
        <v>0.99821156521163146</v>
      </c>
      <c r="R35" s="7">
        <v>12455</v>
      </c>
      <c r="S35" s="6">
        <v>10110</v>
      </c>
      <c r="T35" s="4">
        <f t="shared" ref="T35:T48" si="30">U35-S35</f>
        <v>2294</v>
      </c>
      <c r="U35" s="13">
        <v>12404</v>
      </c>
      <c r="V35" s="5">
        <f t="shared" ref="V35:V48" si="31">U35/R35</f>
        <v>0.99590525893215576</v>
      </c>
      <c r="W35" s="7">
        <v>12547</v>
      </c>
      <c r="X35" s="6">
        <v>10356</v>
      </c>
      <c r="Y35" s="4">
        <f t="shared" ref="Y35:Y48" si="32">Z35-X35</f>
        <v>2084</v>
      </c>
      <c r="Z35" s="13">
        <v>12440</v>
      </c>
      <c r="AA35" s="5">
        <f t="shared" ref="AA35:AA48" si="33">Z35/W35</f>
        <v>0.9914720650354667</v>
      </c>
      <c r="AB35" s="7">
        <v>15257</v>
      </c>
      <c r="AC35" s="6">
        <v>12475</v>
      </c>
      <c r="AD35" s="4">
        <f t="shared" ref="AD35:AD48" si="34">AE35-AC35</f>
        <v>2709</v>
      </c>
      <c r="AE35" s="13">
        <v>15184</v>
      </c>
      <c r="AF35" s="5">
        <f t="shared" ref="AF35:AF48" si="35">AE35/AB35</f>
        <v>0.99521531100478466</v>
      </c>
      <c r="AG35" s="7">
        <v>12574</v>
      </c>
      <c r="AH35" s="6">
        <v>10323</v>
      </c>
      <c r="AI35" s="4">
        <f t="shared" ref="AI35:AI48" si="36">AJ35-AH35</f>
        <v>2197</v>
      </c>
      <c r="AJ35" s="13">
        <v>12520</v>
      </c>
      <c r="AK35" s="5">
        <f t="shared" ref="AK35:AK48" si="37">AJ35/AG35</f>
        <v>0.99570542389056782</v>
      </c>
      <c r="AL35" s="7">
        <v>12702</v>
      </c>
      <c r="AM35" s="6">
        <v>10524</v>
      </c>
      <c r="AN35" s="4">
        <f t="shared" ref="AN35:AN48" si="38">AO35-AM35</f>
        <v>2102</v>
      </c>
      <c r="AO35" s="13">
        <v>12626</v>
      </c>
      <c r="AP35" s="5">
        <f t="shared" ref="AP35:AP48" si="39">AO35/AL35</f>
        <v>0.99401669028499451</v>
      </c>
      <c r="AQ35" s="7">
        <v>15458</v>
      </c>
      <c r="AR35" s="6">
        <v>12718</v>
      </c>
      <c r="AS35" s="4">
        <f t="shared" ref="AS35:AS48" si="40">AT35-AR35</f>
        <v>2678</v>
      </c>
      <c r="AT35" s="13">
        <v>15396</v>
      </c>
      <c r="AU35" s="5">
        <f t="shared" ref="AU35:AU48" si="41">AT35/AQ35</f>
        <v>0.99598913184111781</v>
      </c>
      <c r="AV35" s="7">
        <v>12806</v>
      </c>
      <c r="AW35" s="6">
        <v>10688</v>
      </c>
      <c r="AX35" s="4">
        <f t="shared" ref="AX35:AX48" si="42">AY35-AW35</f>
        <v>2019</v>
      </c>
      <c r="AY35" s="13">
        <v>12707</v>
      </c>
      <c r="AZ35" s="5">
        <f t="shared" ref="AZ35:AZ48" si="43">AY35/AV35</f>
        <v>0.99226924878962985</v>
      </c>
      <c r="BA35" s="7">
        <v>12915</v>
      </c>
      <c r="BB35" s="6">
        <v>10758</v>
      </c>
      <c r="BC35" s="4">
        <f t="shared" ref="BC35:BC48" si="44">BD35-BB35</f>
        <v>2013</v>
      </c>
      <c r="BD35" s="13">
        <v>12771</v>
      </c>
      <c r="BE35" s="5">
        <f t="shared" ref="BE35:BE48" si="45">BD35/BA35</f>
        <v>0.98885017421602783</v>
      </c>
      <c r="BF35" s="7">
        <v>15661</v>
      </c>
      <c r="BG35" s="6">
        <v>12599</v>
      </c>
      <c r="BH35" s="4">
        <f t="shared" ref="BH35:BH48" si="46">BI35-BG35</f>
        <v>2833</v>
      </c>
      <c r="BI35" s="6">
        <v>15432</v>
      </c>
      <c r="BJ35" s="5">
        <f t="shared" ref="BJ35:BJ48" si="47">BI35/BF35</f>
        <v>0.98537768980269458</v>
      </c>
    </row>
    <row r="36" spans="1:62" x14ac:dyDescent="0.3">
      <c r="A36" s="18">
        <v>27</v>
      </c>
      <c r="B36" s="3" t="s">
        <v>32</v>
      </c>
      <c r="C36" s="7">
        <v>952810</v>
      </c>
      <c r="D36" s="6">
        <v>770178</v>
      </c>
      <c r="E36" s="4">
        <f t="shared" si="24"/>
        <v>186078</v>
      </c>
      <c r="F36" s="13">
        <v>956256</v>
      </c>
      <c r="G36" s="5">
        <f t="shared" si="25"/>
        <v>1.0036166706898542</v>
      </c>
      <c r="H36" s="7">
        <v>975466</v>
      </c>
      <c r="I36" s="6">
        <v>795220</v>
      </c>
      <c r="J36" s="4">
        <f t="shared" si="26"/>
        <v>176472</v>
      </c>
      <c r="K36" s="13">
        <v>971692</v>
      </c>
      <c r="L36" s="5">
        <f t="shared" si="27"/>
        <v>0.99613107991462546</v>
      </c>
      <c r="M36" s="7">
        <v>1668278</v>
      </c>
      <c r="N36" s="6">
        <v>1322073</v>
      </c>
      <c r="O36" s="4">
        <f t="shared" si="28"/>
        <v>346596</v>
      </c>
      <c r="P36" s="13">
        <v>1668669</v>
      </c>
      <c r="Q36" s="5">
        <f t="shared" si="29"/>
        <v>1.0002343734077894</v>
      </c>
      <c r="R36" s="7">
        <v>976879</v>
      </c>
      <c r="S36" s="6">
        <v>792042</v>
      </c>
      <c r="T36" s="4">
        <f t="shared" si="30"/>
        <v>185600</v>
      </c>
      <c r="U36" s="13">
        <v>977642</v>
      </c>
      <c r="V36" s="5">
        <f t="shared" si="31"/>
        <v>1.000781058861947</v>
      </c>
      <c r="W36" s="7">
        <v>1000117</v>
      </c>
      <c r="X36" s="6">
        <v>807823</v>
      </c>
      <c r="Y36" s="4">
        <f t="shared" si="32"/>
        <v>181637</v>
      </c>
      <c r="Z36" s="13">
        <v>989460</v>
      </c>
      <c r="AA36" s="5">
        <f t="shared" si="33"/>
        <v>0.98934424672313337</v>
      </c>
      <c r="AB36" s="7">
        <v>1701420</v>
      </c>
      <c r="AC36" s="6">
        <v>1360894</v>
      </c>
      <c r="AD36" s="4">
        <f t="shared" si="34"/>
        <v>337244</v>
      </c>
      <c r="AE36" s="13">
        <v>1698138</v>
      </c>
      <c r="AF36" s="5">
        <f t="shared" si="35"/>
        <v>0.9980710230278238</v>
      </c>
      <c r="AG36" s="7">
        <v>996655</v>
      </c>
      <c r="AH36" s="6">
        <v>810626</v>
      </c>
      <c r="AI36" s="4">
        <f t="shared" si="36"/>
        <v>186851</v>
      </c>
      <c r="AJ36" s="13">
        <v>997477</v>
      </c>
      <c r="AK36" s="5">
        <f t="shared" si="37"/>
        <v>1.0008247588182471</v>
      </c>
      <c r="AL36" s="7">
        <v>1027093</v>
      </c>
      <c r="AM36" s="6">
        <v>854719</v>
      </c>
      <c r="AN36" s="4">
        <f t="shared" si="38"/>
        <v>178519</v>
      </c>
      <c r="AO36" s="13">
        <v>1033238</v>
      </c>
      <c r="AP36" s="5">
        <f t="shared" si="39"/>
        <v>1.0059829051507507</v>
      </c>
      <c r="AQ36" s="7">
        <v>1750886</v>
      </c>
      <c r="AR36" s="6">
        <v>1441378</v>
      </c>
      <c r="AS36" s="4">
        <f t="shared" si="40"/>
        <v>322894</v>
      </c>
      <c r="AT36" s="13">
        <v>1764272</v>
      </c>
      <c r="AU36" s="5">
        <f t="shared" si="41"/>
        <v>1.0076452721650639</v>
      </c>
      <c r="AV36" s="7">
        <v>1041088</v>
      </c>
      <c r="AW36" s="6">
        <v>882000</v>
      </c>
      <c r="AX36" s="4">
        <f t="shared" si="42"/>
        <v>168619</v>
      </c>
      <c r="AY36" s="13">
        <v>1050619</v>
      </c>
      <c r="AZ36" s="5">
        <f t="shared" si="43"/>
        <v>1.0091548456998831</v>
      </c>
      <c r="BA36" s="7">
        <v>1070068</v>
      </c>
      <c r="BB36" s="6">
        <v>896417</v>
      </c>
      <c r="BC36" s="4">
        <f t="shared" si="44"/>
        <v>174740</v>
      </c>
      <c r="BD36" s="13">
        <v>1071157</v>
      </c>
      <c r="BE36" s="5">
        <f t="shared" si="45"/>
        <v>1.0010176923335714</v>
      </c>
      <c r="BF36" s="7">
        <v>1814069</v>
      </c>
      <c r="BG36" s="6">
        <v>1427757</v>
      </c>
      <c r="BH36" s="4">
        <f t="shared" si="46"/>
        <v>371120</v>
      </c>
      <c r="BI36" s="6">
        <v>1798877</v>
      </c>
      <c r="BJ36" s="5">
        <f t="shared" si="47"/>
        <v>0.99162545636356725</v>
      </c>
    </row>
    <row r="37" spans="1:62" x14ac:dyDescent="0.3">
      <c r="A37" s="18">
        <v>29</v>
      </c>
      <c r="B37" s="3" t="s">
        <v>33</v>
      </c>
      <c r="C37" s="7">
        <v>741468</v>
      </c>
      <c r="D37" s="6">
        <v>588070</v>
      </c>
      <c r="E37" s="4">
        <f t="shared" si="24"/>
        <v>146712</v>
      </c>
      <c r="F37" s="13">
        <v>734782</v>
      </c>
      <c r="G37" s="5">
        <f t="shared" si="25"/>
        <v>0.99098275313297401</v>
      </c>
      <c r="H37" s="7">
        <v>747767</v>
      </c>
      <c r="I37" s="6">
        <v>599022</v>
      </c>
      <c r="J37" s="4">
        <f t="shared" si="26"/>
        <v>140494</v>
      </c>
      <c r="K37" s="13">
        <v>739516</v>
      </c>
      <c r="L37" s="5">
        <f t="shared" si="27"/>
        <v>0.98896581421753038</v>
      </c>
      <c r="M37" s="7">
        <v>922163</v>
      </c>
      <c r="N37" s="6">
        <v>725538</v>
      </c>
      <c r="O37" s="4">
        <f t="shared" si="28"/>
        <v>188647</v>
      </c>
      <c r="P37" s="13">
        <v>914185</v>
      </c>
      <c r="Q37" s="5">
        <f t="shared" si="29"/>
        <v>0.99134860106076694</v>
      </c>
      <c r="R37" s="7">
        <v>751356</v>
      </c>
      <c r="S37" s="6">
        <v>604444</v>
      </c>
      <c r="T37" s="4">
        <f t="shared" si="30"/>
        <v>140409</v>
      </c>
      <c r="U37" s="13">
        <v>744853</v>
      </c>
      <c r="V37" s="5">
        <f t="shared" si="31"/>
        <v>0.99134498160658857</v>
      </c>
      <c r="W37" s="7">
        <v>760191</v>
      </c>
      <c r="X37" s="6">
        <v>611552</v>
      </c>
      <c r="Y37" s="4">
        <f t="shared" si="32"/>
        <v>138820</v>
      </c>
      <c r="Z37" s="13">
        <v>750372</v>
      </c>
      <c r="AA37" s="5">
        <f t="shared" si="33"/>
        <v>0.98708350927595823</v>
      </c>
      <c r="AB37" s="7">
        <v>938023</v>
      </c>
      <c r="AC37" s="6">
        <v>767374</v>
      </c>
      <c r="AD37" s="4">
        <f t="shared" si="34"/>
        <v>161368</v>
      </c>
      <c r="AE37" s="13">
        <v>928742</v>
      </c>
      <c r="AF37" s="5">
        <f t="shared" si="35"/>
        <v>0.99010578631867241</v>
      </c>
      <c r="AG37" s="7">
        <v>763648</v>
      </c>
      <c r="AH37" s="6">
        <v>613209</v>
      </c>
      <c r="AI37" s="4">
        <f t="shared" si="36"/>
        <v>143254</v>
      </c>
      <c r="AJ37" s="13">
        <v>756463</v>
      </c>
      <c r="AK37" s="5">
        <f t="shared" si="37"/>
        <v>0.99059121480053636</v>
      </c>
      <c r="AL37" s="7">
        <v>773685</v>
      </c>
      <c r="AM37" s="6">
        <v>635264</v>
      </c>
      <c r="AN37" s="4">
        <f t="shared" si="38"/>
        <v>134295</v>
      </c>
      <c r="AO37" s="13">
        <v>769559</v>
      </c>
      <c r="AP37" s="5">
        <f t="shared" si="39"/>
        <v>0.99466708027168682</v>
      </c>
      <c r="AQ37" s="7">
        <v>957323</v>
      </c>
      <c r="AR37" s="6">
        <v>783463</v>
      </c>
      <c r="AS37" s="4">
        <f t="shared" si="40"/>
        <v>168335</v>
      </c>
      <c r="AT37" s="13">
        <v>951798</v>
      </c>
      <c r="AU37" s="5">
        <f t="shared" si="41"/>
        <v>0.9942286981509898</v>
      </c>
      <c r="AV37" s="7">
        <v>783693</v>
      </c>
      <c r="AW37" s="6">
        <v>650792</v>
      </c>
      <c r="AX37" s="4">
        <f t="shared" si="42"/>
        <v>127906</v>
      </c>
      <c r="AY37" s="13">
        <v>778698</v>
      </c>
      <c r="AZ37" s="5">
        <f t="shared" si="43"/>
        <v>0.99362633071878914</v>
      </c>
      <c r="BA37" s="7">
        <v>794943</v>
      </c>
      <c r="BB37" s="6">
        <v>643660</v>
      </c>
      <c r="BC37" s="4">
        <f t="shared" si="44"/>
        <v>141008</v>
      </c>
      <c r="BD37" s="13">
        <v>784668</v>
      </c>
      <c r="BE37" s="5">
        <f t="shared" si="45"/>
        <v>0.98707454496737501</v>
      </c>
      <c r="BF37" s="7">
        <v>980352</v>
      </c>
      <c r="BG37" s="6">
        <v>756431</v>
      </c>
      <c r="BH37" s="4">
        <f t="shared" si="46"/>
        <v>203771</v>
      </c>
      <c r="BI37" s="6">
        <v>960202</v>
      </c>
      <c r="BJ37" s="5">
        <f t="shared" si="47"/>
        <v>0.97944615811463642</v>
      </c>
    </row>
    <row r="38" spans="1:62" x14ac:dyDescent="0.3">
      <c r="A38" s="18">
        <v>30</v>
      </c>
      <c r="B38" s="3" t="s">
        <v>34</v>
      </c>
      <c r="C38" s="7">
        <v>26062</v>
      </c>
      <c r="D38" s="6">
        <v>19588</v>
      </c>
      <c r="E38" s="4">
        <f t="shared" si="24"/>
        <v>6609</v>
      </c>
      <c r="F38" s="13">
        <v>26197</v>
      </c>
      <c r="G38" s="5">
        <f t="shared" si="25"/>
        <v>1.0051799554907528</v>
      </c>
      <c r="H38" s="7">
        <v>26657</v>
      </c>
      <c r="I38" s="6">
        <v>20239</v>
      </c>
      <c r="J38" s="4">
        <f t="shared" si="26"/>
        <v>6272</v>
      </c>
      <c r="K38" s="13">
        <v>26511</v>
      </c>
      <c r="L38" s="5">
        <f t="shared" si="27"/>
        <v>0.99452301459278991</v>
      </c>
      <c r="M38" s="7">
        <v>40003</v>
      </c>
      <c r="N38" s="6">
        <v>30131</v>
      </c>
      <c r="O38" s="4">
        <f t="shared" si="28"/>
        <v>9916</v>
      </c>
      <c r="P38" s="13">
        <v>40047</v>
      </c>
      <c r="Q38" s="5">
        <f t="shared" si="29"/>
        <v>1.001099917506187</v>
      </c>
      <c r="R38" s="7">
        <v>26603</v>
      </c>
      <c r="S38" s="6">
        <v>20495</v>
      </c>
      <c r="T38" s="4">
        <f t="shared" si="30"/>
        <v>6161</v>
      </c>
      <c r="U38" s="13">
        <v>26656</v>
      </c>
      <c r="V38" s="5">
        <f t="shared" si="31"/>
        <v>1.0019922565124235</v>
      </c>
      <c r="W38" s="7">
        <v>27177</v>
      </c>
      <c r="X38" s="6">
        <v>20685</v>
      </c>
      <c r="Y38" s="4">
        <f t="shared" si="32"/>
        <v>6223</v>
      </c>
      <c r="Z38" s="13">
        <v>26908</v>
      </c>
      <c r="AA38" s="5">
        <f t="shared" si="33"/>
        <v>0.99010192442138578</v>
      </c>
      <c r="AB38" s="7">
        <v>40627</v>
      </c>
      <c r="AC38" s="6">
        <v>31829</v>
      </c>
      <c r="AD38" s="4">
        <f t="shared" si="34"/>
        <v>8821</v>
      </c>
      <c r="AE38" s="13">
        <v>40650</v>
      </c>
      <c r="AF38" s="5">
        <f t="shared" si="35"/>
        <v>1.0005661259753367</v>
      </c>
      <c r="AG38" s="7">
        <v>26952</v>
      </c>
      <c r="AH38" s="6">
        <v>20902</v>
      </c>
      <c r="AI38" s="4">
        <f t="shared" si="36"/>
        <v>6163</v>
      </c>
      <c r="AJ38" s="13">
        <v>27065</v>
      </c>
      <c r="AK38" s="5">
        <f t="shared" si="37"/>
        <v>1.0041926387652123</v>
      </c>
      <c r="AL38" s="7">
        <v>27600</v>
      </c>
      <c r="AM38" s="6">
        <v>21153</v>
      </c>
      <c r="AN38" s="4">
        <f t="shared" si="38"/>
        <v>6451</v>
      </c>
      <c r="AO38" s="13">
        <v>27604</v>
      </c>
      <c r="AP38" s="5">
        <f t="shared" si="39"/>
        <v>1.000144927536232</v>
      </c>
      <c r="AQ38" s="7">
        <v>41434</v>
      </c>
      <c r="AR38" s="6">
        <v>32574</v>
      </c>
      <c r="AS38" s="4">
        <f t="shared" si="40"/>
        <v>9097</v>
      </c>
      <c r="AT38" s="13">
        <v>41671</v>
      </c>
      <c r="AU38" s="5">
        <f t="shared" si="41"/>
        <v>1.0057199401457739</v>
      </c>
      <c r="AV38" s="7">
        <v>27593</v>
      </c>
      <c r="AW38" s="6">
        <v>22356</v>
      </c>
      <c r="AX38" s="4">
        <f t="shared" si="42"/>
        <v>5399</v>
      </c>
      <c r="AY38" s="13">
        <v>27755</v>
      </c>
      <c r="AZ38" s="5">
        <f t="shared" si="43"/>
        <v>1.0058710542528901</v>
      </c>
      <c r="BA38" s="7">
        <v>28279</v>
      </c>
      <c r="BB38" s="6">
        <v>22278</v>
      </c>
      <c r="BC38" s="4">
        <f t="shared" si="44"/>
        <v>5711</v>
      </c>
      <c r="BD38" s="13">
        <v>27989</v>
      </c>
      <c r="BE38" s="5">
        <f t="shared" si="45"/>
        <v>0.98974504048940914</v>
      </c>
      <c r="BF38" s="7">
        <v>42642</v>
      </c>
      <c r="BG38" s="6">
        <v>31511</v>
      </c>
      <c r="BH38" s="4">
        <f t="shared" si="46"/>
        <v>10202</v>
      </c>
      <c r="BI38" s="6">
        <v>41713</v>
      </c>
      <c r="BJ38" s="5">
        <f t="shared" si="47"/>
        <v>0.97821396744993194</v>
      </c>
    </row>
    <row r="39" spans="1:62" x14ac:dyDescent="0.3">
      <c r="A39" s="18">
        <v>31</v>
      </c>
      <c r="B39" s="3" t="s">
        <v>35</v>
      </c>
      <c r="C39" s="7">
        <v>256</v>
      </c>
      <c r="D39" s="6">
        <v>198</v>
      </c>
      <c r="E39" s="4">
        <f t="shared" si="24"/>
        <v>58</v>
      </c>
      <c r="F39" s="13">
        <v>256</v>
      </c>
      <c r="G39" s="5">
        <f t="shared" si="25"/>
        <v>1</v>
      </c>
      <c r="H39" s="7">
        <v>262</v>
      </c>
      <c r="I39" s="6">
        <v>192</v>
      </c>
      <c r="J39" s="4">
        <f t="shared" si="26"/>
        <v>64</v>
      </c>
      <c r="K39" s="13">
        <v>256</v>
      </c>
      <c r="L39" s="5">
        <f t="shared" si="27"/>
        <v>0.97709923664122134</v>
      </c>
      <c r="M39" s="7">
        <v>313</v>
      </c>
      <c r="N39" s="6">
        <v>237</v>
      </c>
      <c r="O39" s="4">
        <f t="shared" si="28"/>
        <v>71</v>
      </c>
      <c r="P39" s="13">
        <v>308</v>
      </c>
      <c r="Q39" s="5">
        <f t="shared" si="29"/>
        <v>0.98402555910543132</v>
      </c>
      <c r="R39" s="7">
        <v>264</v>
      </c>
      <c r="S39" s="6">
        <v>192</v>
      </c>
      <c r="T39" s="4">
        <f t="shared" si="30"/>
        <v>61</v>
      </c>
      <c r="U39" s="13">
        <v>253</v>
      </c>
      <c r="V39" s="5">
        <f t="shared" si="31"/>
        <v>0.95833333333333337</v>
      </c>
      <c r="W39" s="7">
        <v>265</v>
      </c>
      <c r="X39" s="6">
        <v>190</v>
      </c>
      <c r="Y39" s="4">
        <f t="shared" si="32"/>
        <v>66</v>
      </c>
      <c r="Z39" s="13">
        <v>256</v>
      </c>
      <c r="AA39" s="5">
        <f t="shared" si="33"/>
        <v>0.96603773584905661</v>
      </c>
      <c r="AB39" s="7">
        <v>322</v>
      </c>
      <c r="AC39" s="6">
        <v>241</v>
      </c>
      <c r="AD39" s="4">
        <f t="shared" si="34"/>
        <v>71</v>
      </c>
      <c r="AE39" s="13">
        <v>312</v>
      </c>
      <c r="AF39" s="5">
        <f t="shared" si="35"/>
        <v>0.96894409937888204</v>
      </c>
      <c r="AG39" s="7">
        <v>267</v>
      </c>
      <c r="AH39" s="6">
        <v>196</v>
      </c>
      <c r="AI39" s="4">
        <f t="shared" si="36"/>
        <v>59</v>
      </c>
      <c r="AJ39" s="13">
        <v>255</v>
      </c>
      <c r="AK39" s="5">
        <f t="shared" si="37"/>
        <v>0.9550561797752809</v>
      </c>
      <c r="AL39" s="7">
        <v>276</v>
      </c>
      <c r="AM39" s="6">
        <v>202</v>
      </c>
      <c r="AN39" s="4">
        <f t="shared" si="38"/>
        <v>61</v>
      </c>
      <c r="AO39" s="13">
        <v>263</v>
      </c>
      <c r="AP39" s="5">
        <f t="shared" si="39"/>
        <v>0.95289855072463769</v>
      </c>
      <c r="AQ39" s="7">
        <v>338</v>
      </c>
      <c r="AR39" s="6">
        <v>252</v>
      </c>
      <c r="AS39" s="4">
        <f t="shared" si="40"/>
        <v>71</v>
      </c>
      <c r="AT39" s="13">
        <v>323</v>
      </c>
      <c r="AU39" s="5">
        <f t="shared" si="41"/>
        <v>0.95562130177514792</v>
      </c>
      <c r="AV39" s="7">
        <v>279</v>
      </c>
      <c r="AW39" s="6">
        <v>216</v>
      </c>
      <c r="AX39" s="4">
        <f t="shared" si="42"/>
        <v>53</v>
      </c>
      <c r="AY39" s="13">
        <v>269</v>
      </c>
      <c r="AZ39" s="5">
        <f t="shared" si="43"/>
        <v>0.96415770609318996</v>
      </c>
      <c r="BA39" s="7">
        <v>291</v>
      </c>
      <c r="BB39" s="6">
        <v>218</v>
      </c>
      <c r="BC39" s="4">
        <f t="shared" si="44"/>
        <v>56</v>
      </c>
      <c r="BD39" s="13">
        <v>274</v>
      </c>
      <c r="BE39" s="5">
        <f t="shared" si="45"/>
        <v>0.94158075601374569</v>
      </c>
      <c r="BF39" s="7">
        <v>344</v>
      </c>
      <c r="BG39" s="6">
        <v>251</v>
      </c>
      <c r="BH39" s="4">
        <f t="shared" si="46"/>
        <v>84</v>
      </c>
      <c r="BI39" s="6">
        <v>335</v>
      </c>
      <c r="BJ39" s="5">
        <f t="shared" si="47"/>
        <v>0.97383720930232553</v>
      </c>
    </row>
    <row r="40" spans="1:62" x14ac:dyDescent="0.3">
      <c r="A40" s="18">
        <v>32</v>
      </c>
      <c r="B40" s="3" t="s">
        <v>36</v>
      </c>
      <c r="C40" s="7">
        <v>303894</v>
      </c>
      <c r="D40" s="6">
        <v>227915</v>
      </c>
      <c r="E40" s="4">
        <f t="shared" si="24"/>
        <v>73504</v>
      </c>
      <c r="F40" s="13">
        <v>301419</v>
      </c>
      <c r="G40" s="5">
        <f t="shared" si="25"/>
        <v>0.99185571284724283</v>
      </c>
      <c r="H40" s="7">
        <v>306465</v>
      </c>
      <c r="I40" s="6">
        <v>231460</v>
      </c>
      <c r="J40" s="4">
        <f t="shared" si="26"/>
        <v>71330</v>
      </c>
      <c r="K40" s="13">
        <v>302790</v>
      </c>
      <c r="L40" s="5">
        <f t="shared" si="27"/>
        <v>0.98800841857960942</v>
      </c>
      <c r="M40" s="7">
        <v>361770</v>
      </c>
      <c r="N40" s="6">
        <v>267814</v>
      </c>
      <c r="O40" s="4">
        <f t="shared" si="28"/>
        <v>90788</v>
      </c>
      <c r="P40" s="13">
        <v>358602</v>
      </c>
      <c r="Q40" s="5">
        <f t="shared" si="29"/>
        <v>0.99124305497968324</v>
      </c>
      <c r="R40" s="7">
        <v>306479</v>
      </c>
      <c r="S40" s="6">
        <v>234439</v>
      </c>
      <c r="T40" s="4">
        <f t="shared" si="30"/>
        <v>70237</v>
      </c>
      <c r="U40" s="13">
        <v>304676</v>
      </c>
      <c r="V40" s="5">
        <f t="shared" si="31"/>
        <v>0.99411705206555756</v>
      </c>
      <c r="W40" s="7">
        <v>309858</v>
      </c>
      <c r="X40" s="6">
        <v>235614</v>
      </c>
      <c r="Y40" s="4">
        <f t="shared" si="32"/>
        <v>70598</v>
      </c>
      <c r="Z40" s="13">
        <v>306212</v>
      </c>
      <c r="AA40" s="5">
        <f t="shared" si="33"/>
        <v>0.98823331977873741</v>
      </c>
      <c r="AB40" s="7">
        <v>365821</v>
      </c>
      <c r="AC40" s="6">
        <v>296785</v>
      </c>
      <c r="AD40" s="4">
        <f t="shared" si="34"/>
        <v>65942</v>
      </c>
      <c r="AE40" s="13">
        <v>362727</v>
      </c>
      <c r="AF40" s="5">
        <f t="shared" si="35"/>
        <v>0.99154231167702234</v>
      </c>
      <c r="AG40" s="7">
        <v>311342</v>
      </c>
      <c r="AH40" s="6">
        <v>235940</v>
      </c>
      <c r="AI40" s="4">
        <f t="shared" si="36"/>
        <v>73050</v>
      </c>
      <c r="AJ40" s="13">
        <v>308990</v>
      </c>
      <c r="AK40" s="5">
        <f t="shared" si="37"/>
        <v>0.9924456064392212</v>
      </c>
      <c r="AL40" s="7">
        <v>314792</v>
      </c>
      <c r="AM40" s="6">
        <v>241859</v>
      </c>
      <c r="AN40" s="4">
        <f t="shared" si="38"/>
        <v>70975</v>
      </c>
      <c r="AO40" s="13">
        <v>312834</v>
      </c>
      <c r="AP40" s="5">
        <f t="shared" si="39"/>
        <v>0.99378001982261299</v>
      </c>
      <c r="AQ40" s="7">
        <v>372144</v>
      </c>
      <c r="AR40" s="6">
        <v>294142</v>
      </c>
      <c r="AS40" s="4">
        <f t="shared" si="40"/>
        <v>75961</v>
      </c>
      <c r="AT40" s="13">
        <v>370103</v>
      </c>
      <c r="AU40" s="5">
        <f t="shared" si="41"/>
        <v>0.99451556386775009</v>
      </c>
      <c r="AV40" s="7">
        <v>317868</v>
      </c>
      <c r="AW40" s="6">
        <v>249816</v>
      </c>
      <c r="AX40" s="4">
        <f t="shared" si="42"/>
        <v>65798</v>
      </c>
      <c r="AY40" s="13">
        <v>315614</v>
      </c>
      <c r="AZ40" s="5">
        <f t="shared" si="43"/>
        <v>0.99290900625416845</v>
      </c>
      <c r="BA40" s="7">
        <v>321637</v>
      </c>
      <c r="BB40" s="6">
        <v>244633</v>
      </c>
      <c r="BC40" s="4">
        <f t="shared" si="44"/>
        <v>72872</v>
      </c>
      <c r="BD40" s="13">
        <v>317505</v>
      </c>
      <c r="BE40" s="5">
        <f t="shared" si="45"/>
        <v>0.9871532193124547</v>
      </c>
      <c r="BF40" s="7">
        <v>380248</v>
      </c>
      <c r="BG40" s="6">
        <v>280381</v>
      </c>
      <c r="BH40" s="4">
        <f t="shared" si="46"/>
        <v>91567</v>
      </c>
      <c r="BI40" s="6">
        <v>371948</v>
      </c>
      <c r="BJ40" s="5">
        <f t="shared" si="47"/>
        <v>0.97817214028739141</v>
      </c>
    </row>
    <row r="41" spans="1:62" x14ac:dyDescent="0.3">
      <c r="A41" s="18">
        <v>33</v>
      </c>
      <c r="B41" s="3" t="s">
        <v>37</v>
      </c>
      <c r="C41" s="7">
        <v>977433</v>
      </c>
      <c r="D41" s="6">
        <v>812212</v>
      </c>
      <c r="E41" s="4">
        <f t="shared" si="24"/>
        <v>163495</v>
      </c>
      <c r="F41" s="13">
        <v>975707</v>
      </c>
      <c r="G41" s="5">
        <f t="shared" si="25"/>
        <v>0.99823415006450567</v>
      </c>
      <c r="H41" s="7">
        <v>983280</v>
      </c>
      <c r="I41" s="6">
        <v>816694</v>
      </c>
      <c r="J41" s="4">
        <f t="shared" si="26"/>
        <v>163398</v>
      </c>
      <c r="K41" s="13">
        <v>980092</v>
      </c>
      <c r="L41" s="5">
        <f t="shared" si="27"/>
        <v>0.99675779025303068</v>
      </c>
      <c r="M41" s="7">
        <v>1084276</v>
      </c>
      <c r="N41" s="6">
        <v>891207</v>
      </c>
      <c r="O41" s="4">
        <f t="shared" si="28"/>
        <v>190726</v>
      </c>
      <c r="P41" s="13">
        <v>1081933</v>
      </c>
      <c r="Q41" s="5">
        <f t="shared" si="29"/>
        <v>0.99783911107503998</v>
      </c>
      <c r="R41" s="7">
        <v>988018</v>
      </c>
      <c r="S41" s="6">
        <v>824291</v>
      </c>
      <c r="T41" s="4">
        <f t="shared" si="30"/>
        <v>163962</v>
      </c>
      <c r="U41" s="13">
        <v>988253</v>
      </c>
      <c r="V41" s="5">
        <f t="shared" si="31"/>
        <v>1.000237849917714</v>
      </c>
      <c r="W41" s="7">
        <v>994033</v>
      </c>
      <c r="X41" s="6">
        <v>831459</v>
      </c>
      <c r="Y41" s="4">
        <f t="shared" si="32"/>
        <v>161697</v>
      </c>
      <c r="Z41" s="13">
        <v>993156</v>
      </c>
      <c r="AA41" s="5">
        <f t="shared" si="33"/>
        <v>0.99911773552789496</v>
      </c>
      <c r="AB41" s="7">
        <v>1097882</v>
      </c>
      <c r="AC41" s="6">
        <v>956599</v>
      </c>
      <c r="AD41" s="4">
        <f t="shared" si="34"/>
        <v>140094</v>
      </c>
      <c r="AE41" s="13">
        <v>1096693</v>
      </c>
      <c r="AF41" s="5">
        <f t="shared" si="35"/>
        <v>0.99891700565270225</v>
      </c>
      <c r="AG41" s="7">
        <v>1002140</v>
      </c>
      <c r="AH41" s="6">
        <v>844704</v>
      </c>
      <c r="AI41" s="4">
        <f t="shared" si="36"/>
        <v>157208</v>
      </c>
      <c r="AJ41" s="13">
        <v>1001912</v>
      </c>
      <c r="AK41" s="5">
        <f t="shared" si="37"/>
        <v>0.99977248687808096</v>
      </c>
      <c r="AL41" s="7">
        <v>1011306</v>
      </c>
      <c r="AM41" s="6">
        <v>863109</v>
      </c>
      <c r="AN41" s="4">
        <f t="shared" si="38"/>
        <v>151810</v>
      </c>
      <c r="AO41" s="13">
        <v>1014919</v>
      </c>
      <c r="AP41" s="5">
        <f t="shared" si="39"/>
        <v>1.0035726080929017</v>
      </c>
      <c r="AQ41" s="7">
        <v>1119532</v>
      </c>
      <c r="AR41" s="6">
        <v>935550</v>
      </c>
      <c r="AS41" s="4">
        <f t="shared" si="40"/>
        <v>187963</v>
      </c>
      <c r="AT41" s="13">
        <v>1123513</v>
      </c>
      <c r="AU41" s="5">
        <f t="shared" si="41"/>
        <v>1.0035559501648903</v>
      </c>
      <c r="AV41" s="7">
        <v>1028062</v>
      </c>
      <c r="AW41" s="6">
        <v>879708</v>
      </c>
      <c r="AX41" s="4">
        <f t="shared" si="42"/>
        <v>150081</v>
      </c>
      <c r="AY41" s="13">
        <v>1029789</v>
      </c>
      <c r="AZ41" s="5">
        <f t="shared" si="43"/>
        <v>1.0016798597749941</v>
      </c>
      <c r="BA41" s="7">
        <v>1037044</v>
      </c>
      <c r="BB41" s="6">
        <v>885686</v>
      </c>
      <c r="BC41" s="4">
        <f t="shared" si="44"/>
        <v>151501</v>
      </c>
      <c r="BD41" s="13">
        <v>1037187</v>
      </c>
      <c r="BE41" s="5">
        <f t="shared" si="45"/>
        <v>1.0001378919312971</v>
      </c>
      <c r="BF41" s="7">
        <v>1143357</v>
      </c>
      <c r="BG41" s="6">
        <v>943789</v>
      </c>
      <c r="BH41" s="4">
        <f t="shared" si="46"/>
        <v>196521</v>
      </c>
      <c r="BI41" s="6">
        <v>1140310</v>
      </c>
      <c r="BJ41" s="5">
        <f t="shared" si="47"/>
        <v>0.99733504058662348</v>
      </c>
    </row>
    <row r="42" spans="1:62" x14ac:dyDescent="0.3">
      <c r="A42" s="18">
        <v>34</v>
      </c>
      <c r="B42" s="3" t="s">
        <v>38</v>
      </c>
      <c r="C42" s="7">
        <v>19676</v>
      </c>
      <c r="D42" s="6">
        <v>15291</v>
      </c>
      <c r="E42" s="4">
        <f t="shared" si="24"/>
        <v>4280</v>
      </c>
      <c r="F42" s="13">
        <v>19571</v>
      </c>
      <c r="G42" s="5">
        <f t="shared" si="25"/>
        <v>0.99466354950193125</v>
      </c>
      <c r="H42" s="7">
        <v>19882</v>
      </c>
      <c r="I42" s="6">
        <v>15358</v>
      </c>
      <c r="J42" s="4">
        <f t="shared" si="26"/>
        <v>4310</v>
      </c>
      <c r="K42" s="13">
        <v>19668</v>
      </c>
      <c r="L42" s="5">
        <f t="shared" si="27"/>
        <v>0.98923649532240221</v>
      </c>
      <c r="M42" s="7">
        <v>21930</v>
      </c>
      <c r="N42" s="6">
        <v>16537</v>
      </c>
      <c r="O42" s="4">
        <f t="shared" si="28"/>
        <v>5207</v>
      </c>
      <c r="P42" s="13">
        <v>21744</v>
      </c>
      <c r="Q42" s="5">
        <f t="shared" si="29"/>
        <v>0.99151846785225717</v>
      </c>
      <c r="R42" s="7">
        <v>20021</v>
      </c>
      <c r="S42" s="6">
        <v>15436</v>
      </c>
      <c r="T42" s="4">
        <f t="shared" si="30"/>
        <v>4376</v>
      </c>
      <c r="U42" s="13">
        <v>19812</v>
      </c>
      <c r="V42" s="5">
        <f t="shared" si="31"/>
        <v>0.98956096099095947</v>
      </c>
      <c r="W42" s="7">
        <v>20153</v>
      </c>
      <c r="X42" s="6">
        <v>15663</v>
      </c>
      <c r="Y42" s="4">
        <f t="shared" si="32"/>
        <v>4245</v>
      </c>
      <c r="Z42" s="13">
        <v>19908</v>
      </c>
      <c r="AA42" s="5">
        <f t="shared" si="33"/>
        <v>0.98784300104202849</v>
      </c>
      <c r="AB42" s="7">
        <v>22238</v>
      </c>
      <c r="AC42" s="6">
        <v>18157</v>
      </c>
      <c r="AD42" s="4">
        <f t="shared" si="34"/>
        <v>3897</v>
      </c>
      <c r="AE42" s="13">
        <v>22054</v>
      </c>
      <c r="AF42" s="5">
        <f t="shared" si="35"/>
        <v>0.9917258746290134</v>
      </c>
      <c r="AG42" s="7">
        <v>20276</v>
      </c>
      <c r="AH42" s="6">
        <v>15808</v>
      </c>
      <c r="AI42" s="4">
        <f t="shared" si="36"/>
        <v>4345</v>
      </c>
      <c r="AJ42" s="13">
        <v>20153</v>
      </c>
      <c r="AK42" s="5">
        <f t="shared" si="37"/>
        <v>0.9939337147366345</v>
      </c>
      <c r="AL42" s="7">
        <v>20453</v>
      </c>
      <c r="AM42" s="6">
        <v>16418</v>
      </c>
      <c r="AN42" s="4">
        <f t="shared" si="38"/>
        <v>3916</v>
      </c>
      <c r="AO42" s="13">
        <v>20334</v>
      </c>
      <c r="AP42" s="5">
        <f t="shared" si="39"/>
        <v>0.99418178262357604</v>
      </c>
      <c r="AQ42" s="7">
        <v>22621</v>
      </c>
      <c r="AR42" s="6">
        <v>17730</v>
      </c>
      <c r="AS42" s="4">
        <f t="shared" si="40"/>
        <v>4838</v>
      </c>
      <c r="AT42" s="13">
        <v>22568</v>
      </c>
      <c r="AU42" s="5">
        <f t="shared" si="41"/>
        <v>0.99765704433933067</v>
      </c>
      <c r="AV42" s="7">
        <v>20714</v>
      </c>
      <c r="AW42" s="6">
        <v>16696</v>
      </c>
      <c r="AX42" s="4">
        <f t="shared" si="42"/>
        <v>3940</v>
      </c>
      <c r="AY42" s="13">
        <v>20636</v>
      </c>
      <c r="AZ42" s="5">
        <f t="shared" si="43"/>
        <v>0.99623443081973539</v>
      </c>
      <c r="BA42" s="7">
        <v>20927</v>
      </c>
      <c r="BB42" s="6">
        <v>16868</v>
      </c>
      <c r="BC42" s="4">
        <f t="shared" si="44"/>
        <v>3897</v>
      </c>
      <c r="BD42" s="13">
        <v>20765</v>
      </c>
      <c r="BE42" s="5">
        <f t="shared" si="45"/>
        <v>0.99225880441534864</v>
      </c>
      <c r="BF42" s="7">
        <v>23165</v>
      </c>
      <c r="BG42" s="6">
        <v>17947</v>
      </c>
      <c r="BH42" s="4">
        <f t="shared" si="46"/>
        <v>4907</v>
      </c>
      <c r="BI42" s="6">
        <v>22854</v>
      </c>
      <c r="BJ42" s="5">
        <f t="shared" si="47"/>
        <v>0.98657457371033885</v>
      </c>
    </row>
    <row r="43" spans="1:62" x14ac:dyDescent="0.3">
      <c r="A43" s="18">
        <v>35</v>
      </c>
      <c r="B43" s="3" t="s">
        <v>39</v>
      </c>
      <c r="C43" s="7">
        <v>3914</v>
      </c>
      <c r="D43" s="6">
        <v>2718</v>
      </c>
      <c r="E43" s="4">
        <f t="shared" si="24"/>
        <v>1169</v>
      </c>
      <c r="F43" s="13">
        <v>3887</v>
      </c>
      <c r="G43" s="5">
        <f t="shared" si="25"/>
        <v>0.99310168625447115</v>
      </c>
      <c r="H43" s="7">
        <v>3941</v>
      </c>
      <c r="I43" s="6">
        <v>2597</v>
      </c>
      <c r="J43" s="4">
        <f t="shared" si="26"/>
        <v>1327</v>
      </c>
      <c r="K43" s="13">
        <v>3924</v>
      </c>
      <c r="L43" s="5">
        <f t="shared" si="27"/>
        <v>0.99568637401674698</v>
      </c>
      <c r="M43" s="7">
        <v>4896</v>
      </c>
      <c r="N43" s="6">
        <v>3189</v>
      </c>
      <c r="O43" s="4">
        <f t="shared" si="28"/>
        <v>1672</v>
      </c>
      <c r="P43" s="13">
        <v>4861</v>
      </c>
      <c r="Q43" s="5">
        <f t="shared" si="29"/>
        <v>0.99285130718954251</v>
      </c>
      <c r="R43" s="7">
        <v>3969</v>
      </c>
      <c r="S43" s="6">
        <v>2703</v>
      </c>
      <c r="T43" s="4">
        <f t="shared" si="30"/>
        <v>1231</v>
      </c>
      <c r="U43" s="13">
        <v>3934</v>
      </c>
      <c r="V43" s="5">
        <f t="shared" si="31"/>
        <v>0.99118165784832446</v>
      </c>
      <c r="W43" s="7">
        <v>4009</v>
      </c>
      <c r="X43" s="6">
        <v>2726</v>
      </c>
      <c r="Y43" s="4">
        <f t="shared" si="32"/>
        <v>1249</v>
      </c>
      <c r="Z43" s="13">
        <v>3975</v>
      </c>
      <c r="AA43" s="5">
        <f t="shared" si="33"/>
        <v>0.991519082065353</v>
      </c>
      <c r="AB43" s="7">
        <v>4962</v>
      </c>
      <c r="AC43" s="6">
        <v>3609</v>
      </c>
      <c r="AD43" s="4">
        <f t="shared" si="34"/>
        <v>1321</v>
      </c>
      <c r="AE43" s="13">
        <v>4930</v>
      </c>
      <c r="AF43" s="5">
        <f t="shared" si="35"/>
        <v>0.99355098750503834</v>
      </c>
      <c r="AG43" s="7">
        <v>4018</v>
      </c>
      <c r="AH43" s="6">
        <v>2785</v>
      </c>
      <c r="AI43" s="4">
        <f t="shared" si="36"/>
        <v>1220</v>
      </c>
      <c r="AJ43" s="13">
        <v>4005</v>
      </c>
      <c r="AK43" s="5">
        <f t="shared" si="37"/>
        <v>0.99676455948232956</v>
      </c>
      <c r="AL43" s="7">
        <v>4086</v>
      </c>
      <c r="AM43" s="6">
        <v>2872</v>
      </c>
      <c r="AN43" s="4">
        <f t="shared" si="38"/>
        <v>1191</v>
      </c>
      <c r="AO43" s="13">
        <v>4063</v>
      </c>
      <c r="AP43" s="5">
        <f t="shared" si="39"/>
        <v>0.99437102300538427</v>
      </c>
      <c r="AQ43" s="7">
        <v>5072</v>
      </c>
      <c r="AR43" s="6">
        <v>3513</v>
      </c>
      <c r="AS43" s="4">
        <f t="shared" si="40"/>
        <v>1559</v>
      </c>
      <c r="AT43" s="13">
        <v>5072</v>
      </c>
      <c r="AU43" s="5">
        <f t="shared" si="41"/>
        <v>1</v>
      </c>
      <c r="AV43" s="7">
        <v>4151</v>
      </c>
      <c r="AW43" s="6">
        <v>2841</v>
      </c>
      <c r="AX43" s="4">
        <f t="shared" si="42"/>
        <v>1267</v>
      </c>
      <c r="AY43" s="13">
        <v>4108</v>
      </c>
      <c r="AZ43" s="5">
        <f t="shared" si="43"/>
        <v>0.98964105034931338</v>
      </c>
      <c r="BA43" s="7">
        <v>4249</v>
      </c>
      <c r="BB43" s="6">
        <v>2971</v>
      </c>
      <c r="BC43" s="4">
        <f t="shared" si="44"/>
        <v>1187</v>
      </c>
      <c r="BD43" s="13">
        <v>4158</v>
      </c>
      <c r="BE43" s="5">
        <f t="shared" si="45"/>
        <v>0.97858319604612853</v>
      </c>
      <c r="BF43" s="7">
        <v>5295</v>
      </c>
      <c r="BG43" s="6">
        <v>3299</v>
      </c>
      <c r="BH43" s="4">
        <f t="shared" si="46"/>
        <v>1788</v>
      </c>
      <c r="BI43" s="6">
        <v>5087</v>
      </c>
      <c r="BJ43" s="5">
        <f t="shared" si="47"/>
        <v>0.96071765816808308</v>
      </c>
    </row>
    <row r="44" spans="1:62" x14ac:dyDescent="0.3">
      <c r="A44" s="18">
        <v>36</v>
      </c>
      <c r="B44" s="3" t="s">
        <v>40</v>
      </c>
      <c r="C44" s="7">
        <v>383538</v>
      </c>
      <c r="D44" s="6">
        <v>295419</v>
      </c>
      <c r="E44" s="4">
        <f t="shared" si="24"/>
        <v>84230</v>
      </c>
      <c r="F44" s="13">
        <v>379649</v>
      </c>
      <c r="G44" s="5">
        <f t="shared" si="25"/>
        <v>0.98986019638210554</v>
      </c>
      <c r="H44" s="7">
        <v>388149</v>
      </c>
      <c r="I44" s="6">
        <v>300418</v>
      </c>
      <c r="J44" s="4">
        <f t="shared" si="26"/>
        <v>82550</v>
      </c>
      <c r="K44" s="13">
        <v>382968</v>
      </c>
      <c r="L44" s="5">
        <f t="shared" si="27"/>
        <v>0.98665203311099603</v>
      </c>
      <c r="M44" s="7">
        <v>456953</v>
      </c>
      <c r="N44" s="6">
        <v>349612</v>
      </c>
      <c r="O44" s="4">
        <f t="shared" si="28"/>
        <v>103482</v>
      </c>
      <c r="P44" s="13">
        <v>453094</v>
      </c>
      <c r="Q44" s="5">
        <f t="shared" si="29"/>
        <v>0.99155493015693075</v>
      </c>
      <c r="R44" s="7">
        <v>388846</v>
      </c>
      <c r="S44" s="6">
        <v>301787</v>
      </c>
      <c r="T44" s="4">
        <f t="shared" si="30"/>
        <v>83527</v>
      </c>
      <c r="U44" s="13">
        <v>385314</v>
      </c>
      <c r="V44" s="5">
        <f t="shared" si="31"/>
        <v>0.99091671252886748</v>
      </c>
      <c r="W44" s="7">
        <v>393146</v>
      </c>
      <c r="X44" s="6">
        <v>305708</v>
      </c>
      <c r="Y44" s="4">
        <f t="shared" si="32"/>
        <v>82140</v>
      </c>
      <c r="Z44" s="13">
        <v>387848</v>
      </c>
      <c r="AA44" s="5">
        <f t="shared" si="33"/>
        <v>0.98652409028706889</v>
      </c>
      <c r="AB44" s="7">
        <v>465292</v>
      </c>
      <c r="AC44" s="6">
        <v>378392</v>
      </c>
      <c r="AD44" s="4">
        <f t="shared" si="34"/>
        <v>81851</v>
      </c>
      <c r="AE44" s="13">
        <v>460243</v>
      </c>
      <c r="AF44" s="5">
        <f t="shared" si="35"/>
        <v>0.98914874960240018</v>
      </c>
      <c r="AG44" s="7">
        <v>393778</v>
      </c>
      <c r="AH44" s="6">
        <v>311206</v>
      </c>
      <c r="AI44" s="4">
        <f t="shared" si="36"/>
        <v>80443</v>
      </c>
      <c r="AJ44" s="13">
        <v>391649</v>
      </c>
      <c r="AK44" s="5">
        <f t="shared" si="37"/>
        <v>0.99459340034232491</v>
      </c>
      <c r="AL44" s="7">
        <v>398873</v>
      </c>
      <c r="AM44" s="6">
        <v>323525</v>
      </c>
      <c r="AN44" s="4">
        <f t="shared" si="38"/>
        <v>77736</v>
      </c>
      <c r="AO44" s="13">
        <v>401261</v>
      </c>
      <c r="AP44" s="5">
        <f t="shared" si="39"/>
        <v>1.0059868680005917</v>
      </c>
      <c r="AQ44" s="7">
        <v>476819</v>
      </c>
      <c r="AR44" s="6">
        <v>391434</v>
      </c>
      <c r="AS44" s="4">
        <f t="shared" si="40"/>
        <v>86715</v>
      </c>
      <c r="AT44" s="13">
        <v>478149</v>
      </c>
      <c r="AU44" s="5">
        <f t="shared" si="41"/>
        <v>1.002789318378672</v>
      </c>
      <c r="AV44" s="7">
        <v>408878</v>
      </c>
      <c r="AW44" s="6">
        <v>335378</v>
      </c>
      <c r="AX44" s="4">
        <f t="shared" si="42"/>
        <v>74283</v>
      </c>
      <c r="AY44" s="13">
        <v>409661</v>
      </c>
      <c r="AZ44" s="5">
        <f t="shared" si="43"/>
        <v>1.0019149966493672</v>
      </c>
      <c r="BA44" s="7">
        <v>416024</v>
      </c>
      <c r="BB44" s="6">
        <v>332685</v>
      </c>
      <c r="BC44" s="4">
        <f t="shared" si="44"/>
        <v>82107</v>
      </c>
      <c r="BD44" s="13">
        <v>414792</v>
      </c>
      <c r="BE44" s="5">
        <f t="shared" si="45"/>
        <v>0.99703863238659307</v>
      </c>
      <c r="BF44" s="7">
        <v>493955</v>
      </c>
      <c r="BG44" s="6">
        <v>380586</v>
      </c>
      <c r="BH44" s="4">
        <f t="shared" si="46"/>
        <v>107929</v>
      </c>
      <c r="BI44" s="6">
        <v>488515</v>
      </c>
      <c r="BJ44" s="5">
        <f t="shared" si="47"/>
        <v>0.98898685102893991</v>
      </c>
    </row>
    <row r="45" spans="1:62" x14ac:dyDescent="0.3">
      <c r="A45" s="18">
        <v>37</v>
      </c>
      <c r="B45" s="3" t="s">
        <v>41</v>
      </c>
      <c r="C45" s="7">
        <v>277496</v>
      </c>
      <c r="D45" s="6">
        <v>220958</v>
      </c>
      <c r="E45" s="4">
        <f t="shared" si="24"/>
        <v>56032</v>
      </c>
      <c r="F45" s="13">
        <v>276990</v>
      </c>
      <c r="G45" s="5">
        <f t="shared" si="25"/>
        <v>0.99817655029261687</v>
      </c>
      <c r="H45" s="7">
        <v>280269</v>
      </c>
      <c r="I45" s="6">
        <v>223137</v>
      </c>
      <c r="J45" s="4">
        <f t="shared" si="26"/>
        <v>55583</v>
      </c>
      <c r="K45" s="13">
        <v>278720</v>
      </c>
      <c r="L45" s="5">
        <f t="shared" si="27"/>
        <v>0.99447316685041875</v>
      </c>
      <c r="M45" s="7">
        <v>334005</v>
      </c>
      <c r="N45" s="6">
        <v>261510</v>
      </c>
      <c r="O45" s="4">
        <f t="shared" si="28"/>
        <v>70241</v>
      </c>
      <c r="P45" s="13">
        <v>331751</v>
      </c>
      <c r="Q45" s="5">
        <f t="shared" si="29"/>
        <v>0.99325159802996965</v>
      </c>
      <c r="R45" s="7">
        <v>281510</v>
      </c>
      <c r="S45" s="6">
        <v>226061</v>
      </c>
      <c r="T45" s="4">
        <f t="shared" si="30"/>
        <v>53796</v>
      </c>
      <c r="U45" s="13">
        <v>279857</v>
      </c>
      <c r="V45" s="5">
        <f t="shared" si="31"/>
        <v>0.99412809491669918</v>
      </c>
      <c r="W45" s="7">
        <v>284325</v>
      </c>
      <c r="X45" s="6">
        <v>226325</v>
      </c>
      <c r="Y45" s="4">
        <f t="shared" si="32"/>
        <v>54581</v>
      </c>
      <c r="Z45" s="13">
        <v>280906</v>
      </c>
      <c r="AA45" s="5">
        <f t="shared" si="33"/>
        <v>0.98797502857645303</v>
      </c>
      <c r="AB45" s="7">
        <v>338696</v>
      </c>
      <c r="AC45" s="6">
        <v>273192</v>
      </c>
      <c r="AD45" s="4">
        <f t="shared" si="34"/>
        <v>61555</v>
      </c>
      <c r="AE45" s="13">
        <v>334747</v>
      </c>
      <c r="AF45" s="5">
        <f t="shared" si="35"/>
        <v>0.98834057680043463</v>
      </c>
      <c r="AG45" s="7">
        <v>285325</v>
      </c>
      <c r="AH45" s="6">
        <v>225955</v>
      </c>
      <c r="AI45" s="4">
        <f t="shared" si="36"/>
        <v>56826</v>
      </c>
      <c r="AJ45" s="13">
        <v>282781</v>
      </c>
      <c r="AK45" s="5">
        <f t="shared" si="37"/>
        <v>0.99108385174800662</v>
      </c>
      <c r="AL45" s="7">
        <v>289428</v>
      </c>
      <c r="AM45" s="6">
        <v>236121</v>
      </c>
      <c r="AN45" s="4">
        <f t="shared" si="38"/>
        <v>53396</v>
      </c>
      <c r="AO45" s="13">
        <v>289517</v>
      </c>
      <c r="AP45" s="5">
        <f t="shared" si="39"/>
        <v>1.0003075030750308</v>
      </c>
      <c r="AQ45" s="7">
        <v>348161</v>
      </c>
      <c r="AR45" s="6">
        <v>280294</v>
      </c>
      <c r="AS45" s="4">
        <f t="shared" si="40"/>
        <v>66868</v>
      </c>
      <c r="AT45" s="13">
        <v>347162</v>
      </c>
      <c r="AU45" s="5">
        <f t="shared" si="41"/>
        <v>0.99713063783709266</v>
      </c>
      <c r="AV45" s="7">
        <v>296165</v>
      </c>
      <c r="AW45" s="6">
        <v>242033</v>
      </c>
      <c r="AX45" s="4">
        <f t="shared" si="42"/>
        <v>52920</v>
      </c>
      <c r="AY45" s="13">
        <v>294953</v>
      </c>
      <c r="AZ45" s="5">
        <f t="shared" si="43"/>
        <v>0.99590768659362183</v>
      </c>
      <c r="BA45" s="7">
        <v>300603</v>
      </c>
      <c r="BB45" s="6">
        <v>239483</v>
      </c>
      <c r="BC45" s="4">
        <f t="shared" si="44"/>
        <v>59017</v>
      </c>
      <c r="BD45" s="13">
        <v>298500</v>
      </c>
      <c r="BE45" s="5">
        <f t="shared" si="45"/>
        <v>0.99300406183571022</v>
      </c>
      <c r="BF45" s="7">
        <v>359430</v>
      </c>
      <c r="BG45" s="6">
        <v>273907</v>
      </c>
      <c r="BH45" s="4">
        <f t="shared" si="46"/>
        <v>80728</v>
      </c>
      <c r="BI45" s="6">
        <v>354635</v>
      </c>
      <c r="BJ45" s="5">
        <f t="shared" si="47"/>
        <v>0.9866594329911248</v>
      </c>
    </row>
    <row r="46" spans="1:62" x14ac:dyDescent="0.3">
      <c r="A46" s="18">
        <v>38</v>
      </c>
      <c r="B46" s="3" t="s">
        <v>42</v>
      </c>
      <c r="C46" s="7">
        <v>2430</v>
      </c>
      <c r="D46" s="6">
        <v>1866</v>
      </c>
      <c r="E46" s="4">
        <f t="shared" si="24"/>
        <v>645</v>
      </c>
      <c r="F46" s="13">
        <v>2511</v>
      </c>
      <c r="G46" s="5">
        <f t="shared" si="25"/>
        <v>1.0333333333333334</v>
      </c>
      <c r="H46" s="7">
        <v>2594</v>
      </c>
      <c r="I46" s="6">
        <v>1913</v>
      </c>
      <c r="J46" s="4">
        <f t="shared" si="26"/>
        <v>740</v>
      </c>
      <c r="K46" s="13">
        <v>2653</v>
      </c>
      <c r="L46" s="5">
        <f t="shared" si="27"/>
        <v>1.0227447956823439</v>
      </c>
      <c r="M46" s="7">
        <v>8454</v>
      </c>
      <c r="N46" s="6">
        <v>6596</v>
      </c>
      <c r="O46" s="4">
        <f t="shared" si="28"/>
        <v>2008</v>
      </c>
      <c r="P46" s="13">
        <v>8604</v>
      </c>
      <c r="Q46" s="5">
        <f t="shared" si="29"/>
        <v>1.0177430801987224</v>
      </c>
      <c r="R46" s="7">
        <v>2484</v>
      </c>
      <c r="S46" s="6">
        <v>1814</v>
      </c>
      <c r="T46" s="4">
        <f t="shared" si="30"/>
        <v>791</v>
      </c>
      <c r="U46" s="13">
        <v>2605</v>
      </c>
      <c r="V46" s="5">
        <f t="shared" si="31"/>
        <v>1.0487117552334944</v>
      </c>
      <c r="W46" s="7">
        <v>2748</v>
      </c>
      <c r="X46" s="6">
        <v>1922</v>
      </c>
      <c r="Y46" s="4">
        <f t="shared" si="32"/>
        <v>782</v>
      </c>
      <c r="Z46" s="13">
        <v>2704</v>
      </c>
      <c r="AA46" s="5">
        <f t="shared" si="33"/>
        <v>0.98398835516739447</v>
      </c>
      <c r="AB46" s="7">
        <v>8770</v>
      </c>
      <c r="AC46" s="6">
        <v>6743</v>
      </c>
      <c r="AD46" s="4">
        <f t="shared" si="34"/>
        <v>2098</v>
      </c>
      <c r="AE46" s="13">
        <v>8841</v>
      </c>
      <c r="AF46" s="5">
        <f t="shared" si="35"/>
        <v>1.0080957810718358</v>
      </c>
      <c r="AG46" s="7">
        <v>2523</v>
      </c>
      <c r="AH46" s="6">
        <v>1887</v>
      </c>
      <c r="AI46" s="4">
        <f t="shared" si="36"/>
        <v>685</v>
      </c>
      <c r="AJ46" s="13">
        <v>2572</v>
      </c>
      <c r="AK46" s="5">
        <f t="shared" si="37"/>
        <v>1.0194213238208483</v>
      </c>
      <c r="AL46" s="7">
        <v>2722</v>
      </c>
      <c r="AM46" s="6">
        <v>1987</v>
      </c>
      <c r="AN46" s="4">
        <f t="shared" si="38"/>
        <v>719</v>
      </c>
      <c r="AO46" s="13">
        <v>2706</v>
      </c>
      <c r="AP46" s="5">
        <f t="shared" si="39"/>
        <v>0.99412196914033801</v>
      </c>
      <c r="AQ46" s="7">
        <v>8967</v>
      </c>
      <c r="AR46" s="6">
        <v>7230</v>
      </c>
      <c r="AS46" s="4">
        <f t="shared" si="40"/>
        <v>1759</v>
      </c>
      <c r="AT46" s="13">
        <v>8989</v>
      </c>
      <c r="AU46" s="5">
        <f t="shared" si="41"/>
        <v>1.0024534403925505</v>
      </c>
      <c r="AV46" s="7">
        <v>2626</v>
      </c>
      <c r="AW46" s="6">
        <v>2130</v>
      </c>
      <c r="AX46" s="4">
        <f t="shared" si="42"/>
        <v>530</v>
      </c>
      <c r="AY46" s="13">
        <v>2660</v>
      </c>
      <c r="AZ46" s="5">
        <f t="shared" si="43"/>
        <v>1.012947448591013</v>
      </c>
      <c r="BA46" s="7">
        <v>2791</v>
      </c>
      <c r="BB46" s="6">
        <v>2165</v>
      </c>
      <c r="BC46" s="4">
        <f t="shared" si="44"/>
        <v>547</v>
      </c>
      <c r="BD46" s="13">
        <v>2712</v>
      </c>
      <c r="BE46" s="5">
        <f t="shared" si="45"/>
        <v>0.97169473307058407</v>
      </c>
      <c r="BF46" s="7">
        <v>9093</v>
      </c>
      <c r="BG46" s="6">
        <v>7187</v>
      </c>
      <c r="BH46" s="4">
        <f t="shared" si="46"/>
        <v>1806</v>
      </c>
      <c r="BI46" s="6">
        <v>8993</v>
      </c>
      <c r="BJ46" s="5">
        <f t="shared" si="47"/>
        <v>0.98900252941823386</v>
      </c>
    </row>
    <row r="47" spans="1:62" x14ac:dyDescent="0.3">
      <c r="A47" s="18">
        <v>97</v>
      </c>
      <c r="B47" s="3" t="s">
        <v>43</v>
      </c>
      <c r="C47" s="7">
        <v>109</v>
      </c>
      <c r="D47" s="6">
        <v>81</v>
      </c>
      <c r="E47" s="20">
        <f t="shared" si="24"/>
        <v>23</v>
      </c>
      <c r="F47" s="13">
        <v>104</v>
      </c>
      <c r="G47" s="21">
        <f t="shared" si="25"/>
        <v>0.95412844036697253</v>
      </c>
      <c r="H47" s="7">
        <v>98</v>
      </c>
      <c r="I47" s="6">
        <v>85</v>
      </c>
      <c r="J47" s="20">
        <f t="shared" si="26"/>
        <v>24</v>
      </c>
      <c r="K47" s="13">
        <v>109</v>
      </c>
      <c r="L47" s="21">
        <f t="shared" si="27"/>
        <v>1.1122448979591837</v>
      </c>
      <c r="M47" s="7">
        <v>123</v>
      </c>
      <c r="N47" s="6">
        <v>94</v>
      </c>
      <c r="O47" s="20">
        <f t="shared" si="28"/>
        <v>21</v>
      </c>
      <c r="P47" s="13">
        <v>115</v>
      </c>
      <c r="Q47" s="21">
        <f t="shared" si="29"/>
        <v>0.93495934959349591</v>
      </c>
      <c r="R47" s="7">
        <v>133</v>
      </c>
      <c r="S47" s="6">
        <v>78</v>
      </c>
      <c r="T47" s="20">
        <f t="shared" si="30"/>
        <v>6</v>
      </c>
      <c r="U47" s="13">
        <v>84</v>
      </c>
      <c r="V47" s="21">
        <f t="shared" si="31"/>
        <v>0.63157894736842102</v>
      </c>
      <c r="W47" s="7">
        <v>85</v>
      </c>
      <c r="X47" s="6">
        <v>69</v>
      </c>
      <c r="Y47" s="20">
        <f t="shared" si="32"/>
        <v>4</v>
      </c>
      <c r="Z47" s="13">
        <v>73</v>
      </c>
      <c r="AA47" s="21">
        <f t="shared" si="33"/>
        <v>0.85882352941176465</v>
      </c>
      <c r="AB47" s="7">
        <v>83</v>
      </c>
      <c r="AC47" s="6">
        <v>71</v>
      </c>
      <c r="AD47" s="20">
        <f t="shared" si="34"/>
        <v>5</v>
      </c>
      <c r="AE47" s="13">
        <v>76</v>
      </c>
      <c r="AF47" s="21">
        <f t="shared" si="35"/>
        <v>0.91566265060240959</v>
      </c>
      <c r="AG47" s="7">
        <v>76</v>
      </c>
      <c r="AH47" s="6">
        <v>65</v>
      </c>
      <c r="AI47" s="20">
        <f t="shared" si="36"/>
        <v>7</v>
      </c>
      <c r="AJ47" s="13">
        <v>72</v>
      </c>
      <c r="AK47" s="21">
        <f t="shared" si="37"/>
        <v>0.94736842105263153</v>
      </c>
      <c r="AL47" s="7">
        <v>76</v>
      </c>
      <c r="AM47" s="6">
        <v>67</v>
      </c>
      <c r="AN47" s="20">
        <f t="shared" si="38"/>
        <v>4</v>
      </c>
      <c r="AO47" s="13">
        <v>71</v>
      </c>
      <c r="AP47" s="21">
        <f t="shared" si="39"/>
        <v>0.93421052631578949</v>
      </c>
      <c r="AQ47" s="7">
        <v>79</v>
      </c>
      <c r="AR47" s="6">
        <v>70</v>
      </c>
      <c r="AS47" s="20">
        <f t="shared" si="40"/>
        <v>5</v>
      </c>
      <c r="AT47" s="13">
        <v>75</v>
      </c>
      <c r="AU47" s="21">
        <f t="shared" si="41"/>
        <v>0.94936708860759489</v>
      </c>
      <c r="AV47" s="7">
        <v>75</v>
      </c>
      <c r="AW47" s="6">
        <v>67</v>
      </c>
      <c r="AX47" s="20">
        <f t="shared" si="42"/>
        <v>5</v>
      </c>
      <c r="AY47" s="13">
        <v>72</v>
      </c>
      <c r="AZ47" s="21">
        <f t="shared" si="43"/>
        <v>0.96</v>
      </c>
      <c r="BA47" s="7">
        <v>76</v>
      </c>
      <c r="BB47" s="6">
        <v>62</v>
      </c>
      <c r="BC47" s="20">
        <f t="shared" si="44"/>
        <v>6</v>
      </c>
      <c r="BD47" s="13">
        <v>68</v>
      </c>
      <c r="BE47" s="21">
        <f t="shared" si="45"/>
        <v>0.89473684210526316</v>
      </c>
      <c r="BF47" s="7">
        <v>72</v>
      </c>
      <c r="BG47" s="6">
        <v>68</v>
      </c>
      <c r="BH47" s="20">
        <f t="shared" si="46"/>
        <v>4</v>
      </c>
      <c r="BI47" s="6">
        <v>72</v>
      </c>
      <c r="BJ47" s="21">
        <f t="shared" si="47"/>
        <v>1</v>
      </c>
    </row>
    <row r="48" spans="1:62" x14ac:dyDescent="0.3">
      <c r="A48" s="27" t="s">
        <v>44</v>
      </c>
      <c r="B48" s="27"/>
      <c r="C48" s="9">
        <f>SUM(C10:C47)</f>
        <v>8623084</v>
      </c>
      <c r="D48" s="9">
        <f>SUM(D10:D47)</f>
        <v>7002047</v>
      </c>
      <c r="E48" s="11">
        <f t="shared" si="24"/>
        <v>1592629</v>
      </c>
      <c r="F48" s="10">
        <f>SUM(F10:F47)</f>
        <v>8594676</v>
      </c>
      <c r="G48" s="12">
        <f t="shared" si="25"/>
        <v>0.99670558700344336</v>
      </c>
      <c r="H48" s="9">
        <f>SUM(H10:H47)</f>
        <v>8773119</v>
      </c>
      <c r="I48" s="9">
        <f>SUM(I10:I47)</f>
        <v>7149246</v>
      </c>
      <c r="J48" s="11">
        <f t="shared" si="26"/>
        <v>1554845</v>
      </c>
      <c r="K48" s="10">
        <f>SUM(K10:K47)</f>
        <v>8704091</v>
      </c>
      <c r="L48" s="12">
        <f t="shared" si="27"/>
        <v>0.99213187465028119</v>
      </c>
      <c r="M48" s="9">
        <f>SUM(M10:M47)</f>
        <v>13355491</v>
      </c>
      <c r="N48" s="9">
        <f>SUM(N10:N47)</f>
        <v>10769597</v>
      </c>
      <c r="O48" s="11">
        <f t="shared" si="28"/>
        <v>2528777</v>
      </c>
      <c r="P48" s="10">
        <f>SUM(P10:P47)</f>
        <v>13298374</v>
      </c>
      <c r="Q48" s="12">
        <f t="shared" si="29"/>
        <v>0.99572333207367669</v>
      </c>
      <c r="R48" s="9">
        <f>SUM(R10:R47)</f>
        <v>8770642</v>
      </c>
      <c r="S48" s="9">
        <f>SUM(S10:S47)</f>
        <v>7178201</v>
      </c>
      <c r="T48" s="11">
        <f t="shared" si="30"/>
        <v>1562718</v>
      </c>
      <c r="U48" s="10">
        <f>SUM(U10:U47)</f>
        <v>8740919</v>
      </c>
      <c r="V48" s="12">
        <f t="shared" si="31"/>
        <v>0.99661108046594538</v>
      </c>
      <c r="W48" s="9">
        <f>SUM(W10:W47)</f>
        <v>8932573</v>
      </c>
      <c r="X48" s="9">
        <f>SUM(X10:X47)</f>
        <v>7255973</v>
      </c>
      <c r="Y48" s="11">
        <f t="shared" si="32"/>
        <v>1575888</v>
      </c>
      <c r="Z48" s="10">
        <f>SUM(Z10:Z47)</f>
        <v>8831861</v>
      </c>
      <c r="AA48" s="12">
        <f t="shared" si="33"/>
        <v>0.98872530904589306</v>
      </c>
      <c r="AB48" s="9">
        <f>SUM(AB10:AB47)</f>
        <v>13607810</v>
      </c>
      <c r="AC48" s="9">
        <f>SUM(AC10:AC47)</f>
        <v>11136723</v>
      </c>
      <c r="AD48" s="11">
        <f t="shared" si="34"/>
        <v>2384884</v>
      </c>
      <c r="AE48" s="10">
        <f>SUM(AE10:AE47)</f>
        <v>13521607</v>
      </c>
      <c r="AF48" s="12">
        <f t="shared" si="35"/>
        <v>0.99366518198005405</v>
      </c>
      <c r="AG48" s="9">
        <f>SUM(AG10:AG47)</f>
        <v>8917104</v>
      </c>
      <c r="AH48" s="9">
        <f>SUM(AH10:AH47)</f>
        <v>7284859</v>
      </c>
      <c r="AI48" s="11">
        <f t="shared" si="36"/>
        <v>1594839</v>
      </c>
      <c r="AJ48" s="10">
        <f>SUM(AJ10:AJ47)</f>
        <v>8879698</v>
      </c>
      <c r="AK48" s="12">
        <f t="shared" si="37"/>
        <v>0.99580514032358491</v>
      </c>
      <c r="AL48" s="9">
        <f>SUM(AL10:AL47)</f>
        <v>9127360</v>
      </c>
      <c r="AM48" s="9">
        <f>SUM(AM10:AM47)</f>
        <v>7623880</v>
      </c>
      <c r="AN48" s="11">
        <f t="shared" si="38"/>
        <v>1518010</v>
      </c>
      <c r="AO48" s="10">
        <f>SUM(AO10:AO47)</f>
        <v>9141890</v>
      </c>
      <c r="AP48" s="12">
        <f t="shared" si="39"/>
        <v>1.0015919170493988</v>
      </c>
      <c r="AQ48" s="9">
        <f>SUM(AQ10:AQ47)</f>
        <v>13977125</v>
      </c>
      <c r="AR48" s="9">
        <f>SUM(AR10:AR47)</f>
        <v>11641061</v>
      </c>
      <c r="AS48" s="11">
        <f t="shared" si="40"/>
        <v>2341442</v>
      </c>
      <c r="AT48" s="10">
        <f>SUM(AT10:AT47)</f>
        <v>13982503</v>
      </c>
      <c r="AU48" s="12">
        <f t="shared" si="41"/>
        <v>1.0003847715463658</v>
      </c>
      <c r="AV48" s="9">
        <f>SUM(AV10:AV47)</f>
        <v>9250562</v>
      </c>
      <c r="AW48" s="9">
        <f>SUM(AW10:AW47)</f>
        <v>7799062</v>
      </c>
      <c r="AX48" s="11">
        <f t="shared" si="42"/>
        <v>1465135</v>
      </c>
      <c r="AY48" s="10">
        <f>SUM(AY10:AY47)</f>
        <v>9264197</v>
      </c>
      <c r="AZ48" s="12">
        <f t="shared" si="43"/>
        <v>1.0014739645007513</v>
      </c>
      <c r="BA48" s="9">
        <f>SUM(BA10:BA47)</f>
        <v>9470705</v>
      </c>
      <c r="BB48" s="9">
        <f>SUM(BB10:BB47)</f>
        <v>7891202</v>
      </c>
      <c r="BC48" s="11">
        <f t="shared" si="44"/>
        <v>1522617</v>
      </c>
      <c r="BD48" s="10">
        <f>SUM(BD10:BD47)</f>
        <v>9413819</v>
      </c>
      <c r="BE48" s="12">
        <f t="shared" si="45"/>
        <v>0.99399347778227698</v>
      </c>
      <c r="BF48" s="9">
        <f>SUM(BF10:BF47)</f>
        <v>14430593</v>
      </c>
      <c r="BG48" s="9">
        <f>SUM(BG10:BG47)</f>
        <v>11404971</v>
      </c>
      <c r="BH48" s="11">
        <f t="shared" si="46"/>
        <v>2843385</v>
      </c>
      <c r="BI48" s="10">
        <f>SUM(BI10:BI47)</f>
        <v>14248356</v>
      </c>
      <c r="BJ48" s="12">
        <f t="shared" si="47"/>
        <v>0.98737148223915672</v>
      </c>
    </row>
    <row r="50" spans="1:62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</row>
    <row r="51" spans="1:62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62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62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62" x14ac:dyDescent="0.3">
      <c r="A54" s="19" t="s">
        <v>45</v>
      </c>
      <c r="B54" s="19"/>
      <c r="C54" s="19"/>
      <c r="D54" s="19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62" x14ac:dyDescent="0.3"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62" x14ac:dyDescent="0.3"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62" x14ac:dyDescent="0.3"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</sheetData>
  <mergeCells count="16">
    <mergeCell ref="BF8:BJ8"/>
    <mergeCell ref="A48:B48"/>
    <mergeCell ref="A8:A9"/>
    <mergeCell ref="B8:B9"/>
    <mergeCell ref="H8:L8"/>
    <mergeCell ref="C8:G8"/>
    <mergeCell ref="BA8:BE8"/>
    <mergeCell ref="AV8:AZ8"/>
    <mergeCell ref="AQ8:AU8"/>
    <mergeCell ref="AL8:AP8"/>
    <mergeCell ref="A3:B3"/>
    <mergeCell ref="AG8:AK8"/>
    <mergeCell ref="AB8:AF8"/>
    <mergeCell ref="W8:AA8"/>
    <mergeCell ref="R8:V8"/>
    <mergeCell ref="M8:Q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GSTR-3B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Mandal</dc:creator>
  <cp:lastModifiedBy>Krishan Pal Singh</cp:lastModifiedBy>
  <dcterms:created xsi:type="dcterms:W3CDTF">2021-12-17T09:07:06Z</dcterms:created>
  <dcterms:modified xsi:type="dcterms:W3CDTF">2026-09-09T11:43:15Z</dcterms:modified>
</cp:coreProperties>
</file>