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1\"/>
    </mc:Choice>
  </mc:AlternateContent>
  <xr:revisionPtr revIDLastSave="0" documentId="13_ncr:1_{285A9926-5778-4281-9FA8-0FCF4F14A6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2" l="1"/>
  <c r="G35" i="2"/>
  <c r="J35" i="2"/>
  <c r="L35" i="2"/>
  <c r="O35" i="2"/>
  <c r="Q35" i="2"/>
  <c r="T35" i="2"/>
  <c r="V35" i="2"/>
  <c r="Y35" i="2"/>
  <c r="AA35" i="2"/>
  <c r="AD35" i="2"/>
  <c r="AF35" i="2"/>
  <c r="AI35" i="2"/>
  <c r="AK35" i="2"/>
  <c r="AN35" i="2"/>
  <c r="AP35" i="2"/>
  <c r="AS35" i="2"/>
  <c r="AU35" i="2"/>
  <c r="AX35" i="2"/>
  <c r="AZ35" i="2"/>
  <c r="BC35" i="2"/>
  <c r="BE35" i="2"/>
  <c r="BH35" i="2"/>
  <c r="BJ35" i="2"/>
  <c r="AT48" i="2" l="1"/>
  <c r="BF48" i="2" l="1"/>
  <c r="BA48" i="2"/>
  <c r="AV48" i="2"/>
  <c r="AQ48" i="2"/>
  <c r="AL48" i="2"/>
  <c r="AG48" i="2"/>
  <c r="AB48" i="2"/>
  <c r="W48" i="2"/>
  <c r="R48" i="2"/>
  <c r="M48" i="2"/>
  <c r="H48" i="2"/>
  <c r="C48" i="2"/>
  <c r="BI48" i="2" l="1"/>
  <c r="BG48" i="2"/>
  <c r="BJ47" i="2"/>
  <c r="BH47" i="2"/>
  <c r="BJ46" i="2"/>
  <c r="BH46" i="2"/>
  <c r="BJ45" i="2"/>
  <c r="BH45" i="2"/>
  <c r="BJ44" i="2"/>
  <c r="BH44" i="2"/>
  <c r="BJ43" i="2"/>
  <c r="BH43" i="2"/>
  <c r="BJ42" i="2"/>
  <c r="BH42" i="2"/>
  <c r="BJ41" i="2"/>
  <c r="BH41" i="2"/>
  <c r="BJ40" i="2"/>
  <c r="BH40" i="2"/>
  <c r="BJ39" i="2"/>
  <c r="BH39" i="2"/>
  <c r="BJ38" i="2"/>
  <c r="BH38" i="2"/>
  <c r="BJ37" i="2"/>
  <c r="BH37" i="2"/>
  <c r="BJ36" i="2"/>
  <c r="BH36" i="2"/>
  <c r="BJ33" i="2"/>
  <c r="BH33" i="2"/>
  <c r="BJ32" i="2"/>
  <c r="BH32" i="2"/>
  <c r="BJ31" i="2"/>
  <c r="BH31" i="2"/>
  <c r="BJ30" i="2"/>
  <c r="BH30" i="2"/>
  <c r="BJ29" i="2"/>
  <c r="BH29" i="2"/>
  <c r="BJ28" i="2"/>
  <c r="BH28" i="2"/>
  <c r="BJ27" i="2"/>
  <c r="BH27" i="2"/>
  <c r="BJ26" i="2"/>
  <c r="BH26" i="2"/>
  <c r="BJ25" i="2"/>
  <c r="BH25" i="2"/>
  <c r="BJ24" i="2"/>
  <c r="BH24" i="2"/>
  <c r="BJ23" i="2"/>
  <c r="BH23" i="2"/>
  <c r="BJ22" i="2"/>
  <c r="BH22" i="2"/>
  <c r="BJ21" i="2"/>
  <c r="BH21" i="2"/>
  <c r="BJ20" i="2"/>
  <c r="BH20" i="2"/>
  <c r="BJ19" i="2"/>
  <c r="BH19" i="2"/>
  <c r="BJ18" i="2"/>
  <c r="BH18" i="2"/>
  <c r="BJ17" i="2"/>
  <c r="BH17" i="2"/>
  <c r="BJ16" i="2"/>
  <c r="BH16" i="2"/>
  <c r="BJ15" i="2"/>
  <c r="BH15" i="2"/>
  <c r="BJ14" i="2"/>
  <c r="BH14" i="2"/>
  <c r="BJ13" i="2"/>
  <c r="BH13" i="2"/>
  <c r="BJ12" i="2"/>
  <c r="BH12" i="2"/>
  <c r="BJ11" i="2"/>
  <c r="BH11" i="2"/>
  <c r="BJ10" i="2"/>
  <c r="BH10" i="2"/>
  <c r="BJ48" i="2" l="1"/>
  <c r="BH48" i="2"/>
  <c r="BB48" i="2"/>
  <c r="AW48" i="2"/>
  <c r="AR48" i="2"/>
  <c r="AM48" i="2"/>
  <c r="AH48" i="2"/>
  <c r="AC48" i="2"/>
  <c r="X48" i="2"/>
  <c r="S48" i="2"/>
  <c r="N48" i="2"/>
  <c r="I48" i="2"/>
  <c r="D48" i="2"/>
  <c r="BD48" i="2"/>
  <c r="AJ48" i="2"/>
  <c r="Z48" i="2"/>
  <c r="AO48" i="2"/>
  <c r="AE48" i="2"/>
  <c r="U48" i="2"/>
  <c r="P48" i="2"/>
  <c r="K48" i="2"/>
  <c r="F48" i="2"/>
  <c r="AS48" i="2" l="1"/>
  <c r="E48" i="2"/>
  <c r="J48" i="2"/>
  <c r="O48" i="2"/>
  <c r="T48" i="2"/>
  <c r="AD48" i="2"/>
  <c r="AN48" i="2"/>
  <c r="AI48" i="2"/>
  <c r="Y48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10" i="2"/>
  <c r="BE11" i="2" l="1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10" i="2"/>
  <c r="BE48" i="2"/>
  <c r="G48" i="2" l="1"/>
  <c r="L48" i="2"/>
  <c r="Q48" i="2"/>
  <c r="V48" i="2"/>
  <c r="AA48" i="2"/>
  <c r="AF48" i="2"/>
  <c r="AK48" i="2"/>
  <c r="AP48" i="2"/>
  <c r="AU48" i="2"/>
  <c r="AZ11" i="2" l="1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Z10" i="2"/>
  <c r="AU10" i="2"/>
  <c r="AP10" i="2"/>
  <c r="AX10" i="2"/>
  <c r="AS10" i="2"/>
  <c r="AN10" i="2"/>
  <c r="AK11" i="2" l="1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6" i="2"/>
  <c r="Y37" i="2"/>
  <c r="Y38" i="2"/>
  <c r="Y39" i="2"/>
  <c r="Y40" i="2"/>
  <c r="Y41" i="2"/>
  <c r="Y42" i="2"/>
  <c r="Y43" i="2"/>
  <c r="Y44" i="2"/>
  <c r="Y45" i="2"/>
  <c r="Y46" i="2"/>
  <c r="Y47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6" i="2"/>
  <c r="V37" i="2"/>
  <c r="V38" i="2"/>
  <c r="V39" i="2"/>
  <c r="V40" i="2"/>
  <c r="V41" i="2"/>
  <c r="V42" i="2"/>
  <c r="V43" i="2"/>
  <c r="V44" i="2"/>
  <c r="V45" i="2"/>
  <c r="V46" i="2"/>
  <c r="V47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6" i="2"/>
  <c r="T37" i="2"/>
  <c r="T38" i="2"/>
  <c r="T39" i="2"/>
  <c r="T40" i="2"/>
  <c r="T41" i="2"/>
  <c r="T42" i="2"/>
  <c r="T43" i="2"/>
  <c r="T44" i="2"/>
  <c r="T45" i="2"/>
  <c r="T46" i="2"/>
  <c r="T47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6" i="2"/>
  <c r="Q37" i="2"/>
  <c r="Q38" i="2"/>
  <c r="Q39" i="2"/>
  <c r="Q40" i="2"/>
  <c r="Q41" i="2"/>
  <c r="Q42" i="2"/>
  <c r="Q43" i="2"/>
  <c r="Q44" i="2"/>
  <c r="Q45" i="2"/>
  <c r="Q46" i="2"/>
  <c r="Q47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6" i="2"/>
  <c r="O37" i="2"/>
  <c r="O38" i="2"/>
  <c r="O39" i="2"/>
  <c r="O40" i="2"/>
  <c r="O41" i="2"/>
  <c r="O42" i="2"/>
  <c r="O43" i="2"/>
  <c r="O44" i="2"/>
  <c r="O45" i="2"/>
  <c r="O46" i="2"/>
  <c r="O4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6" i="2"/>
  <c r="L37" i="2"/>
  <c r="L38" i="2"/>
  <c r="L39" i="2"/>
  <c r="L40" i="2"/>
  <c r="L41" i="2"/>
  <c r="L42" i="2"/>
  <c r="L43" i="2"/>
  <c r="L44" i="2"/>
  <c r="L45" i="2"/>
  <c r="L46" i="2"/>
  <c r="L47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6" i="2"/>
  <c r="J37" i="2"/>
  <c r="J38" i="2"/>
  <c r="J39" i="2"/>
  <c r="J40" i="2"/>
  <c r="J41" i="2"/>
  <c r="J42" i="2"/>
  <c r="J43" i="2"/>
  <c r="J44" i="2"/>
  <c r="J45" i="2"/>
  <c r="J46" i="2"/>
  <c r="J47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6" i="2"/>
  <c r="G37" i="2"/>
  <c r="G38" i="2"/>
  <c r="G39" i="2"/>
  <c r="G40" i="2"/>
  <c r="G41" i="2"/>
  <c r="G42" i="2"/>
  <c r="G43" i="2"/>
  <c r="G44" i="2"/>
  <c r="G45" i="2"/>
  <c r="G46" i="2"/>
  <c r="G47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6" i="2"/>
  <c r="E37" i="2"/>
  <c r="E38" i="2"/>
  <c r="E39" i="2"/>
  <c r="E40" i="2"/>
  <c r="E41" i="2"/>
  <c r="E42" i="2"/>
  <c r="E43" i="2"/>
  <c r="E44" i="2"/>
  <c r="E45" i="2"/>
  <c r="E46" i="2"/>
  <c r="E47" i="2"/>
  <c r="AK10" i="2"/>
  <c r="AF10" i="2"/>
  <c r="AA10" i="2"/>
  <c r="V10" i="2"/>
  <c r="L10" i="2"/>
  <c r="G10" i="2"/>
  <c r="AI10" i="2"/>
  <c r="AD10" i="2"/>
  <c r="Y10" i="2"/>
  <c r="T10" i="2"/>
  <c r="J10" i="2"/>
  <c r="E10" i="2"/>
  <c r="Q10" i="2" l="1"/>
  <c r="O10" i="2" l="1"/>
  <c r="AY48" i="2"/>
  <c r="AZ48" i="2" l="1"/>
  <c r="AX48" i="2"/>
</calcChain>
</file>

<file path=xl/sharedStrings.xml><?xml version="1.0" encoding="utf-8"?>
<sst xmlns="http://schemas.openxmlformats.org/spreadsheetml/2006/main" count="104" uniqueCount="49">
  <si>
    <t>STATE WISE RETURN PERIOD WISE GSTR-1 FILING SUMMARY</t>
  </si>
  <si>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</si>
  <si>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</si>
  <si>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</si>
  <si>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</si>
  <si>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</si>
  <si>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</si>
  <si>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</si>
  <si>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</si>
  <si>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</si>
  <si>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</si>
  <si>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</si>
  <si>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</si>
  <si>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</si>
  <si>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</si>
  <si>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</si>
  <si>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</si>
  <si>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</si>
  <si>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</si>
  <si>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</si>
  <si>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</si>
  <si>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</si>
  <si>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</si>
  <si>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</si>
  <si>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</si>
  <si>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</si>
  <si>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</si>
  <si>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</si>
  <si>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</si>
  <si>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</si>
  <si>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</si>
  <si>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</si>
  <si>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</si>
  <si>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</si>
  <si>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</si>
  <si>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</si>
  <si>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</si>
  <si>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</si>
  <si>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</si>
  <si>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</si>
  <si>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</si>
  <si>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Grand Total</t>
  </si>
  <si>
    <t>FINANCIAL YEAR 2021-2022</t>
  </si>
  <si>
    <t>Chhattisgarh</t>
  </si>
  <si>
    <t>Maharashtra</t>
  </si>
  <si>
    <t>Andaman and Nicobar Islands</t>
  </si>
  <si>
    <t>Gujarat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</si>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</sst>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166" fontId="0" fillId="0" borderId="1" xfId="3" applyNumberFormat="1" applyFont="1" applyFill="1" applyBorder="1" applyAlignment="1">
      <alignment horizontal="right" vertical="center" wrapText="1"/>
    </xf>
    <xf numFmtId="166" fontId="0" fillId="0" borderId="1" xfId="3" applyNumberFormat="1" applyFont="1" applyFill="1" applyBorder="1"/>
    <xf numFmtId="165" fontId="0" fillId="0" borderId="1" xfId="0" applyNumberFormat="1" applyBorder="1" applyAlignment="1">
      <alignment horizontal="right" vertical="center" wrapText="1"/>
    </xf>
    <xf numFmtId="165" fontId="0" fillId="0" borderId="1" xfId="0" applyNumberFormat="1" applyBorder="1"/>
    <xf numFmtId="10" fontId="0" fillId="0" borderId="1" xfId="1" applyNumberFormat="1" applyFont="1" applyFill="1" applyBorder="1" applyAlignment="1">
      <alignment horizontal="right" vertical="center" wrapText="1"/>
    </xf>
    <xf numFmtId="10" fontId="4" fillId="2" borderId="1" xfId="1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/>
    <xf numFmtId="165" fontId="2" fillId="2" borderId="1" xfId="2" applyNumberFormat="1" applyFont="1" applyFill="1" applyBorder="1" applyAlignment="1">
      <alignment horizontal="center" vertical="center" wrapText="1"/>
    </xf>
    <xf numFmtId="166" fontId="4" fillId="2" borderId="1" xfId="3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0" xfId="0" applyFont="1" applyFill="1"/>
    <xf numFmtId="1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6">
    <cellStyle name="Comma" xfId="3" builtinId="3"/>
    <cellStyle name="Comma 2" xfId="2" xr:uid="{00000000-0005-0000-0000-000001000000}"/>
    <cellStyle name="Comma 2 2" xfId="4" xr:uid="{00000000-0005-0000-0000-000002000000}"/>
    <cellStyle name="Comma 3" xfId="5" xr:uid="{00000000-0005-0000-0000-000003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8"/>
  <sheetViews>
    <sheetView tabSelected="1" zoomScale="55" zoomScaleNormal="55" workbookViewId="0">
      <pane xSplit="2" ySplit="9" topLeftCell="AS10" activePane="bottomRight" state="frozen"/>
      <selection pane="topRight" activeCell="C1" sqref="C1"/>
      <selection pane="bottomLeft" activeCell="A10" sqref="A10"/>
      <selection pane="bottomRight" activeCell="A47" sqref="A47"/>
    </sheetView>
  </sheetViews>
  <sheetFormatPr defaultColWidth="8.77734375" defaultRowHeight="14.4" x14ac:dyDescent="0.3"/>
  <cols>
    <col min="1" max="1" width="10" customWidth="1"/>
    <col min="2" max="2" width="26.77734375" bestFit="1" customWidth="1"/>
    <col min="3" max="62" width="18.77734375" customWidth="1"/>
  </cols>
  <sheetData>
    <row r="1" spans="1:62" ht="15.6" x14ac:dyDescent="0.3">
      <c r="A1" s="17" t="s">
        <v>0</v>
      </c>
      <c r="B1" s="17"/>
      <c r="C1" s="17"/>
      <c r="D1" s="17"/>
      <c r="E1" s="17"/>
    </row>
    <row r="2" spans="1:62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62" ht="15.6" x14ac:dyDescent="0.3">
      <c r="A3" s="20" t="s">
        <v>42</v>
      </c>
      <c r="B3" s="20"/>
      <c r="C3" s="1"/>
      <c r="D3" s="1"/>
      <c r="E3" s="1"/>
      <c r="F3" s="1"/>
      <c r="G3" s="1"/>
      <c r="H3" s="1"/>
      <c r="I3" s="1"/>
      <c r="J3" s="1"/>
      <c r="K3" s="1"/>
      <c r="L3" s="1"/>
    </row>
    <row r="4" spans="1:62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62" ht="15.6" x14ac:dyDescent="0.3">
      <c r="A5" s="20" t="s">
        <v>47</v>
      </c>
      <c r="B5" s="20"/>
      <c r="C5" s="20"/>
    </row>
    <row r="8" spans="1:62" s="13" customFormat="1" ht="15.6" x14ac:dyDescent="0.3">
      <c r="A8" s="21" t="s">
        <v>1</v>
      </c>
      <c r="B8" s="19" t="s">
        <v>2</v>
      </c>
      <c r="C8" s="22">
        <v>44287</v>
      </c>
      <c r="D8" s="23"/>
      <c r="E8" s="23"/>
      <c r="F8" s="23"/>
      <c r="G8" s="24"/>
      <c r="H8" s="18">
        <v>44317</v>
      </c>
      <c r="I8" s="19"/>
      <c r="J8" s="19"/>
      <c r="K8" s="19"/>
      <c r="L8" s="19"/>
      <c r="M8" s="18">
        <v>44348</v>
      </c>
      <c r="N8" s="19"/>
      <c r="O8" s="19"/>
      <c r="P8" s="19"/>
      <c r="Q8" s="19"/>
      <c r="R8" s="18">
        <v>44378</v>
      </c>
      <c r="S8" s="19"/>
      <c r="T8" s="19"/>
      <c r="U8" s="19"/>
      <c r="V8" s="19"/>
      <c r="W8" s="18">
        <v>44409</v>
      </c>
      <c r="X8" s="19"/>
      <c r="Y8" s="19"/>
      <c r="Z8" s="19"/>
      <c r="AA8" s="19"/>
      <c r="AB8" s="18">
        <v>44440</v>
      </c>
      <c r="AC8" s="19"/>
      <c r="AD8" s="19"/>
      <c r="AE8" s="19"/>
      <c r="AF8" s="19"/>
      <c r="AG8" s="18">
        <v>44470</v>
      </c>
      <c r="AH8" s="19"/>
      <c r="AI8" s="19"/>
      <c r="AJ8" s="19"/>
      <c r="AK8" s="19"/>
      <c r="AL8" s="18">
        <v>44501</v>
      </c>
      <c r="AM8" s="19"/>
      <c r="AN8" s="19"/>
      <c r="AO8" s="19"/>
      <c r="AP8" s="19"/>
      <c r="AQ8" s="18">
        <v>44531</v>
      </c>
      <c r="AR8" s="19"/>
      <c r="AS8" s="19"/>
      <c r="AT8" s="19"/>
      <c r="AU8" s="19"/>
      <c r="AV8" s="18">
        <v>44562</v>
      </c>
      <c r="AW8" s="19"/>
      <c r="AX8" s="19"/>
      <c r="AY8" s="19"/>
      <c r="AZ8" s="19"/>
      <c r="BA8" s="18">
        <v>44593</v>
      </c>
      <c r="BB8" s="19"/>
      <c r="BC8" s="19"/>
      <c r="BD8" s="19"/>
      <c r="BE8" s="19"/>
      <c r="BF8" s="18">
        <v>44621</v>
      </c>
      <c r="BG8" s="19"/>
      <c r="BH8" s="19"/>
      <c r="BI8" s="19"/>
      <c r="BJ8" s="19"/>
    </row>
    <row r="9" spans="1:62" s="13" customFormat="1" ht="46.8" x14ac:dyDescent="0.3">
      <c r="A9" s="21"/>
      <c r="B9" s="19"/>
      <c r="C9" s="14" t="s">
        <v>3</v>
      </c>
      <c r="D9" s="14" t="s">
        <v>4</v>
      </c>
      <c r="E9" s="14" t="s">
        <v>5</v>
      </c>
      <c r="F9" s="11" t="s">
        <v>6</v>
      </c>
      <c r="G9" s="14" t="s">
        <v>48</v>
      </c>
      <c r="H9" s="14" t="s">
        <v>3</v>
      </c>
      <c r="I9" s="14" t="s">
        <v>4</v>
      </c>
      <c r="J9" s="14" t="s">
        <v>5</v>
      </c>
      <c r="K9" s="11" t="s">
        <v>6</v>
      </c>
      <c r="L9" s="14" t="s">
        <v>48</v>
      </c>
      <c r="M9" s="14" t="s">
        <v>3</v>
      </c>
      <c r="N9" s="14" t="s">
        <v>4</v>
      </c>
      <c r="O9" s="14" t="s">
        <v>5</v>
      </c>
      <c r="P9" s="11" t="s">
        <v>6</v>
      </c>
      <c r="Q9" s="14" t="s">
        <v>48</v>
      </c>
      <c r="R9" s="14" t="s">
        <v>3</v>
      </c>
      <c r="S9" s="14" t="s">
        <v>4</v>
      </c>
      <c r="T9" s="14" t="s">
        <v>5</v>
      </c>
      <c r="U9" s="11" t="s">
        <v>6</v>
      </c>
      <c r="V9" s="14" t="s">
        <v>48</v>
      </c>
      <c r="W9" s="14" t="s">
        <v>3</v>
      </c>
      <c r="X9" s="14" t="s">
        <v>4</v>
      </c>
      <c r="Y9" s="14" t="s">
        <v>5</v>
      </c>
      <c r="Z9" s="11" t="s">
        <v>6</v>
      </c>
      <c r="AA9" s="14" t="s">
        <v>48</v>
      </c>
      <c r="AB9" s="14" t="s">
        <v>3</v>
      </c>
      <c r="AC9" s="14" t="s">
        <v>4</v>
      </c>
      <c r="AD9" s="14" t="s">
        <v>5</v>
      </c>
      <c r="AE9" s="11" t="s">
        <v>6</v>
      </c>
      <c r="AF9" s="14" t="s">
        <v>48</v>
      </c>
      <c r="AG9" s="14" t="s">
        <v>3</v>
      </c>
      <c r="AH9" s="14" t="s">
        <v>4</v>
      </c>
      <c r="AI9" s="14" t="s">
        <v>5</v>
      </c>
      <c r="AJ9" s="11" t="s">
        <v>6</v>
      </c>
      <c r="AK9" s="14" t="s">
        <v>48</v>
      </c>
      <c r="AL9" s="14" t="s">
        <v>3</v>
      </c>
      <c r="AM9" s="14" t="s">
        <v>4</v>
      </c>
      <c r="AN9" s="14" t="s">
        <v>5</v>
      </c>
      <c r="AO9" s="11" t="s">
        <v>6</v>
      </c>
      <c r="AP9" s="14" t="s">
        <v>48</v>
      </c>
      <c r="AQ9" s="14" t="s">
        <v>3</v>
      </c>
      <c r="AR9" s="14" t="s">
        <v>4</v>
      </c>
      <c r="AS9" s="14" t="s">
        <v>5</v>
      </c>
      <c r="AT9" s="11" t="s">
        <v>6</v>
      </c>
      <c r="AU9" s="14" t="s">
        <v>48</v>
      </c>
      <c r="AV9" s="14" t="s">
        <v>3</v>
      </c>
      <c r="AW9" s="14" t="s">
        <v>4</v>
      </c>
      <c r="AX9" s="14" t="s">
        <v>5</v>
      </c>
      <c r="AY9" s="11" t="s">
        <v>6</v>
      </c>
      <c r="AZ9" s="14" t="s">
        <v>48</v>
      </c>
      <c r="BA9" s="14" t="s">
        <v>3</v>
      </c>
      <c r="BB9" s="14" t="s">
        <v>4</v>
      </c>
      <c r="BC9" s="14" t="s">
        <v>5</v>
      </c>
      <c r="BD9" s="11" t="s">
        <v>6</v>
      </c>
      <c r="BE9" s="14" t="s">
        <v>48</v>
      </c>
      <c r="BF9" s="14" t="s">
        <v>3</v>
      </c>
      <c r="BG9" s="14" t="s">
        <v>4</v>
      </c>
      <c r="BH9" s="14" t="s">
        <v>5</v>
      </c>
      <c r="BI9" s="11" t="s">
        <v>6</v>
      </c>
      <c r="BJ9" s="14" t="s">
        <v>48</v>
      </c>
    </row>
    <row r="10" spans="1:62" x14ac:dyDescent="0.3">
      <c r="A10" s="15">
        <v>1</v>
      </c>
      <c r="B10" s="2" t="s">
        <v>7</v>
      </c>
      <c r="C10" s="3">
        <v>54507</v>
      </c>
      <c r="D10" s="3">
        <v>5487</v>
      </c>
      <c r="E10" s="6">
        <f>F10-D10</f>
        <v>46329</v>
      </c>
      <c r="F10" s="5">
        <v>51816</v>
      </c>
      <c r="G10" s="7">
        <f>F10/C10</f>
        <v>0.95063019428697226</v>
      </c>
      <c r="H10" s="3">
        <v>53973</v>
      </c>
      <c r="I10" s="4">
        <v>6160</v>
      </c>
      <c r="J10" s="6">
        <f>K10-I10</f>
        <v>45941</v>
      </c>
      <c r="K10" s="5">
        <v>52101</v>
      </c>
      <c r="L10" s="7">
        <f>K10/H10</f>
        <v>0.96531599132899781</v>
      </c>
      <c r="M10" s="2">
        <v>85686</v>
      </c>
      <c r="N10" s="2">
        <v>23258</v>
      </c>
      <c r="O10" s="6">
        <f>P10-N10</f>
        <v>58834</v>
      </c>
      <c r="P10" s="5">
        <v>82092</v>
      </c>
      <c r="Q10" s="7">
        <f>P10/M10</f>
        <v>0.95805615853231563</v>
      </c>
      <c r="R10" s="5">
        <v>56418</v>
      </c>
      <c r="S10" s="5">
        <v>18771</v>
      </c>
      <c r="T10" s="6">
        <f>U10-S10</f>
        <v>35690</v>
      </c>
      <c r="U10" s="5">
        <v>54461</v>
      </c>
      <c r="V10" s="7">
        <f>U10/R10</f>
        <v>0.9653124889219753</v>
      </c>
      <c r="W10" s="5">
        <v>59030</v>
      </c>
      <c r="X10" s="5">
        <v>19710</v>
      </c>
      <c r="Y10" s="6">
        <f>Z10-X10</f>
        <v>36751</v>
      </c>
      <c r="Z10" s="5">
        <v>56461</v>
      </c>
      <c r="AA10" s="7">
        <f>Z10/W10</f>
        <v>0.95647975605624258</v>
      </c>
      <c r="AB10" s="6">
        <v>93037</v>
      </c>
      <c r="AC10" s="2">
        <v>37652</v>
      </c>
      <c r="AD10" s="6">
        <f>AE10-AC10</f>
        <v>50419</v>
      </c>
      <c r="AE10" s="5">
        <v>88071</v>
      </c>
      <c r="AF10" s="7">
        <f>AE10/AB10</f>
        <v>0.94662338639466015</v>
      </c>
      <c r="AG10" s="5">
        <v>60457</v>
      </c>
      <c r="AH10" s="5">
        <v>23955</v>
      </c>
      <c r="AI10" s="6">
        <f>AJ10-AH10</f>
        <v>33553</v>
      </c>
      <c r="AJ10" s="5">
        <v>57508</v>
      </c>
      <c r="AK10" s="7">
        <f>AJ10/AG10</f>
        <v>0.95122152935143989</v>
      </c>
      <c r="AL10" s="5">
        <v>62407</v>
      </c>
      <c r="AM10" s="5">
        <v>43685</v>
      </c>
      <c r="AN10" s="6">
        <f>AO10-AM10</f>
        <v>15572</v>
      </c>
      <c r="AO10" s="5">
        <v>59257</v>
      </c>
      <c r="AP10" s="7">
        <f>AO10/AL10</f>
        <v>0.94952489304084475</v>
      </c>
      <c r="AQ10" s="6">
        <v>99346</v>
      </c>
      <c r="AR10" s="2">
        <v>39266</v>
      </c>
      <c r="AS10" s="6">
        <f>AT10-AR10</f>
        <v>54391</v>
      </c>
      <c r="AT10" s="5">
        <v>93657</v>
      </c>
      <c r="AU10" s="7">
        <f>AT10/AQ10</f>
        <v>0.94273549010528856</v>
      </c>
      <c r="AV10" s="5">
        <v>63719</v>
      </c>
      <c r="AW10" s="5">
        <v>28448</v>
      </c>
      <c r="AX10" s="6">
        <f>AY10-AW10</f>
        <v>31824</v>
      </c>
      <c r="AY10" s="5">
        <v>60272</v>
      </c>
      <c r="AZ10" s="7">
        <f>AY10/AV10</f>
        <v>0.94590310582400849</v>
      </c>
      <c r="BA10" s="5">
        <v>65133</v>
      </c>
      <c r="BB10" s="5">
        <v>29040</v>
      </c>
      <c r="BC10" s="6">
        <f>BD10-BB10</f>
        <v>32463</v>
      </c>
      <c r="BD10" s="5">
        <v>61503</v>
      </c>
      <c r="BE10" s="7">
        <f>BD10/BA10</f>
        <v>0.94426788264013639</v>
      </c>
      <c r="BF10" s="5">
        <v>104274</v>
      </c>
      <c r="BG10" s="2">
        <v>37723</v>
      </c>
      <c r="BH10" s="6">
        <f>BI10-BG10</f>
        <v>59413</v>
      </c>
      <c r="BI10" s="5">
        <v>97136</v>
      </c>
      <c r="BJ10" s="7">
        <f>BI10/BF10</f>
        <v>0.93154573527437323</v>
      </c>
    </row>
    <row r="11" spans="1:62" x14ac:dyDescent="0.3">
      <c r="A11" s="15">
        <v>2</v>
      </c>
      <c r="B11" s="2" t="s">
        <v>8</v>
      </c>
      <c r="C11" s="3">
        <v>44420</v>
      </c>
      <c r="D11" s="3">
        <v>6731</v>
      </c>
      <c r="E11" s="6">
        <f t="shared" ref="E11:E48" si="0">F11-D11</f>
        <v>35129</v>
      </c>
      <c r="F11" s="5">
        <v>41860</v>
      </c>
      <c r="G11" s="7">
        <f t="shared" ref="G11:G48" si="1">F11/C11</f>
        <v>0.94236830256641158</v>
      </c>
      <c r="H11" s="3">
        <v>44517</v>
      </c>
      <c r="I11" s="4">
        <v>6257</v>
      </c>
      <c r="J11" s="6">
        <f t="shared" ref="J11:J48" si="2">K11-I11</f>
        <v>35864</v>
      </c>
      <c r="K11" s="5">
        <v>42121</v>
      </c>
      <c r="L11" s="7">
        <f t="shared" ref="L11:L48" si="3">K11/H11</f>
        <v>0.94617786463598175</v>
      </c>
      <c r="M11" s="2">
        <v>92010</v>
      </c>
      <c r="N11" s="2">
        <v>34295</v>
      </c>
      <c r="O11" s="6">
        <f t="shared" ref="O11:O48" si="4">P11-N11</f>
        <v>54096</v>
      </c>
      <c r="P11" s="5">
        <v>88391</v>
      </c>
      <c r="Q11" s="7">
        <f t="shared" ref="Q11:Q48" si="5">P11/M11</f>
        <v>0.96066731876969891</v>
      </c>
      <c r="R11" s="5">
        <v>44191</v>
      </c>
      <c r="S11" s="5">
        <v>20596</v>
      </c>
      <c r="T11" s="6">
        <f t="shared" ref="T11:T48" si="6">U11-S11</f>
        <v>20720</v>
      </c>
      <c r="U11" s="5">
        <v>41316</v>
      </c>
      <c r="V11" s="7">
        <f t="shared" ref="V11:V48" si="7">U11/R11</f>
        <v>0.93494150392613884</v>
      </c>
      <c r="W11" s="5">
        <v>44492</v>
      </c>
      <c r="X11" s="5">
        <v>22958</v>
      </c>
      <c r="Y11" s="6">
        <f t="shared" ref="Y11:Y48" si="8">Z11-X11</f>
        <v>19346</v>
      </c>
      <c r="Z11" s="5">
        <v>42304</v>
      </c>
      <c r="AA11" s="7">
        <f t="shared" ref="AA11:AA48" si="9">Z11/W11</f>
        <v>0.95082261979681737</v>
      </c>
      <c r="AB11" s="6">
        <v>93894</v>
      </c>
      <c r="AC11" s="2">
        <v>45966</v>
      </c>
      <c r="AD11" s="6">
        <f t="shared" ref="AD11:AD48" si="10">AE11-AC11</f>
        <v>44755</v>
      </c>
      <c r="AE11" s="5">
        <v>90721</v>
      </c>
      <c r="AF11" s="7">
        <f t="shared" ref="AF11:AF48" si="11">AE11/AB11</f>
        <v>0.9662065733699704</v>
      </c>
      <c r="AG11" s="5">
        <v>43295</v>
      </c>
      <c r="AH11" s="5">
        <v>22633</v>
      </c>
      <c r="AI11" s="6">
        <f t="shared" ref="AI11:AI48" si="12">AJ11-AH11</f>
        <v>18715</v>
      </c>
      <c r="AJ11" s="5">
        <v>41348</v>
      </c>
      <c r="AK11" s="7">
        <f t="shared" ref="AK11:AK48" si="13">AJ11/AG11</f>
        <v>0.95502944912807486</v>
      </c>
      <c r="AL11" s="5">
        <v>43932</v>
      </c>
      <c r="AM11" s="5">
        <v>35110</v>
      </c>
      <c r="AN11" s="6">
        <f t="shared" ref="AN11:AN48" si="14">AO11-AM11</f>
        <v>7077</v>
      </c>
      <c r="AO11" s="5">
        <v>42187</v>
      </c>
      <c r="AP11" s="7">
        <f t="shared" ref="AP11:AP48" si="15">AO11/AL11</f>
        <v>0.96027952289902574</v>
      </c>
      <c r="AQ11" s="6">
        <v>95802</v>
      </c>
      <c r="AR11" s="2">
        <v>46918</v>
      </c>
      <c r="AS11" s="6">
        <f t="shared" ref="AS11:AS48" si="16">AT11-AR11</f>
        <v>45947</v>
      </c>
      <c r="AT11" s="5">
        <v>92865</v>
      </c>
      <c r="AU11" s="7">
        <f t="shared" ref="AU11:AU48" si="17">AT11/AQ11</f>
        <v>0.96934301997870609</v>
      </c>
      <c r="AV11" s="5">
        <v>43808</v>
      </c>
      <c r="AW11" s="5">
        <v>25368</v>
      </c>
      <c r="AX11" s="6">
        <f t="shared" ref="AX11:AX48" si="18">AY11-AW11</f>
        <v>16328</v>
      </c>
      <c r="AY11" s="5">
        <v>41696</v>
      </c>
      <c r="AZ11" s="7">
        <f t="shared" ref="AZ11:AZ48" si="19">AY11/AV11</f>
        <v>0.95178962746530316</v>
      </c>
      <c r="BA11" s="5">
        <v>44164</v>
      </c>
      <c r="BB11" s="5">
        <v>26733</v>
      </c>
      <c r="BC11" s="6">
        <f t="shared" ref="BC11:BC48" si="20">BD11-BB11</f>
        <v>15739</v>
      </c>
      <c r="BD11" s="5">
        <v>42472</v>
      </c>
      <c r="BE11" s="7">
        <f t="shared" ref="BE11:BE47" si="21">BD11/BA11</f>
        <v>0.9616882528756453</v>
      </c>
      <c r="BF11" s="5">
        <v>97423</v>
      </c>
      <c r="BG11" s="2">
        <v>45441</v>
      </c>
      <c r="BH11" s="6">
        <f t="shared" ref="BH11:BH33" si="22">BI11-BG11</f>
        <v>48807</v>
      </c>
      <c r="BI11" s="5">
        <v>94248</v>
      </c>
      <c r="BJ11" s="7">
        <f t="shared" ref="BJ11:BJ33" si="23">BI11/BF11</f>
        <v>0.9674101598185233</v>
      </c>
    </row>
    <row r="12" spans="1:62" x14ac:dyDescent="0.3">
      <c r="A12" s="15">
        <v>3</v>
      </c>
      <c r="B12" s="2" t="s">
        <v>9</v>
      </c>
      <c r="C12" s="3">
        <v>160461</v>
      </c>
      <c r="D12" s="3">
        <v>33698</v>
      </c>
      <c r="E12" s="6">
        <f t="shared" si="0"/>
        <v>115034</v>
      </c>
      <c r="F12" s="5">
        <v>148732</v>
      </c>
      <c r="G12" s="7">
        <f t="shared" si="1"/>
        <v>0.92690435682190686</v>
      </c>
      <c r="H12" s="3">
        <v>161190</v>
      </c>
      <c r="I12" s="4">
        <v>25488</v>
      </c>
      <c r="J12" s="6">
        <f t="shared" si="2"/>
        <v>124718</v>
      </c>
      <c r="K12" s="5">
        <v>150206</v>
      </c>
      <c r="L12" s="7">
        <f t="shared" si="3"/>
        <v>0.93185681493889194</v>
      </c>
      <c r="M12" s="2">
        <v>320319</v>
      </c>
      <c r="N12" s="2">
        <v>198571</v>
      </c>
      <c r="O12" s="6">
        <f t="shared" si="4"/>
        <v>108840</v>
      </c>
      <c r="P12" s="5">
        <v>307411</v>
      </c>
      <c r="Q12" s="7">
        <f t="shared" si="5"/>
        <v>0.95970267139944865</v>
      </c>
      <c r="R12" s="5">
        <v>159828</v>
      </c>
      <c r="S12" s="5">
        <v>105723</v>
      </c>
      <c r="T12" s="6">
        <f t="shared" si="6"/>
        <v>43229</v>
      </c>
      <c r="U12" s="5">
        <v>148952</v>
      </c>
      <c r="V12" s="7">
        <f t="shared" si="7"/>
        <v>0.93195184823685462</v>
      </c>
      <c r="W12" s="5">
        <v>162180</v>
      </c>
      <c r="X12" s="5">
        <v>111006</v>
      </c>
      <c r="Y12" s="6">
        <f t="shared" si="8"/>
        <v>40682</v>
      </c>
      <c r="Z12" s="5">
        <v>151688</v>
      </c>
      <c r="AA12" s="7">
        <f t="shared" si="9"/>
        <v>0.93530644962387466</v>
      </c>
      <c r="AB12" s="6">
        <v>327297</v>
      </c>
      <c r="AC12" s="2">
        <v>226424</v>
      </c>
      <c r="AD12" s="6">
        <f t="shared" si="10"/>
        <v>85958</v>
      </c>
      <c r="AE12" s="5">
        <v>312382</v>
      </c>
      <c r="AF12" s="7">
        <f t="shared" si="11"/>
        <v>0.95442976868104501</v>
      </c>
      <c r="AG12" s="5">
        <v>160729</v>
      </c>
      <c r="AH12" s="5">
        <v>111819</v>
      </c>
      <c r="AI12" s="6">
        <f t="shared" si="12"/>
        <v>37726</v>
      </c>
      <c r="AJ12" s="5">
        <v>149545</v>
      </c>
      <c r="AK12" s="7">
        <f t="shared" si="13"/>
        <v>0.93041703737346715</v>
      </c>
      <c r="AL12" s="5">
        <v>162572</v>
      </c>
      <c r="AM12" s="5">
        <v>135556</v>
      </c>
      <c r="AN12" s="6">
        <f t="shared" si="14"/>
        <v>16151</v>
      </c>
      <c r="AO12" s="5">
        <v>151707</v>
      </c>
      <c r="AP12" s="7">
        <f t="shared" si="15"/>
        <v>0.93316807322294126</v>
      </c>
      <c r="AQ12" s="6">
        <v>333129</v>
      </c>
      <c r="AR12" s="2">
        <v>217555</v>
      </c>
      <c r="AS12" s="6">
        <f t="shared" si="16"/>
        <v>98735</v>
      </c>
      <c r="AT12" s="5">
        <v>316290</v>
      </c>
      <c r="AU12" s="7">
        <f t="shared" si="17"/>
        <v>0.94945201408463387</v>
      </c>
      <c r="AV12" s="5">
        <v>161987</v>
      </c>
      <c r="AW12" s="5">
        <v>118479</v>
      </c>
      <c r="AX12" s="6">
        <f t="shared" si="18"/>
        <v>32308</v>
      </c>
      <c r="AY12" s="5">
        <v>150787</v>
      </c>
      <c r="AZ12" s="7">
        <f t="shared" si="19"/>
        <v>0.93085864915085781</v>
      </c>
      <c r="BA12" s="5">
        <v>163270</v>
      </c>
      <c r="BB12" s="5">
        <v>121927</v>
      </c>
      <c r="BC12" s="6">
        <f t="shared" si="20"/>
        <v>30967</v>
      </c>
      <c r="BD12" s="5">
        <v>152894</v>
      </c>
      <c r="BE12" s="7">
        <f t="shared" si="21"/>
        <v>0.93644882709622101</v>
      </c>
      <c r="BF12" s="5">
        <v>336608</v>
      </c>
      <c r="BG12" s="2">
        <v>228647</v>
      </c>
      <c r="BH12" s="6">
        <f t="shared" si="22"/>
        <v>91190</v>
      </c>
      <c r="BI12" s="5">
        <v>319837</v>
      </c>
      <c r="BJ12" s="7">
        <f t="shared" si="23"/>
        <v>0.95017646639414388</v>
      </c>
    </row>
    <row r="13" spans="1:62" x14ac:dyDescent="0.3">
      <c r="A13" s="15">
        <v>4</v>
      </c>
      <c r="B13" s="2" t="s">
        <v>10</v>
      </c>
      <c r="C13" s="3">
        <v>15343</v>
      </c>
      <c r="D13" s="3">
        <v>3414</v>
      </c>
      <c r="E13" s="6">
        <f t="shared" si="0"/>
        <v>11660</v>
      </c>
      <c r="F13" s="5">
        <v>15074</v>
      </c>
      <c r="G13" s="7">
        <f t="shared" si="1"/>
        <v>0.9824675747898064</v>
      </c>
      <c r="H13" s="3">
        <v>15350</v>
      </c>
      <c r="I13" s="4">
        <v>2883</v>
      </c>
      <c r="J13" s="6">
        <f t="shared" si="2"/>
        <v>12247</v>
      </c>
      <c r="K13" s="5">
        <v>15130</v>
      </c>
      <c r="L13" s="7">
        <f t="shared" si="3"/>
        <v>0.98566775244299676</v>
      </c>
      <c r="M13" s="2">
        <v>26465</v>
      </c>
      <c r="N13" s="2">
        <v>15581</v>
      </c>
      <c r="O13" s="6">
        <f t="shared" si="4"/>
        <v>10595</v>
      </c>
      <c r="P13" s="5">
        <v>26176</v>
      </c>
      <c r="Q13" s="7">
        <f t="shared" si="5"/>
        <v>0.98907991687133956</v>
      </c>
      <c r="R13" s="5">
        <v>15442</v>
      </c>
      <c r="S13" s="5">
        <v>10582</v>
      </c>
      <c r="T13" s="6">
        <f t="shared" si="6"/>
        <v>4551</v>
      </c>
      <c r="U13" s="5">
        <v>15133</v>
      </c>
      <c r="V13" s="7">
        <f t="shared" si="7"/>
        <v>0.9799896386478435</v>
      </c>
      <c r="W13" s="5">
        <v>15635</v>
      </c>
      <c r="X13" s="5">
        <v>11150</v>
      </c>
      <c r="Y13" s="6">
        <f t="shared" si="8"/>
        <v>4175</v>
      </c>
      <c r="Z13" s="5">
        <v>15325</v>
      </c>
      <c r="AA13" s="7">
        <f t="shared" si="9"/>
        <v>0.98017268947873359</v>
      </c>
      <c r="AB13" s="6">
        <v>26938</v>
      </c>
      <c r="AC13" s="2">
        <v>18856</v>
      </c>
      <c r="AD13" s="6">
        <f t="shared" si="10"/>
        <v>7635</v>
      </c>
      <c r="AE13" s="5">
        <v>26491</v>
      </c>
      <c r="AF13" s="7">
        <f t="shared" si="11"/>
        <v>0.98340634048555942</v>
      </c>
      <c r="AG13" s="5">
        <v>15617</v>
      </c>
      <c r="AH13" s="5">
        <v>11092</v>
      </c>
      <c r="AI13" s="6">
        <f t="shared" si="12"/>
        <v>4155</v>
      </c>
      <c r="AJ13" s="5">
        <v>15247</v>
      </c>
      <c r="AK13" s="7">
        <f t="shared" si="13"/>
        <v>0.9763078696292502</v>
      </c>
      <c r="AL13" s="5">
        <v>15676</v>
      </c>
      <c r="AM13" s="5">
        <v>13684</v>
      </c>
      <c r="AN13" s="6">
        <f t="shared" si="14"/>
        <v>1682</v>
      </c>
      <c r="AO13" s="5">
        <v>15366</v>
      </c>
      <c r="AP13" s="7">
        <f t="shared" si="15"/>
        <v>0.98022454707833628</v>
      </c>
      <c r="AQ13" s="6">
        <v>27141</v>
      </c>
      <c r="AR13" s="2">
        <v>18974</v>
      </c>
      <c r="AS13" s="6">
        <f t="shared" si="16"/>
        <v>7744</v>
      </c>
      <c r="AT13" s="5">
        <v>26718</v>
      </c>
      <c r="AU13" s="7">
        <f t="shared" si="17"/>
        <v>0.984414723112634</v>
      </c>
      <c r="AV13" s="5">
        <v>15761</v>
      </c>
      <c r="AW13" s="5">
        <v>12110</v>
      </c>
      <c r="AX13" s="6">
        <f t="shared" si="18"/>
        <v>3356</v>
      </c>
      <c r="AY13" s="5">
        <v>15466</v>
      </c>
      <c r="AZ13" s="7">
        <f t="shared" si="19"/>
        <v>0.98128291352071573</v>
      </c>
      <c r="BA13" s="5">
        <v>15831</v>
      </c>
      <c r="BB13" s="5">
        <v>12366</v>
      </c>
      <c r="BC13" s="6">
        <f t="shared" si="20"/>
        <v>3223</v>
      </c>
      <c r="BD13" s="5">
        <v>15589</v>
      </c>
      <c r="BE13" s="7">
        <f t="shared" si="21"/>
        <v>0.9847135367317289</v>
      </c>
      <c r="BF13" s="5">
        <v>27469</v>
      </c>
      <c r="BG13" s="2">
        <v>19398</v>
      </c>
      <c r="BH13" s="6">
        <f t="shared" si="22"/>
        <v>7484</v>
      </c>
      <c r="BI13" s="5">
        <v>26882</v>
      </c>
      <c r="BJ13" s="7">
        <f t="shared" si="23"/>
        <v>0.97863045615056976</v>
      </c>
    </row>
    <row r="14" spans="1:62" x14ac:dyDescent="0.3">
      <c r="A14" s="15">
        <v>5</v>
      </c>
      <c r="B14" s="2" t="s">
        <v>11</v>
      </c>
      <c r="C14" s="3">
        <v>78917</v>
      </c>
      <c r="D14" s="3">
        <v>8578</v>
      </c>
      <c r="E14" s="6">
        <f t="shared" si="0"/>
        <v>63916</v>
      </c>
      <c r="F14" s="5">
        <v>72494</v>
      </c>
      <c r="G14" s="7">
        <f t="shared" si="1"/>
        <v>0.91861069224628411</v>
      </c>
      <c r="H14" s="3">
        <v>78856</v>
      </c>
      <c r="I14" s="4">
        <v>9730</v>
      </c>
      <c r="J14" s="6">
        <f t="shared" si="2"/>
        <v>62773</v>
      </c>
      <c r="K14" s="5">
        <v>72503</v>
      </c>
      <c r="L14" s="7">
        <f t="shared" si="3"/>
        <v>0.91943542660038546</v>
      </c>
      <c r="M14" s="2">
        <v>139510</v>
      </c>
      <c r="N14" s="2">
        <v>46993</v>
      </c>
      <c r="O14" s="6">
        <f t="shared" si="4"/>
        <v>84035</v>
      </c>
      <c r="P14" s="5">
        <v>131028</v>
      </c>
      <c r="Q14" s="7">
        <f t="shared" si="5"/>
        <v>0.93920149093254968</v>
      </c>
      <c r="R14" s="5">
        <v>78838</v>
      </c>
      <c r="S14" s="5">
        <v>32096</v>
      </c>
      <c r="T14" s="6">
        <f t="shared" si="6"/>
        <v>40335</v>
      </c>
      <c r="U14" s="5">
        <v>72431</v>
      </c>
      <c r="V14" s="7">
        <f t="shared" si="7"/>
        <v>0.91873208351302671</v>
      </c>
      <c r="W14" s="5">
        <v>80553</v>
      </c>
      <c r="X14" s="5">
        <v>35632</v>
      </c>
      <c r="Y14" s="6">
        <f t="shared" si="8"/>
        <v>38586</v>
      </c>
      <c r="Z14" s="5">
        <v>74218</v>
      </c>
      <c r="AA14" s="7">
        <f t="shared" si="9"/>
        <v>0.92135612578054205</v>
      </c>
      <c r="AB14" s="6">
        <v>144082</v>
      </c>
      <c r="AC14" s="2">
        <v>68685</v>
      </c>
      <c r="AD14" s="6">
        <f t="shared" si="10"/>
        <v>66593</v>
      </c>
      <c r="AE14" s="5">
        <v>135278</v>
      </c>
      <c r="AF14" s="7">
        <f t="shared" si="11"/>
        <v>0.93889590649768884</v>
      </c>
      <c r="AG14" s="5">
        <v>79635</v>
      </c>
      <c r="AH14" s="5">
        <v>36874</v>
      </c>
      <c r="AI14" s="6">
        <f t="shared" si="12"/>
        <v>36590</v>
      </c>
      <c r="AJ14" s="5">
        <v>73464</v>
      </c>
      <c r="AK14" s="7">
        <f t="shared" si="13"/>
        <v>0.9225089470710115</v>
      </c>
      <c r="AL14" s="5">
        <v>81274</v>
      </c>
      <c r="AM14" s="5">
        <v>59053</v>
      </c>
      <c r="AN14" s="6">
        <f t="shared" si="14"/>
        <v>16031</v>
      </c>
      <c r="AO14" s="5">
        <v>75084</v>
      </c>
      <c r="AP14" s="7">
        <f t="shared" si="15"/>
        <v>0.92383788173339565</v>
      </c>
      <c r="AQ14" s="6">
        <v>148266</v>
      </c>
      <c r="AR14" s="2">
        <v>70573</v>
      </c>
      <c r="AS14" s="6">
        <f t="shared" si="16"/>
        <v>68576</v>
      </c>
      <c r="AT14" s="5">
        <v>139149</v>
      </c>
      <c r="AU14" s="7">
        <f t="shared" si="17"/>
        <v>0.93850916595848</v>
      </c>
      <c r="AV14" s="5">
        <v>81291</v>
      </c>
      <c r="AW14" s="5">
        <v>43366</v>
      </c>
      <c r="AX14" s="6">
        <f t="shared" si="18"/>
        <v>31974</v>
      </c>
      <c r="AY14" s="5">
        <v>75340</v>
      </c>
      <c r="AZ14" s="7">
        <f t="shared" si="19"/>
        <v>0.92679386401938713</v>
      </c>
      <c r="BA14" s="5">
        <v>82359</v>
      </c>
      <c r="BB14" s="5">
        <v>44923</v>
      </c>
      <c r="BC14" s="6">
        <f t="shared" si="20"/>
        <v>31703</v>
      </c>
      <c r="BD14" s="5">
        <v>76626</v>
      </c>
      <c r="BE14" s="7">
        <f t="shared" si="21"/>
        <v>0.93039012129821874</v>
      </c>
      <c r="BF14" s="5">
        <v>151377</v>
      </c>
      <c r="BG14" s="2">
        <v>70019</v>
      </c>
      <c r="BH14" s="6">
        <f t="shared" si="22"/>
        <v>71666</v>
      </c>
      <c r="BI14" s="5">
        <v>141685</v>
      </c>
      <c r="BJ14" s="7">
        <f t="shared" si="23"/>
        <v>0.9359744214775032</v>
      </c>
    </row>
    <row r="15" spans="1:62" x14ac:dyDescent="0.3">
      <c r="A15" s="15">
        <v>6</v>
      </c>
      <c r="B15" s="2" t="s">
        <v>12</v>
      </c>
      <c r="C15" s="3">
        <v>255914</v>
      </c>
      <c r="D15" s="3">
        <v>33110</v>
      </c>
      <c r="E15" s="6">
        <f t="shared" si="0"/>
        <v>203198</v>
      </c>
      <c r="F15" s="5">
        <v>236308</v>
      </c>
      <c r="G15" s="7">
        <f t="shared" si="1"/>
        <v>0.92338832576568686</v>
      </c>
      <c r="H15" s="3">
        <v>256165</v>
      </c>
      <c r="I15" s="4">
        <v>40790</v>
      </c>
      <c r="J15" s="6">
        <f t="shared" si="2"/>
        <v>195631</v>
      </c>
      <c r="K15" s="5">
        <v>236421</v>
      </c>
      <c r="L15" s="7">
        <f t="shared" si="3"/>
        <v>0.92292467745398477</v>
      </c>
      <c r="M15" s="2">
        <v>440788</v>
      </c>
      <c r="N15" s="2">
        <v>219466</v>
      </c>
      <c r="O15" s="6">
        <f t="shared" si="4"/>
        <v>198487</v>
      </c>
      <c r="P15" s="5">
        <v>417953</v>
      </c>
      <c r="Q15" s="7">
        <f t="shared" si="5"/>
        <v>0.94819505068196053</v>
      </c>
      <c r="R15" s="5">
        <v>256617</v>
      </c>
      <c r="S15" s="5">
        <v>145390</v>
      </c>
      <c r="T15" s="6">
        <f t="shared" si="6"/>
        <v>93905</v>
      </c>
      <c r="U15" s="5">
        <v>239295</v>
      </c>
      <c r="V15" s="7">
        <f t="shared" si="7"/>
        <v>0.93249862635756786</v>
      </c>
      <c r="W15" s="5">
        <v>263426</v>
      </c>
      <c r="X15" s="5">
        <v>157088</v>
      </c>
      <c r="Y15" s="6">
        <f t="shared" si="8"/>
        <v>87172</v>
      </c>
      <c r="Z15" s="5">
        <v>244260</v>
      </c>
      <c r="AA15" s="7">
        <f t="shared" si="9"/>
        <v>0.92724332450099833</v>
      </c>
      <c r="AB15" s="6">
        <v>454446</v>
      </c>
      <c r="AC15" s="2">
        <v>288431</v>
      </c>
      <c r="AD15" s="6">
        <f t="shared" si="10"/>
        <v>141611</v>
      </c>
      <c r="AE15" s="5">
        <v>430042</v>
      </c>
      <c r="AF15" s="7">
        <f t="shared" si="11"/>
        <v>0.94629945031972995</v>
      </c>
      <c r="AG15" s="5">
        <v>261808</v>
      </c>
      <c r="AH15" s="5">
        <v>160809</v>
      </c>
      <c r="AI15" s="6">
        <f t="shared" si="12"/>
        <v>81627</v>
      </c>
      <c r="AJ15" s="5">
        <v>242436</v>
      </c>
      <c r="AK15" s="7">
        <f t="shared" si="13"/>
        <v>0.92600684471062766</v>
      </c>
      <c r="AL15" s="5">
        <v>265773</v>
      </c>
      <c r="AM15" s="5">
        <v>212462</v>
      </c>
      <c r="AN15" s="6">
        <f t="shared" si="14"/>
        <v>33866</v>
      </c>
      <c r="AO15" s="5">
        <v>246328</v>
      </c>
      <c r="AP15" s="7">
        <f t="shared" si="15"/>
        <v>0.92683605934387614</v>
      </c>
      <c r="AQ15" s="6">
        <v>464263</v>
      </c>
      <c r="AR15" s="2">
        <v>292029</v>
      </c>
      <c r="AS15" s="6">
        <f t="shared" si="16"/>
        <v>147629</v>
      </c>
      <c r="AT15" s="5">
        <v>439658</v>
      </c>
      <c r="AU15" s="7">
        <f t="shared" si="17"/>
        <v>0.94700202256048838</v>
      </c>
      <c r="AV15" s="5">
        <v>264802</v>
      </c>
      <c r="AW15" s="5">
        <v>181626</v>
      </c>
      <c r="AX15" s="6">
        <f t="shared" si="18"/>
        <v>66383</v>
      </c>
      <c r="AY15" s="5">
        <v>248009</v>
      </c>
      <c r="AZ15" s="7">
        <f t="shared" si="19"/>
        <v>0.93658280526582127</v>
      </c>
      <c r="BA15" s="5">
        <v>267720</v>
      </c>
      <c r="BB15" s="5">
        <v>188681</v>
      </c>
      <c r="BC15" s="6">
        <f t="shared" si="20"/>
        <v>64180</v>
      </c>
      <c r="BD15" s="5">
        <v>252861</v>
      </c>
      <c r="BE15" s="7">
        <f t="shared" si="21"/>
        <v>0.94449798296727927</v>
      </c>
      <c r="BF15" s="5">
        <v>469904</v>
      </c>
      <c r="BG15" s="2">
        <v>301898</v>
      </c>
      <c r="BH15" s="6">
        <f t="shared" si="22"/>
        <v>146480</v>
      </c>
      <c r="BI15" s="5">
        <v>448378</v>
      </c>
      <c r="BJ15" s="7">
        <f t="shared" si="23"/>
        <v>0.95419064319520586</v>
      </c>
    </row>
    <row r="16" spans="1:62" x14ac:dyDescent="0.3">
      <c r="A16" s="15">
        <v>7</v>
      </c>
      <c r="B16" s="2" t="s">
        <v>13</v>
      </c>
      <c r="C16" s="3">
        <v>406536</v>
      </c>
      <c r="D16" s="3">
        <v>48183</v>
      </c>
      <c r="E16" s="6">
        <f t="shared" si="0"/>
        <v>318923</v>
      </c>
      <c r="F16" s="5">
        <v>367106</v>
      </c>
      <c r="G16" s="7">
        <f t="shared" si="1"/>
        <v>0.90300981954857629</v>
      </c>
      <c r="H16" s="3">
        <v>404491</v>
      </c>
      <c r="I16" s="4">
        <v>53992</v>
      </c>
      <c r="J16" s="6">
        <f t="shared" si="2"/>
        <v>311441</v>
      </c>
      <c r="K16" s="5">
        <v>365433</v>
      </c>
      <c r="L16" s="7">
        <f t="shared" si="3"/>
        <v>0.90343913708834067</v>
      </c>
      <c r="M16" s="2">
        <v>718779</v>
      </c>
      <c r="N16" s="2">
        <v>376101</v>
      </c>
      <c r="O16" s="6">
        <f t="shared" si="4"/>
        <v>296139</v>
      </c>
      <c r="P16" s="5">
        <v>672240</v>
      </c>
      <c r="Q16" s="7">
        <f t="shared" si="5"/>
        <v>0.93525269936934718</v>
      </c>
      <c r="R16" s="5">
        <v>403668</v>
      </c>
      <c r="S16" s="5">
        <v>229701</v>
      </c>
      <c r="T16" s="6">
        <f t="shared" si="6"/>
        <v>139504</v>
      </c>
      <c r="U16" s="5">
        <v>369205</v>
      </c>
      <c r="V16" s="7">
        <f t="shared" si="7"/>
        <v>0.91462538521755499</v>
      </c>
      <c r="W16" s="5">
        <v>406853</v>
      </c>
      <c r="X16" s="5">
        <v>244750</v>
      </c>
      <c r="Y16" s="6">
        <f t="shared" si="8"/>
        <v>131969</v>
      </c>
      <c r="Z16" s="5">
        <v>376719</v>
      </c>
      <c r="AA16" s="7">
        <f t="shared" si="9"/>
        <v>0.92593393682730618</v>
      </c>
      <c r="AB16" s="6">
        <v>722282</v>
      </c>
      <c r="AC16" s="2">
        <v>493260</v>
      </c>
      <c r="AD16" s="6">
        <f t="shared" si="10"/>
        <v>196124</v>
      </c>
      <c r="AE16" s="5">
        <v>689384</v>
      </c>
      <c r="AF16" s="7">
        <f t="shared" si="11"/>
        <v>0.95445269299248769</v>
      </c>
      <c r="AG16" s="5">
        <v>397671</v>
      </c>
      <c r="AH16" s="5">
        <v>257910</v>
      </c>
      <c r="AI16" s="6">
        <f t="shared" si="12"/>
        <v>116376</v>
      </c>
      <c r="AJ16" s="5">
        <v>374286</v>
      </c>
      <c r="AK16" s="7">
        <f t="shared" si="13"/>
        <v>0.94119510851935395</v>
      </c>
      <c r="AL16" s="5">
        <v>400740</v>
      </c>
      <c r="AM16" s="5">
        <v>332280</v>
      </c>
      <c r="AN16" s="6">
        <f t="shared" si="14"/>
        <v>48230</v>
      </c>
      <c r="AO16" s="5">
        <v>380510</v>
      </c>
      <c r="AP16" s="7">
        <f t="shared" si="15"/>
        <v>0.94951839097669311</v>
      </c>
      <c r="AQ16" s="6">
        <v>730568</v>
      </c>
      <c r="AR16" s="2">
        <v>500837</v>
      </c>
      <c r="AS16" s="6">
        <f t="shared" si="16"/>
        <v>198861</v>
      </c>
      <c r="AT16" s="5">
        <v>699698</v>
      </c>
      <c r="AU16" s="7">
        <f t="shared" si="17"/>
        <v>0.9577452064694868</v>
      </c>
      <c r="AV16" s="5">
        <v>402711</v>
      </c>
      <c r="AW16" s="5">
        <v>281921</v>
      </c>
      <c r="AX16" s="6">
        <f t="shared" si="18"/>
        <v>96445</v>
      </c>
      <c r="AY16" s="5">
        <v>378366</v>
      </c>
      <c r="AZ16" s="7">
        <f t="shared" si="19"/>
        <v>0.93954721872509073</v>
      </c>
      <c r="BA16" s="5">
        <v>402569</v>
      </c>
      <c r="BB16" s="5">
        <v>290209</v>
      </c>
      <c r="BC16" s="6">
        <f t="shared" si="20"/>
        <v>94069</v>
      </c>
      <c r="BD16" s="5">
        <v>384278</v>
      </c>
      <c r="BE16" s="7">
        <f t="shared" si="21"/>
        <v>0.95456431071443648</v>
      </c>
      <c r="BF16" s="5">
        <v>736680</v>
      </c>
      <c r="BG16" s="2">
        <v>510199</v>
      </c>
      <c r="BH16" s="6">
        <f t="shared" si="22"/>
        <v>196451</v>
      </c>
      <c r="BI16" s="5">
        <v>706650</v>
      </c>
      <c r="BJ16" s="7">
        <f t="shared" si="23"/>
        <v>0.95923603192702389</v>
      </c>
    </row>
    <row r="17" spans="1:62" x14ac:dyDescent="0.3">
      <c r="A17" s="15">
        <v>8</v>
      </c>
      <c r="B17" s="2" t="s">
        <v>14</v>
      </c>
      <c r="C17" s="3">
        <v>263923</v>
      </c>
      <c r="D17" s="3">
        <v>29616</v>
      </c>
      <c r="E17" s="6">
        <f t="shared" si="0"/>
        <v>225682</v>
      </c>
      <c r="F17" s="5">
        <v>255298</v>
      </c>
      <c r="G17" s="7">
        <f t="shared" si="1"/>
        <v>0.96732001379190147</v>
      </c>
      <c r="H17" s="3">
        <v>264168</v>
      </c>
      <c r="I17" s="4">
        <v>34587</v>
      </c>
      <c r="J17" s="6">
        <f t="shared" si="2"/>
        <v>221978</v>
      </c>
      <c r="K17" s="5">
        <v>256565</v>
      </c>
      <c r="L17" s="7">
        <f t="shared" si="3"/>
        <v>0.97121907271130492</v>
      </c>
      <c r="M17" s="2">
        <v>591219</v>
      </c>
      <c r="N17" s="2">
        <v>253947</v>
      </c>
      <c r="O17" s="6">
        <f t="shared" si="4"/>
        <v>323452</v>
      </c>
      <c r="P17" s="5">
        <v>577399</v>
      </c>
      <c r="Q17" s="7">
        <f t="shared" si="5"/>
        <v>0.97662456720775215</v>
      </c>
      <c r="R17" s="5">
        <v>261213</v>
      </c>
      <c r="S17" s="5">
        <v>133794</v>
      </c>
      <c r="T17" s="6">
        <f t="shared" si="6"/>
        <v>119514</v>
      </c>
      <c r="U17" s="5">
        <v>253308</v>
      </c>
      <c r="V17" s="7">
        <f t="shared" si="7"/>
        <v>0.96973734079084883</v>
      </c>
      <c r="W17" s="5">
        <v>269820</v>
      </c>
      <c r="X17" s="5">
        <v>147729</v>
      </c>
      <c r="Y17" s="6">
        <f t="shared" si="8"/>
        <v>114751</v>
      </c>
      <c r="Z17" s="5">
        <v>262480</v>
      </c>
      <c r="AA17" s="7">
        <f t="shared" si="9"/>
        <v>0.97279667926765989</v>
      </c>
      <c r="AB17" s="6">
        <v>613565</v>
      </c>
      <c r="AC17" s="2">
        <v>358951</v>
      </c>
      <c r="AD17" s="6">
        <f t="shared" si="10"/>
        <v>238287</v>
      </c>
      <c r="AE17" s="5">
        <v>597238</v>
      </c>
      <c r="AF17" s="7">
        <f t="shared" si="11"/>
        <v>0.97338994238589227</v>
      </c>
      <c r="AG17" s="5">
        <v>263808</v>
      </c>
      <c r="AH17" s="5">
        <v>152312</v>
      </c>
      <c r="AI17" s="6">
        <f t="shared" si="12"/>
        <v>102917</v>
      </c>
      <c r="AJ17" s="5">
        <v>255229</v>
      </c>
      <c r="AK17" s="7">
        <f t="shared" si="13"/>
        <v>0.96748013706938374</v>
      </c>
      <c r="AL17" s="5">
        <v>270212</v>
      </c>
      <c r="AM17" s="5">
        <v>216552</v>
      </c>
      <c r="AN17" s="6">
        <f t="shared" si="14"/>
        <v>46327</v>
      </c>
      <c r="AO17" s="5">
        <v>262879</v>
      </c>
      <c r="AP17" s="7">
        <f t="shared" si="15"/>
        <v>0.97286204905777685</v>
      </c>
      <c r="AQ17" s="6">
        <v>633137</v>
      </c>
      <c r="AR17" s="2">
        <v>359003</v>
      </c>
      <c r="AS17" s="6">
        <f t="shared" si="16"/>
        <v>253919</v>
      </c>
      <c r="AT17" s="5">
        <v>612922</v>
      </c>
      <c r="AU17" s="7">
        <f t="shared" si="17"/>
        <v>0.96807168116853071</v>
      </c>
      <c r="AV17" s="5">
        <v>270996</v>
      </c>
      <c r="AW17" s="5">
        <v>177207</v>
      </c>
      <c r="AX17" s="6">
        <f t="shared" si="18"/>
        <v>84237</v>
      </c>
      <c r="AY17" s="5">
        <v>261444</v>
      </c>
      <c r="AZ17" s="7">
        <f t="shared" si="19"/>
        <v>0.96475224726564235</v>
      </c>
      <c r="BA17" s="5">
        <v>277009</v>
      </c>
      <c r="BB17" s="5">
        <v>189795</v>
      </c>
      <c r="BC17" s="6">
        <f t="shared" si="20"/>
        <v>81169</v>
      </c>
      <c r="BD17" s="5">
        <v>270964</v>
      </c>
      <c r="BE17" s="7">
        <f t="shared" si="21"/>
        <v>0.97817760433776524</v>
      </c>
      <c r="BF17" s="5">
        <v>651560</v>
      </c>
      <c r="BG17" s="2">
        <v>364612</v>
      </c>
      <c r="BH17" s="6">
        <f t="shared" si="22"/>
        <v>264514</v>
      </c>
      <c r="BI17" s="5">
        <v>629126</v>
      </c>
      <c r="BJ17" s="7">
        <f t="shared" si="23"/>
        <v>0.96556878875314633</v>
      </c>
    </row>
    <row r="18" spans="1:62" x14ac:dyDescent="0.3">
      <c r="A18" s="15">
        <v>9</v>
      </c>
      <c r="B18" s="2" t="s">
        <v>15</v>
      </c>
      <c r="C18" s="3">
        <v>768494</v>
      </c>
      <c r="D18" s="3">
        <v>65913</v>
      </c>
      <c r="E18" s="6">
        <f t="shared" si="0"/>
        <v>650575</v>
      </c>
      <c r="F18" s="5">
        <v>716488</v>
      </c>
      <c r="G18" s="7">
        <f t="shared" si="1"/>
        <v>0.93232738316759789</v>
      </c>
      <c r="H18" s="3">
        <v>766983</v>
      </c>
      <c r="I18" s="4">
        <v>91369</v>
      </c>
      <c r="J18" s="6">
        <f t="shared" si="2"/>
        <v>624803</v>
      </c>
      <c r="K18" s="5">
        <v>716172</v>
      </c>
      <c r="L18" s="7">
        <f t="shared" si="3"/>
        <v>0.93375211706126471</v>
      </c>
      <c r="M18" s="2">
        <v>1193073</v>
      </c>
      <c r="N18" s="2">
        <v>401099</v>
      </c>
      <c r="O18" s="6">
        <f t="shared" si="4"/>
        <v>736280</v>
      </c>
      <c r="P18" s="5">
        <v>1137379</v>
      </c>
      <c r="Q18" s="7">
        <f t="shared" si="5"/>
        <v>0.95331886649014774</v>
      </c>
      <c r="R18" s="5">
        <v>775495</v>
      </c>
      <c r="S18" s="5">
        <v>320714</v>
      </c>
      <c r="T18" s="6">
        <f t="shared" si="6"/>
        <v>411983</v>
      </c>
      <c r="U18" s="5">
        <v>732697</v>
      </c>
      <c r="V18" s="7">
        <f t="shared" si="7"/>
        <v>0.94481202328835134</v>
      </c>
      <c r="W18" s="5">
        <v>789854</v>
      </c>
      <c r="X18" s="5">
        <v>358126</v>
      </c>
      <c r="Y18" s="6">
        <f t="shared" si="8"/>
        <v>390057</v>
      </c>
      <c r="Z18" s="5">
        <v>748183</v>
      </c>
      <c r="AA18" s="7">
        <f t="shared" si="9"/>
        <v>0.94724214854897237</v>
      </c>
      <c r="AB18" s="6">
        <v>1245422</v>
      </c>
      <c r="AC18" s="2">
        <v>606074</v>
      </c>
      <c r="AD18" s="6">
        <f t="shared" si="10"/>
        <v>569106</v>
      </c>
      <c r="AE18" s="5">
        <v>1175180</v>
      </c>
      <c r="AF18" s="7">
        <f t="shared" si="11"/>
        <v>0.9435998400542146</v>
      </c>
      <c r="AG18" s="5">
        <v>794310</v>
      </c>
      <c r="AH18" s="5">
        <v>362359</v>
      </c>
      <c r="AI18" s="6">
        <f t="shared" si="12"/>
        <v>388028</v>
      </c>
      <c r="AJ18" s="5">
        <v>750387</v>
      </c>
      <c r="AK18" s="7">
        <f t="shared" si="13"/>
        <v>0.94470294972995428</v>
      </c>
      <c r="AL18" s="5">
        <v>807429</v>
      </c>
      <c r="AM18" s="5">
        <v>623740</v>
      </c>
      <c r="AN18" s="6">
        <f t="shared" si="14"/>
        <v>142071</v>
      </c>
      <c r="AO18" s="5">
        <v>765811</v>
      </c>
      <c r="AP18" s="7">
        <f t="shared" si="15"/>
        <v>0.94845614908555431</v>
      </c>
      <c r="AQ18" s="6">
        <v>1285494</v>
      </c>
      <c r="AR18" s="2">
        <v>608190</v>
      </c>
      <c r="AS18" s="6">
        <f t="shared" si="16"/>
        <v>603860</v>
      </c>
      <c r="AT18" s="5">
        <v>1212050</v>
      </c>
      <c r="AU18" s="7">
        <f t="shared" si="17"/>
        <v>0.94286710011870922</v>
      </c>
      <c r="AV18" s="5">
        <v>820095</v>
      </c>
      <c r="AW18" s="5">
        <v>424068</v>
      </c>
      <c r="AX18" s="6">
        <f t="shared" si="18"/>
        <v>349477</v>
      </c>
      <c r="AY18" s="5">
        <v>773545</v>
      </c>
      <c r="AZ18" s="7">
        <f t="shared" si="19"/>
        <v>0.94323828336960958</v>
      </c>
      <c r="BA18" s="5">
        <v>829968</v>
      </c>
      <c r="BB18" s="5">
        <v>444953</v>
      </c>
      <c r="BC18" s="6">
        <f t="shared" si="20"/>
        <v>340745</v>
      </c>
      <c r="BD18" s="5">
        <v>785698</v>
      </c>
      <c r="BE18" s="7">
        <f t="shared" si="21"/>
        <v>0.94666059414338866</v>
      </c>
      <c r="BF18" s="5">
        <v>1319511</v>
      </c>
      <c r="BG18" s="2">
        <v>603674</v>
      </c>
      <c r="BH18" s="6">
        <f t="shared" si="22"/>
        <v>631904</v>
      </c>
      <c r="BI18" s="5">
        <v>1235578</v>
      </c>
      <c r="BJ18" s="7">
        <f t="shared" si="23"/>
        <v>0.93639082963309894</v>
      </c>
    </row>
    <row r="19" spans="1:62" x14ac:dyDescent="0.3">
      <c r="A19" s="16">
        <v>10</v>
      </c>
      <c r="B19" s="2" t="s">
        <v>16</v>
      </c>
      <c r="C19" s="3">
        <v>245454</v>
      </c>
      <c r="D19" s="3">
        <v>15894</v>
      </c>
      <c r="E19" s="6">
        <f t="shared" si="0"/>
        <v>188021</v>
      </c>
      <c r="F19" s="5">
        <v>203915</v>
      </c>
      <c r="G19" s="7">
        <f t="shared" si="1"/>
        <v>0.83076666096295027</v>
      </c>
      <c r="H19" s="3">
        <v>247965</v>
      </c>
      <c r="I19" s="4">
        <v>18683</v>
      </c>
      <c r="J19" s="6">
        <f t="shared" si="2"/>
        <v>185926</v>
      </c>
      <c r="K19" s="5">
        <v>204609</v>
      </c>
      <c r="L19" s="7">
        <f t="shared" si="3"/>
        <v>0.82515274333071198</v>
      </c>
      <c r="M19" s="2">
        <v>387570</v>
      </c>
      <c r="N19" s="2">
        <v>77565</v>
      </c>
      <c r="O19" s="6">
        <f t="shared" si="4"/>
        <v>259999</v>
      </c>
      <c r="P19" s="5">
        <v>337564</v>
      </c>
      <c r="Q19" s="7">
        <f t="shared" si="5"/>
        <v>0.87097556570425982</v>
      </c>
      <c r="R19" s="5">
        <v>254467</v>
      </c>
      <c r="S19" s="5">
        <v>58512</v>
      </c>
      <c r="T19" s="6">
        <f t="shared" si="6"/>
        <v>158290</v>
      </c>
      <c r="U19" s="5">
        <v>216802</v>
      </c>
      <c r="V19" s="7">
        <f t="shared" si="7"/>
        <v>0.85198473672421182</v>
      </c>
      <c r="W19" s="5">
        <v>263449</v>
      </c>
      <c r="X19" s="5">
        <v>67065</v>
      </c>
      <c r="Y19" s="6">
        <f t="shared" si="8"/>
        <v>162777</v>
      </c>
      <c r="Z19" s="5">
        <v>229842</v>
      </c>
      <c r="AA19" s="7">
        <f t="shared" si="9"/>
        <v>0.87243451294178376</v>
      </c>
      <c r="AB19" s="6">
        <v>418128</v>
      </c>
      <c r="AC19" s="2">
        <v>140888</v>
      </c>
      <c r="AD19" s="6">
        <f t="shared" si="10"/>
        <v>231560</v>
      </c>
      <c r="AE19" s="5">
        <v>372448</v>
      </c>
      <c r="AF19" s="7">
        <f t="shared" si="11"/>
        <v>0.89075115754027478</v>
      </c>
      <c r="AG19" s="5">
        <v>259213</v>
      </c>
      <c r="AH19" s="5">
        <v>58106</v>
      </c>
      <c r="AI19" s="6">
        <f t="shared" si="12"/>
        <v>162940</v>
      </c>
      <c r="AJ19" s="5">
        <v>221046</v>
      </c>
      <c r="AK19" s="7">
        <f t="shared" si="13"/>
        <v>0.85275815641962405</v>
      </c>
      <c r="AL19" s="5">
        <v>262802</v>
      </c>
      <c r="AM19" s="5">
        <v>161774</v>
      </c>
      <c r="AN19" s="6">
        <f t="shared" si="14"/>
        <v>63220</v>
      </c>
      <c r="AO19" s="5">
        <v>224994</v>
      </c>
      <c r="AP19" s="7">
        <f t="shared" si="15"/>
        <v>0.85613503702407134</v>
      </c>
      <c r="AQ19" s="6">
        <v>437396</v>
      </c>
      <c r="AR19" s="2">
        <v>127083</v>
      </c>
      <c r="AS19" s="6">
        <f t="shared" si="16"/>
        <v>254092</v>
      </c>
      <c r="AT19" s="5">
        <v>381175</v>
      </c>
      <c r="AU19" s="7">
        <f t="shared" si="17"/>
        <v>0.87146430237130657</v>
      </c>
      <c r="AV19" s="5">
        <v>265429</v>
      </c>
      <c r="AW19" s="5">
        <v>81804</v>
      </c>
      <c r="AX19" s="6">
        <f t="shared" si="18"/>
        <v>145068</v>
      </c>
      <c r="AY19" s="5">
        <v>226872</v>
      </c>
      <c r="AZ19" s="7">
        <f t="shared" si="19"/>
        <v>0.85473704832554087</v>
      </c>
      <c r="BA19" s="5">
        <v>272122</v>
      </c>
      <c r="BB19" s="5">
        <v>90050</v>
      </c>
      <c r="BC19" s="6">
        <f t="shared" si="20"/>
        <v>142890</v>
      </c>
      <c r="BD19" s="5">
        <v>232940</v>
      </c>
      <c r="BE19" s="7">
        <f t="shared" si="21"/>
        <v>0.85601311176604611</v>
      </c>
      <c r="BF19" s="5">
        <v>456786</v>
      </c>
      <c r="BG19" s="2">
        <v>120448</v>
      </c>
      <c r="BH19" s="6">
        <f t="shared" si="22"/>
        <v>273309</v>
      </c>
      <c r="BI19" s="5">
        <v>393757</v>
      </c>
      <c r="BJ19" s="7">
        <f t="shared" si="23"/>
        <v>0.86201634901244784</v>
      </c>
    </row>
    <row r="20" spans="1:62" x14ac:dyDescent="0.3">
      <c r="A20" s="16">
        <v>11</v>
      </c>
      <c r="B20" s="2" t="s">
        <v>17</v>
      </c>
      <c r="C20" s="3">
        <v>5479</v>
      </c>
      <c r="D20" s="3">
        <v>758</v>
      </c>
      <c r="E20" s="6">
        <f t="shared" si="0"/>
        <v>3876</v>
      </c>
      <c r="F20" s="5">
        <v>4634</v>
      </c>
      <c r="G20" s="7">
        <f t="shared" si="1"/>
        <v>0.84577477641905452</v>
      </c>
      <c r="H20" s="3">
        <v>5462</v>
      </c>
      <c r="I20" s="4">
        <v>561</v>
      </c>
      <c r="J20" s="6">
        <f t="shared" si="2"/>
        <v>4055</v>
      </c>
      <c r="K20" s="5">
        <v>4616</v>
      </c>
      <c r="L20" s="7">
        <f t="shared" si="3"/>
        <v>0.84511168070303921</v>
      </c>
      <c r="M20" s="2">
        <v>8047</v>
      </c>
      <c r="N20" s="2">
        <v>1687</v>
      </c>
      <c r="O20" s="6">
        <f t="shared" si="4"/>
        <v>5344</v>
      </c>
      <c r="P20" s="5">
        <v>7031</v>
      </c>
      <c r="Q20" s="7">
        <f t="shared" si="5"/>
        <v>0.87374176711818063</v>
      </c>
      <c r="R20" s="5">
        <v>5619</v>
      </c>
      <c r="S20" s="5">
        <v>1644</v>
      </c>
      <c r="T20" s="6">
        <f t="shared" si="6"/>
        <v>3004</v>
      </c>
      <c r="U20" s="5">
        <v>4648</v>
      </c>
      <c r="V20" s="7">
        <f t="shared" si="7"/>
        <v>0.82719345079195583</v>
      </c>
      <c r="W20" s="5">
        <v>5711</v>
      </c>
      <c r="X20" s="5">
        <v>1905</v>
      </c>
      <c r="Y20" s="6">
        <f t="shared" si="8"/>
        <v>2784</v>
      </c>
      <c r="Z20" s="5">
        <v>4689</v>
      </c>
      <c r="AA20" s="7">
        <f t="shared" si="9"/>
        <v>0.82104710208369813</v>
      </c>
      <c r="AB20" s="6">
        <v>8314</v>
      </c>
      <c r="AC20" s="2">
        <v>3348</v>
      </c>
      <c r="AD20" s="6">
        <f t="shared" si="10"/>
        <v>3885</v>
      </c>
      <c r="AE20" s="5">
        <v>7233</v>
      </c>
      <c r="AF20" s="7">
        <f t="shared" si="11"/>
        <v>0.86997834977146982</v>
      </c>
      <c r="AG20" s="5">
        <v>5709</v>
      </c>
      <c r="AH20" s="5">
        <v>1691</v>
      </c>
      <c r="AI20" s="6">
        <f t="shared" si="12"/>
        <v>2992</v>
      </c>
      <c r="AJ20" s="5">
        <v>4683</v>
      </c>
      <c r="AK20" s="7">
        <f t="shared" si="13"/>
        <v>0.82028376248029422</v>
      </c>
      <c r="AL20" s="5">
        <v>5805</v>
      </c>
      <c r="AM20" s="5">
        <v>3510</v>
      </c>
      <c r="AN20" s="6">
        <f t="shared" si="14"/>
        <v>1344</v>
      </c>
      <c r="AO20" s="5">
        <v>4854</v>
      </c>
      <c r="AP20" s="7">
        <f t="shared" si="15"/>
        <v>0.83617571059431528</v>
      </c>
      <c r="AQ20" s="6">
        <v>8632</v>
      </c>
      <c r="AR20" s="2">
        <v>2939</v>
      </c>
      <c r="AS20" s="6">
        <f t="shared" si="16"/>
        <v>4692</v>
      </c>
      <c r="AT20" s="5">
        <v>7631</v>
      </c>
      <c r="AU20" s="7">
        <f t="shared" si="17"/>
        <v>0.88403614457831325</v>
      </c>
      <c r="AV20" s="5">
        <v>5837</v>
      </c>
      <c r="AW20" s="5">
        <v>2235</v>
      </c>
      <c r="AX20" s="6">
        <f t="shared" si="18"/>
        <v>2597</v>
      </c>
      <c r="AY20" s="5">
        <v>4832</v>
      </c>
      <c r="AZ20" s="7">
        <f t="shared" si="19"/>
        <v>0.82782251156415965</v>
      </c>
      <c r="BA20" s="5">
        <v>5912</v>
      </c>
      <c r="BB20" s="5">
        <v>2252</v>
      </c>
      <c r="BC20" s="6">
        <f t="shared" si="20"/>
        <v>2707</v>
      </c>
      <c r="BD20" s="5">
        <v>4959</v>
      </c>
      <c r="BE20" s="7">
        <f t="shared" si="21"/>
        <v>0.8388024357239513</v>
      </c>
      <c r="BF20" s="5">
        <v>8941</v>
      </c>
      <c r="BG20" s="2">
        <v>2866</v>
      </c>
      <c r="BH20" s="6">
        <f t="shared" si="22"/>
        <v>5012</v>
      </c>
      <c r="BI20" s="5">
        <v>7878</v>
      </c>
      <c r="BJ20" s="7">
        <f t="shared" si="23"/>
        <v>0.88110949558214968</v>
      </c>
    </row>
    <row r="21" spans="1:62" x14ac:dyDescent="0.3">
      <c r="A21" s="16">
        <v>12</v>
      </c>
      <c r="B21" s="2" t="s">
        <v>18</v>
      </c>
      <c r="C21" s="3">
        <v>10109</v>
      </c>
      <c r="D21" s="3">
        <v>797</v>
      </c>
      <c r="E21" s="6">
        <f t="shared" si="0"/>
        <v>6579</v>
      </c>
      <c r="F21" s="5">
        <v>7376</v>
      </c>
      <c r="G21" s="7">
        <f t="shared" si="1"/>
        <v>0.72964684934217039</v>
      </c>
      <c r="H21" s="3">
        <v>10163</v>
      </c>
      <c r="I21" s="4">
        <v>627</v>
      </c>
      <c r="J21" s="6">
        <f t="shared" si="2"/>
        <v>6780</v>
      </c>
      <c r="K21" s="5">
        <v>7407</v>
      </c>
      <c r="L21" s="7">
        <f t="shared" si="3"/>
        <v>0.72882023024697429</v>
      </c>
      <c r="M21" s="2">
        <v>12994</v>
      </c>
      <c r="N21" s="2">
        <v>1957</v>
      </c>
      <c r="O21" s="6">
        <f t="shared" si="4"/>
        <v>8010</v>
      </c>
      <c r="P21" s="5">
        <v>9967</v>
      </c>
      <c r="Q21" s="7">
        <f t="shared" si="5"/>
        <v>0.76704632907495762</v>
      </c>
      <c r="R21" s="5">
        <v>10237</v>
      </c>
      <c r="S21" s="5">
        <v>1672</v>
      </c>
      <c r="T21" s="6">
        <f t="shared" si="6"/>
        <v>5833</v>
      </c>
      <c r="U21" s="5">
        <v>7505</v>
      </c>
      <c r="V21" s="7">
        <f t="shared" si="7"/>
        <v>0.73312493894695707</v>
      </c>
      <c r="W21" s="5">
        <v>10162</v>
      </c>
      <c r="X21" s="5">
        <v>1780</v>
      </c>
      <c r="Y21" s="6">
        <f t="shared" si="8"/>
        <v>5831</v>
      </c>
      <c r="Z21" s="5">
        <v>7611</v>
      </c>
      <c r="AA21" s="7">
        <f t="shared" si="9"/>
        <v>0.74896673883093878</v>
      </c>
      <c r="AB21" s="6">
        <v>13196</v>
      </c>
      <c r="AC21" s="2">
        <v>3100</v>
      </c>
      <c r="AD21" s="6">
        <f t="shared" si="10"/>
        <v>7183</v>
      </c>
      <c r="AE21" s="5">
        <v>10283</v>
      </c>
      <c r="AF21" s="7">
        <f t="shared" si="11"/>
        <v>0.77925128826917245</v>
      </c>
      <c r="AG21" s="5">
        <v>10295</v>
      </c>
      <c r="AH21" s="5">
        <v>2335</v>
      </c>
      <c r="AI21" s="6">
        <f t="shared" si="12"/>
        <v>5358</v>
      </c>
      <c r="AJ21" s="5">
        <v>7693</v>
      </c>
      <c r="AK21" s="7">
        <f t="shared" si="13"/>
        <v>0.7472559494900437</v>
      </c>
      <c r="AL21" s="5">
        <v>10459</v>
      </c>
      <c r="AM21" s="5">
        <v>4833</v>
      </c>
      <c r="AN21" s="6">
        <f t="shared" si="14"/>
        <v>2954</v>
      </c>
      <c r="AO21" s="5">
        <v>7787</v>
      </c>
      <c r="AP21" s="7">
        <f t="shared" si="15"/>
        <v>0.74452624533894252</v>
      </c>
      <c r="AQ21" s="6">
        <v>13595</v>
      </c>
      <c r="AR21" s="2">
        <v>3163</v>
      </c>
      <c r="AS21" s="6">
        <f t="shared" si="16"/>
        <v>7432</v>
      </c>
      <c r="AT21" s="5">
        <v>10595</v>
      </c>
      <c r="AU21" s="7">
        <f t="shared" si="17"/>
        <v>0.7793306362633321</v>
      </c>
      <c r="AV21" s="5">
        <v>10391</v>
      </c>
      <c r="AW21" s="5">
        <v>2721</v>
      </c>
      <c r="AX21" s="6">
        <f t="shared" si="18"/>
        <v>5190</v>
      </c>
      <c r="AY21" s="5">
        <v>7911</v>
      </c>
      <c r="AZ21" s="7">
        <f t="shared" si="19"/>
        <v>0.76133192185545184</v>
      </c>
      <c r="BA21" s="5">
        <v>10525</v>
      </c>
      <c r="BB21" s="5">
        <v>2775</v>
      </c>
      <c r="BC21" s="6">
        <f t="shared" si="20"/>
        <v>5276</v>
      </c>
      <c r="BD21" s="5">
        <v>8051</v>
      </c>
      <c r="BE21" s="7">
        <f t="shared" si="21"/>
        <v>0.76494061757719711</v>
      </c>
      <c r="BF21" s="5">
        <v>13618</v>
      </c>
      <c r="BG21" s="2">
        <v>2633</v>
      </c>
      <c r="BH21" s="6">
        <f t="shared" si="22"/>
        <v>8337</v>
      </c>
      <c r="BI21" s="5">
        <v>10970</v>
      </c>
      <c r="BJ21" s="7">
        <f t="shared" si="23"/>
        <v>0.80555147598766341</v>
      </c>
    </row>
    <row r="22" spans="1:62" x14ac:dyDescent="0.3">
      <c r="A22" s="16">
        <v>13</v>
      </c>
      <c r="B22" s="2" t="s">
        <v>19</v>
      </c>
      <c r="C22" s="3">
        <v>5921</v>
      </c>
      <c r="D22" s="3">
        <v>662</v>
      </c>
      <c r="E22" s="6">
        <f t="shared" si="0"/>
        <v>4326</v>
      </c>
      <c r="F22" s="5">
        <v>4988</v>
      </c>
      <c r="G22" s="7">
        <f t="shared" si="1"/>
        <v>0.84242526600236445</v>
      </c>
      <c r="H22" s="3">
        <v>5940</v>
      </c>
      <c r="I22" s="4">
        <v>520</v>
      </c>
      <c r="J22" s="6">
        <f t="shared" si="2"/>
        <v>4478</v>
      </c>
      <c r="K22" s="5">
        <v>4998</v>
      </c>
      <c r="L22" s="7">
        <f t="shared" si="3"/>
        <v>0.84141414141414139</v>
      </c>
      <c r="M22" s="2">
        <v>7004</v>
      </c>
      <c r="N22" s="2">
        <v>1195</v>
      </c>
      <c r="O22" s="6">
        <f t="shared" si="4"/>
        <v>4756</v>
      </c>
      <c r="P22" s="5">
        <v>5951</v>
      </c>
      <c r="Q22" s="7">
        <f t="shared" si="5"/>
        <v>0.84965733866362081</v>
      </c>
      <c r="R22" s="5">
        <v>5966</v>
      </c>
      <c r="S22" s="5">
        <v>1365</v>
      </c>
      <c r="T22" s="6">
        <f t="shared" si="6"/>
        <v>3625</v>
      </c>
      <c r="U22" s="5">
        <v>4990</v>
      </c>
      <c r="V22" s="7">
        <f t="shared" si="7"/>
        <v>0.83640630238015423</v>
      </c>
      <c r="W22" s="5">
        <v>5920</v>
      </c>
      <c r="X22" s="5">
        <v>1517</v>
      </c>
      <c r="Y22" s="6">
        <f t="shared" si="8"/>
        <v>3532</v>
      </c>
      <c r="Z22" s="5">
        <v>5049</v>
      </c>
      <c r="AA22" s="7">
        <f t="shared" si="9"/>
        <v>0.85287162162162167</v>
      </c>
      <c r="AB22" s="6">
        <v>7073</v>
      </c>
      <c r="AC22" s="2">
        <v>2127</v>
      </c>
      <c r="AD22" s="6">
        <f t="shared" si="10"/>
        <v>4013</v>
      </c>
      <c r="AE22" s="5">
        <v>6140</v>
      </c>
      <c r="AF22" s="7">
        <f t="shared" si="11"/>
        <v>0.86808991941184788</v>
      </c>
      <c r="AG22" s="5">
        <v>5998</v>
      </c>
      <c r="AH22" s="5">
        <v>1830</v>
      </c>
      <c r="AI22" s="6">
        <f t="shared" si="12"/>
        <v>3340</v>
      </c>
      <c r="AJ22" s="5">
        <v>5170</v>
      </c>
      <c r="AK22" s="7">
        <f t="shared" si="13"/>
        <v>0.86195398466155382</v>
      </c>
      <c r="AL22" s="5">
        <v>5988</v>
      </c>
      <c r="AM22" s="5">
        <v>3758</v>
      </c>
      <c r="AN22" s="6">
        <f t="shared" si="14"/>
        <v>1502</v>
      </c>
      <c r="AO22" s="5">
        <v>5260</v>
      </c>
      <c r="AP22" s="7">
        <f t="shared" si="15"/>
        <v>0.8784235136940548</v>
      </c>
      <c r="AQ22" s="6">
        <v>7036</v>
      </c>
      <c r="AR22" s="2">
        <v>2122</v>
      </c>
      <c r="AS22" s="6">
        <f t="shared" si="16"/>
        <v>4196</v>
      </c>
      <c r="AT22" s="5">
        <v>6318</v>
      </c>
      <c r="AU22" s="7">
        <f t="shared" si="17"/>
        <v>0.89795338260375213</v>
      </c>
      <c r="AV22" s="5">
        <v>5943</v>
      </c>
      <c r="AW22" s="5">
        <v>1869</v>
      </c>
      <c r="AX22" s="6">
        <f t="shared" si="18"/>
        <v>3451</v>
      </c>
      <c r="AY22" s="5">
        <v>5320</v>
      </c>
      <c r="AZ22" s="7">
        <f t="shared" si="19"/>
        <v>0.89517078916372206</v>
      </c>
      <c r="BA22" s="5">
        <v>5997</v>
      </c>
      <c r="BB22" s="5">
        <v>1924</v>
      </c>
      <c r="BC22" s="6">
        <f t="shared" si="20"/>
        <v>3445</v>
      </c>
      <c r="BD22" s="5">
        <v>5369</v>
      </c>
      <c r="BE22" s="7">
        <f t="shared" si="21"/>
        <v>0.89528097382024341</v>
      </c>
      <c r="BF22" s="5">
        <v>7214</v>
      </c>
      <c r="BG22" s="2">
        <v>1893</v>
      </c>
      <c r="BH22" s="6">
        <f t="shared" si="22"/>
        <v>4619</v>
      </c>
      <c r="BI22" s="5">
        <v>6512</v>
      </c>
      <c r="BJ22" s="7">
        <f t="shared" si="23"/>
        <v>0.90268921541447189</v>
      </c>
    </row>
    <row r="23" spans="1:62" x14ac:dyDescent="0.3">
      <c r="A23" s="16">
        <v>14</v>
      </c>
      <c r="B23" s="2" t="s">
        <v>20</v>
      </c>
      <c r="C23" s="3">
        <v>9480</v>
      </c>
      <c r="D23" s="3">
        <v>581</v>
      </c>
      <c r="E23" s="6">
        <f t="shared" si="0"/>
        <v>6039</v>
      </c>
      <c r="F23" s="5">
        <v>6620</v>
      </c>
      <c r="G23" s="7">
        <f t="shared" si="1"/>
        <v>0.69831223628691985</v>
      </c>
      <c r="H23" s="3">
        <v>9486</v>
      </c>
      <c r="I23" s="4">
        <v>570</v>
      </c>
      <c r="J23" s="6">
        <f t="shared" si="2"/>
        <v>6014</v>
      </c>
      <c r="K23" s="5">
        <v>6584</v>
      </c>
      <c r="L23" s="7">
        <f t="shared" si="3"/>
        <v>0.69407547965422733</v>
      </c>
      <c r="M23" s="2">
        <v>11077</v>
      </c>
      <c r="N23" s="2">
        <v>1312</v>
      </c>
      <c r="O23" s="6">
        <f t="shared" si="4"/>
        <v>6622</v>
      </c>
      <c r="P23" s="5">
        <v>7934</v>
      </c>
      <c r="Q23" s="7">
        <f t="shared" si="5"/>
        <v>0.71625891486864679</v>
      </c>
      <c r="R23" s="5">
        <v>9575</v>
      </c>
      <c r="S23" s="5">
        <v>1408</v>
      </c>
      <c r="T23" s="6">
        <f t="shared" si="6"/>
        <v>5227</v>
      </c>
      <c r="U23" s="5">
        <v>6635</v>
      </c>
      <c r="V23" s="7">
        <f t="shared" si="7"/>
        <v>0.69295039164490857</v>
      </c>
      <c r="W23" s="5">
        <v>9750</v>
      </c>
      <c r="X23" s="5">
        <v>1515</v>
      </c>
      <c r="Y23" s="6">
        <f t="shared" si="8"/>
        <v>5176</v>
      </c>
      <c r="Z23" s="5">
        <v>6691</v>
      </c>
      <c r="AA23" s="7">
        <f t="shared" si="9"/>
        <v>0.68625641025641027</v>
      </c>
      <c r="AB23" s="6">
        <v>11436</v>
      </c>
      <c r="AC23" s="2">
        <v>2196</v>
      </c>
      <c r="AD23" s="6">
        <f t="shared" si="10"/>
        <v>5999</v>
      </c>
      <c r="AE23" s="5">
        <v>8195</v>
      </c>
      <c r="AF23" s="7">
        <f t="shared" si="11"/>
        <v>0.71659671213711085</v>
      </c>
      <c r="AG23" s="5">
        <v>9837</v>
      </c>
      <c r="AH23" s="5">
        <v>1766</v>
      </c>
      <c r="AI23" s="6">
        <f t="shared" si="12"/>
        <v>5048</v>
      </c>
      <c r="AJ23" s="5">
        <v>6814</v>
      </c>
      <c r="AK23" s="7">
        <f t="shared" si="13"/>
        <v>0.69269086103486832</v>
      </c>
      <c r="AL23" s="5">
        <v>9887</v>
      </c>
      <c r="AM23" s="5">
        <v>4221</v>
      </c>
      <c r="AN23" s="6">
        <f t="shared" si="14"/>
        <v>2701</v>
      </c>
      <c r="AO23" s="5">
        <v>6922</v>
      </c>
      <c r="AP23" s="7">
        <f t="shared" si="15"/>
        <v>0.70011125720643264</v>
      </c>
      <c r="AQ23" s="6">
        <v>10570</v>
      </c>
      <c r="AR23" s="2">
        <v>2176</v>
      </c>
      <c r="AS23" s="6">
        <f t="shared" si="16"/>
        <v>6302</v>
      </c>
      <c r="AT23" s="5">
        <v>8478</v>
      </c>
      <c r="AU23" s="7">
        <f t="shared" si="17"/>
        <v>0.80208136234626304</v>
      </c>
      <c r="AV23" s="5">
        <v>8848</v>
      </c>
      <c r="AW23" s="5">
        <v>1963</v>
      </c>
      <c r="AX23" s="6">
        <f t="shared" si="18"/>
        <v>4996</v>
      </c>
      <c r="AY23" s="5">
        <v>6959</v>
      </c>
      <c r="AZ23" s="7">
        <f t="shared" si="19"/>
        <v>0.78650542495479203</v>
      </c>
      <c r="BA23" s="5">
        <v>8869</v>
      </c>
      <c r="BB23" s="5">
        <v>1964</v>
      </c>
      <c r="BC23" s="6">
        <f t="shared" si="20"/>
        <v>5101</v>
      </c>
      <c r="BD23" s="5">
        <v>7065</v>
      </c>
      <c r="BE23" s="7">
        <f t="shared" si="21"/>
        <v>0.79659488104634124</v>
      </c>
      <c r="BF23" s="5">
        <v>10711</v>
      </c>
      <c r="BG23" s="2">
        <v>2202</v>
      </c>
      <c r="BH23" s="6">
        <f t="shared" si="22"/>
        <v>6494</v>
      </c>
      <c r="BI23" s="5">
        <v>8696</v>
      </c>
      <c r="BJ23" s="7">
        <f t="shared" si="23"/>
        <v>0.8118756418635048</v>
      </c>
    </row>
    <row r="24" spans="1:62" x14ac:dyDescent="0.3">
      <c r="A24" s="16">
        <v>15</v>
      </c>
      <c r="B24" s="2" t="s">
        <v>21</v>
      </c>
      <c r="C24" s="3">
        <v>5899</v>
      </c>
      <c r="D24" s="3">
        <v>605</v>
      </c>
      <c r="E24" s="6">
        <f t="shared" si="0"/>
        <v>3938</v>
      </c>
      <c r="F24" s="5">
        <v>4543</v>
      </c>
      <c r="G24" s="7">
        <f t="shared" si="1"/>
        <v>0.77013053059840653</v>
      </c>
      <c r="H24" s="3">
        <v>5806</v>
      </c>
      <c r="I24" s="4">
        <v>580</v>
      </c>
      <c r="J24" s="6">
        <f t="shared" si="2"/>
        <v>3937</v>
      </c>
      <c r="K24" s="5">
        <v>4517</v>
      </c>
      <c r="L24" s="7">
        <f t="shared" si="3"/>
        <v>0.77798828797795383</v>
      </c>
      <c r="M24" s="2">
        <v>6586</v>
      </c>
      <c r="N24" s="2">
        <v>960</v>
      </c>
      <c r="O24" s="6">
        <f t="shared" si="4"/>
        <v>4279</v>
      </c>
      <c r="P24" s="5">
        <v>5239</v>
      </c>
      <c r="Q24" s="7">
        <f t="shared" si="5"/>
        <v>0.79547525053143031</v>
      </c>
      <c r="R24" s="5">
        <v>5878</v>
      </c>
      <c r="S24" s="5">
        <v>1035</v>
      </c>
      <c r="T24" s="6">
        <f t="shared" si="6"/>
        <v>3486</v>
      </c>
      <c r="U24" s="5">
        <v>4521</v>
      </c>
      <c r="V24" s="7">
        <f t="shared" si="7"/>
        <v>0.7691391629806057</v>
      </c>
      <c r="W24" s="5">
        <v>5897</v>
      </c>
      <c r="X24" s="5">
        <v>1071</v>
      </c>
      <c r="Y24" s="6">
        <f t="shared" si="8"/>
        <v>3449</v>
      </c>
      <c r="Z24" s="5">
        <v>4520</v>
      </c>
      <c r="AA24" s="7">
        <f t="shared" si="9"/>
        <v>0.76649143632355432</v>
      </c>
      <c r="AB24" s="6">
        <v>6699</v>
      </c>
      <c r="AC24" s="2">
        <v>1489</v>
      </c>
      <c r="AD24" s="6">
        <f t="shared" si="10"/>
        <v>3807</v>
      </c>
      <c r="AE24" s="5">
        <v>5296</v>
      </c>
      <c r="AF24" s="7">
        <f t="shared" si="11"/>
        <v>0.79056575608299751</v>
      </c>
      <c r="AG24" s="5">
        <v>5948</v>
      </c>
      <c r="AH24" s="5">
        <v>1242</v>
      </c>
      <c r="AI24" s="6">
        <f t="shared" si="12"/>
        <v>3361</v>
      </c>
      <c r="AJ24" s="5">
        <v>4603</v>
      </c>
      <c r="AK24" s="7">
        <f t="shared" si="13"/>
        <v>0.77387357094821785</v>
      </c>
      <c r="AL24" s="5">
        <v>5965</v>
      </c>
      <c r="AM24" s="5">
        <v>3585</v>
      </c>
      <c r="AN24" s="6">
        <f t="shared" si="14"/>
        <v>1129</v>
      </c>
      <c r="AO24" s="5">
        <v>4714</v>
      </c>
      <c r="AP24" s="7">
        <f t="shared" si="15"/>
        <v>0.79027661357921208</v>
      </c>
      <c r="AQ24" s="6">
        <v>6810</v>
      </c>
      <c r="AR24" s="2">
        <v>1320</v>
      </c>
      <c r="AS24" s="6">
        <f t="shared" si="16"/>
        <v>4239</v>
      </c>
      <c r="AT24" s="5">
        <v>5559</v>
      </c>
      <c r="AU24" s="7">
        <f t="shared" si="17"/>
        <v>0.81629955947136568</v>
      </c>
      <c r="AV24" s="5">
        <v>6017</v>
      </c>
      <c r="AW24" s="5">
        <v>1230</v>
      </c>
      <c r="AX24" s="6">
        <f t="shared" si="18"/>
        <v>3581</v>
      </c>
      <c r="AY24" s="5">
        <v>4811</v>
      </c>
      <c r="AZ24" s="7">
        <f t="shared" si="19"/>
        <v>0.79956789097556924</v>
      </c>
      <c r="BA24" s="5">
        <v>6141</v>
      </c>
      <c r="BB24" s="5">
        <v>1317</v>
      </c>
      <c r="BC24" s="6">
        <f t="shared" si="20"/>
        <v>3562</v>
      </c>
      <c r="BD24" s="5">
        <v>4879</v>
      </c>
      <c r="BE24" s="7">
        <f t="shared" si="21"/>
        <v>0.79449601042175544</v>
      </c>
      <c r="BF24" s="5">
        <v>7097</v>
      </c>
      <c r="BG24" s="2">
        <v>1275</v>
      </c>
      <c r="BH24" s="6">
        <f t="shared" si="22"/>
        <v>4474</v>
      </c>
      <c r="BI24" s="5">
        <v>5749</v>
      </c>
      <c r="BJ24" s="7">
        <f t="shared" si="23"/>
        <v>0.81006058898125965</v>
      </c>
    </row>
    <row r="25" spans="1:62" x14ac:dyDescent="0.3">
      <c r="A25" s="16">
        <v>16</v>
      </c>
      <c r="B25" s="2" t="s">
        <v>22</v>
      </c>
      <c r="C25" s="3">
        <v>18100</v>
      </c>
      <c r="D25" s="3">
        <v>3314</v>
      </c>
      <c r="E25" s="6">
        <f t="shared" si="0"/>
        <v>12436</v>
      </c>
      <c r="F25" s="5">
        <v>15750</v>
      </c>
      <c r="G25" s="7">
        <f t="shared" si="1"/>
        <v>0.87016574585635365</v>
      </c>
      <c r="H25" s="3">
        <v>17996</v>
      </c>
      <c r="I25" s="4">
        <v>1729</v>
      </c>
      <c r="J25" s="6">
        <f t="shared" si="2"/>
        <v>14107</v>
      </c>
      <c r="K25" s="5">
        <v>15836</v>
      </c>
      <c r="L25" s="7">
        <f t="shared" si="3"/>
        <v>0.87997332740609024</v>
      </c>
      <c r="M25" s="2">
        <v>25145</v>
      </c>
      <c r="N25" s="2">
        <v>7263</v>
      </c>
      <c r="O25" s="6">
        <f t="shared" si="4"/>
        <v>15429</v>
      </c>
      <c r="P25" s="5">
        <v>22692</v>
      </c>
      <c r="Q25" s="7">
        <f t="shared" si="5"/>
        <v>0.90244581427719228</v>
      </c>
      <c r="R25" s="5">
        <v>18343</v>
      </c>
      <c r="S25" s="5">
        <v>6656</v>
      </c>
      <c r="T25" s="6">
        <f t="shared" si="6"/>
        <v>9363</v>
      </c>
      <c r="U25" s="5">
        <v>16019</v>
      </c>
      <c r="V25" s="7">
        <f t="shared" si="7"/>
        <v>0.87330316742081449</v>
      </c>
      <c r="W25" s="5">
        <v>18513</v>
      </c>
      <c r="X25" s="5">
        <v>7245</v>
      </c>
      <c r="Y25" s="6">
        <f t="shared" si="8"/>
        <v>8968</v>
      </c>
      <c r="Z25" s="5">
        <v>16213</v>
      </c>
      <c r="AA25" s="7">
        <f t="shared" si="9"/>
        <v>0.87576297736725539</v>
      </c>
      <c r="AB25" s="6">
        <v>25418</v>
      </c>
      <c r="AC25" s="2">
        <v>11900</v>
      </c>
      <c r="AD25" s="6">
        <f t="shared" si="10"/>
        <v>11225</v>
      </c>
      <c r="AE25" s="5">
        <v>23125</v>
      </c>
      <c r="AF25" s="7">
        <f t="shared" si="11"/>
        <v>0.90978833897238176</v>
      </c>
      <c r="AG25" s="5">
        <v>18377</v>
      </c>
      <c r="AH25" s="5">
        <v>8219</v>
      </c>
      <c r="AI25" s="6">
        <f t="shared" si="12"/>
        <v>8044</v>
      </c>
      <c r="AJ25" s="5">
        <v>16263</v>
      </c>
      <c r="AK25" s="7">
        <f t="shared" si="13"/>
        <v>0.88496490177939813</v>
      </c>
      <c r="AL25" s="5">
        <v>18561</v>
      </c>
      <c r="AM25" s="5">
        <v>13173</v>
      </c>
      <c r="AN25" s="6">
        <f t="shared" si="14"/>
        <v>3265</v>
      </c>
      <c r="AO25" s="5">
        <v>16438</v>
      </c>
      <c r="AP25" s="7">
        <f t="shared" si="15"/>
        <v>0.88562038683260602</v>
      </c>
      <c r="AQ25" s="6">
        <v>25768</v>
      </c>
      <c r="AR25" s="2">
        <v>12152</v>
      </c>
      <c r="AS25" s="6">
        <f t="shared" si="16"/>
        <v>11309</v>
      </c>
      <c r="AT25" s="5">
        <v>23461</v>
      </c>
      <c r="AU25" s="7">
        <f t="shared" si="17"/>
        <v>0.91047035082272587</v>
      </c>
      <c r="AV25" s="5">
        <v>18472</v>
      </c>
      <c r="AW25" s="5">
        <v>9061</v>
      </c>
      <c r="AX25" s="6">
        <f t="shared" si="18"/>
        <v>7577</v>
      </c>
      <c r="AY25" s="5">
        <v>16638</v>
      </c>
      <c r="AZ25" s="7">
        <f t="shared" si="19"/>
        <v>0.90071459506279772</v>
      </c>
      <c r="BA25" s="5">
        <v>18607</v>
      </c>
      <c r="BB25" s="5">
        <v>9238</v>
      </c>
      <c r="BC25" s="6">
        <f t="shared" si="20"/>
        <v>7701</v>
      </c>
      <c r="BD25" s="5">
        <v>16939</v>
      </c>
      <c r="BE25" s="7">
        <f t="shared" si="21"/>
        <v>0.91035631751491375</v>
      </c>
      <c r="BF25" s="5">
        <v>26131</v>
      </c>
      <c r="BG25" s="2">
        <v>10465</v>
      </c>
      <c r="BH25" s="6">
        <f t="shared" si="22"/>
        <v>13564</v>
      </c>
      <c r="BI25" s="5">
        <v>24029</v>
      </c>
      <c r="BJ25" s="7">
        <f t="shared" si="23"/>
        <v>0.91955914431135433</v>
      </c>
    </row>
    <row r="26" spans="1:62" x14ac:dyDescent="0.3">
      <c r="A26" s="16">
        <v>17</v>
      </c>
      <c r="B26" s="2" t="s">
        <v>23</v>
      </c>
      <c r="C26" s="3">
        <v>16562</v>
      </c>
      <c r="D26" s="3">
        <v>1263</v>
      </c>
      <c r="E26" s="6">
        <f t="shared" si="0"/>
        <v>10114</v>
      </c>
      <c r="F26" s="5">
        <v>11377</v>
      </c>
      <c r="G26" s="7">
        <f t="shared" si="1"/>
        <v>0.68693394517570339</v>
      </c>
      <c r="H26" s="3">
        <v>16580</v>
      </c>
      <c r="I26" s="4">
        <v>1226</v>
      </c>
      <c r="J26" s="6">
        <f t="shared" si="2"/>
        <v>10073</v>
      </c>
      <c r="K26" s="5">
        <v>11299</v>
      </c>
      <c r="L26" s="7">
        <f t="shared" si="3"/>
        <v>0.68148371531966223</v>
      </c>
      <c r="M26" s="2">
        <v>25396</v>
      </c>
      <c r="N26" s="2">
        <v>4066</v>
      </c>
      <c r="O26" s="6">
        <f t="shared" si="4"/>
        <v>14659</v>
      </c>
      <c r="P26" s="5">
        <v>18725</v>
      </c>
      <c r="Q26" s="7">
        <f t="shared" si="5"/>
        <v>0.73732083792723269</v>
      </c>
      <c r="R26" s="5">
        <v>16475</v>
      </c>
      <c r="S26" s="5">
        <v>2852</v>
      </c>
      <c r="T26" s="6">
        <f t="shared" si="6"/>
        <v>8453</v>
      </c>
      <c r="U26" s="5">
        <v>11305</v>
      </c>
      <c r="V26" s="7">
        <f t="shared" si="7"/>
        <v>0.6861911987860394</v>
      </c>
      <c r="W26" s="5">
        <v>16675</v>
      </c>
      <c r="X26" s="5">
        <v>3464</v>
      </c>
      <c r="Y26" s="6">
        <f t="shared" si="8"/>
        <v>7994</v>
      </c>
      <c r="Z26" s="5">
        <v>11458</v>
      </c>
      <c r="AA26" s="7">
        <f t="shared" si="9"/>
        <v>0.68713643178410799</v>
      </c>
      <c r="AB26" s="6">
        <v>25656</v>
      </c>
      <c r="AC26" s="2">
        <v>6590</v>
      </c>
      <c r="AD26" s="6">
        <f t="shared" si="10"/>
        <v>12779</v>
      </c>
      <c r="AE26" s="5">
        <v>19369</v>
      </c>
      <c r="AF26" s="7">
        <f t="shared" si="11"/>
        <v>0.75495010913626437</v>
      </c>
      <c r="AG26" s="5">
        <v>15844</v>
      </c>
      <c r="AH26" s="5">
        <v>3810</v>
      </c>
      <c r="AI26" s="6">
        <f t="shared" si="12"/>
        <v>7394</v>
      </c>
      <c r="AJ26" s="5">
        <v>11204</v>
      </c>
      <c r="AK26" s="7">
        <f t="shared" si="13"/>
        <v>0.70714466043928303</v>
      </c>
      <c r="AL26" s="5">
        <v>16081</v>
      </c>
      <c r="AM26" s="5">
        <v>7840</v>
      </c>
      <c r="AN26" s="6">
        <f t="shared" si="14"/>
        <v>3593</v>
      </c>
      <c r="AO26" s="5">
        <v>11433</v>
      </c>
      <c r="AP26" s="7">
        <f t="shared" si="15"/>
        <v>0.71096324855419435</v>
      </c>
      <c r="AQ26" s="6">
        <v>26317</v>
      </c>
      <c r="AR26" s="2">
        <v>6726</v>
      </c>
      <c r="AS26" s="6">
        <f t="shared" si="16"/>
        <v>13389</v>
      </c>
      <c r="AT26" s="5">
        <v>20115</v>
      </c>
      <c r="AU26" s="7">
        <f t="shared" si="17"/>
        <v>0.76433484059733248</v>
      </c>
      <c r="AV26" s="5">
        <v>15987</v>
      </c>
      <c r="AW26" s="5">
        <v>4188</v>
      </c>
      <c r="AX26" s="6">
        <f t="shared" si="18"/>
        <v>7200</v>
      </c>
      <c r="AY26" s="5">
        <v>11388</v>
      </c>
      <c r="AZ26" s="7">
        <f t="shared" si="19"/>
        <v>0.71232876712328763</v>
      </c>
      <c r="BA26" s="5">
        <v>16133</v>
      </c>
      <c r="BB26" s="5">
        <v>4322</v>
      </c>
      <c r="BC26" s="6">
        <f t="shared" si="20"/>
        <v>7252</v>
      </c>
      <c r="BD26" s="5">
        <v>11574</v>
      </c>
      <c r="BE26" s="7">
        <f t="shared" si="21"/>
        <v>0.71741151676687531</v>
      </c>
      <c r="BF26" s="5">
        <v>26642</v>
      </c>
      <c r="BG26" s="2">
        <v>6854</v>
      </c>
      <c r="BH26" s="6">
        <f t="shared" si="22"/>
        <v>13821</v>
      </c>
      <c r="BI26" s="5">
        <v>20675</v>
      </c>
      <c r="BJ26" s="7">
        <f t="shared" si="23"/>
        <v>0.7760303280534494</v>
      </c>
    </row>
    <row r="27" spans="1:62" x14ac:dyDescent="0.3">
      <c r="A27" s="16">
        <v>18</v>
      </c>
      <c r="B27" s="2" t="s">
        <v>24</v>
      </c>
      <c r="C27" s="3">
        <v>112837</v>
      </c>
      <c r="D27" s="3">
        <v>11547</v>
      </c>
      <c r="E27" s="6">
        <f t="shared" si="0"/>
        <v>85618</v>
      </c>
      <c r="F27" s="5">
        <v>97165</v>
      </c>
      <c r="G27" s="7">
        <f t="shared" si="1"/>
        <v>0.86110938787808966</v>
      </c>
      <c r="H27" s="3">
        <v>111842</v>
      </c>
      <c r="I27" s="4">
        <v>7859</v>
      </c>
      <c r="J27" s="6">
        <f t="shared" si="2"/>
        <v>89155</v>
      </c>
      <c r="K27" s="5">
        <v>97014</v>
      </c>
      <c r="L27" s="7">
        <f t="shared" si="3"/>
        <v>0.86742011051304524</v>
      </c>
      <c r="M27" s="2">
        <v>156288</v>
      </c>
      <c r="N27" s="2">
        <v>31247</v>
      </c>
      <c r="O27" s="6">
        <f t="shared" si="4"/>
        <v>107183</v>
      </c>
      <c r="P27" s="5">
        <v>138430</v>
      </c>
      <c r="Q27" s="7">
        <f t="shared" si="5"/>
        <v>0.8857365888615889</v>
      </c>
      <c r="R27" s="5">
        <v>113087</v>
      </c>
      <c r="S27" s="5">
        <v>28698</v>
      </c>
      <c r="T27" s="6">
        <f t="shared" si="6"/>
        <v>70968</v>
      </c>
      <c r="U27" s="5">
        <v>99666</v>
      </c>
      <c r="V27" s="7">
        <f t="shared" si="7"/>
        <v>0.88132146046848892</v>
      </c>
      <c r="W27" s="5">
        <v>116164</v>
      </c>
      <c r="X27" s="5">
        <v>34265</v>
      </c>
      <c r="Y27" s="6">
        <f t="shared" si="8"/>
        <v>68644</v>
      </c>
      <c r="Z27" s="5">
        <v>102909</v>
      </c>
      <c r="AA27" s="7">
        <f t="shared" si="9"/>
        <v>0.88589408078234222</v>
      </c>
      <c r="AB27" s="6">
        <v>165468</v>
      </c>
      <c r="AC27" s="2">
        <v>60841</v>
      </c>
      <c r="AD27" s="6">
        <f t="shared" si="10"/>
        <v>87063</v>
      </c>
      <c r="AE27" s="5">
        <v>147904</v>
      </c>
      <c r="AF27" s="7">
        <f t="shared" si="11"/>
        <v>0.89385258781154064</v>
      </c>
      <c r="AG27" s="5">
        <v>116084</v>
      </c>
      <c r="AH27" s="5">
        <v>38615</v>
      </c>
      <c r="AI27" s="6">
        <f t="shared" si="12"/>
        <v>63661</v>
      </c>
      <c r="AJ27" s="5">
        <v>102276</v>
      </c>
      <c r="AK27" s="7">
        <f t="shared" si="13"/>
        <v>0.8810516522518177</v>
      </c>
      <c r="AL27" s="5">
        <v>117992</v>
      </c>
      <c r="AM27" s="5">
        <v>71116</v>
      </c>
      <c r="AN27" s="6">
        <f t="shared" si="14"/>
        <v>33239</v>
      </c>
      <c r="AO27" s="5">
        <v>104355</v>
      </c>
      <c r="AP27" s="7">
        <f t="shared" si="15"/>
        <v>0.884424367753746</v>
      </c>
      <c r="AQ27" s="6">
        <v>170879</v>
      </c>
      <c r="AR27" s="2">
        <v>58279</v>
      </c>
      <c r="AS27" s="6">
        <f t="shared" si="16"/>
        <v>94828</v>
      </c>
      <c r="AT27" s="5">
        <v>153107</v>
      </c>
      <c r="AU27" s="7">
        <f t="shared" si="17"/>
        <v>0.89599658237700364</v>
      </c>
      <c r="AV27" s="5">
        <v>116485</v>
      </c>
      <c r="AW27" s="5">
        <v>42837</v>
      </c>
      <c r="AX27" s="6">
        <f t="shared" si="18"/>
        <v>62253</v>
      </c>
      <c r="AY27" s="5">
        <v>105090</v>
      </c>
      <c r="AZ27" s="7">
        <f t="shared" si="19"/>
        <v>0.90217624586856682</v>
      </c>
      <c r="BA27" s="5">
        <v>117017</v>
      </c>
      <c r="BB27" s="5">
        <v>44582</v>
      </c>
      <c r="BC27" s="6">
        <f t="shared" si="20"/>
        <v>62170</v>
      </c>
      <c r="BD27" s="5">
        <v>106752</v>
      </c>
      <c r="BE27" s="7">
        <f t="shared" si="21"/>
        <v>0.91227770323970026</v>
      </c>
      <c r="BF27" s="5">
        <v>172738</v>
      </c>
      <c r="BG27" s="2">
        <v>53104</v>
      </c>
      <c r="BH27" s="6">
        <f t="shared" si="22"/>
        <v>103550</v>
      </c>
      <c r="BI27" s="5">
        <v>156654</v>
      </c>
      <c r="BJ27" s="7">
        <f t="shared" si="23"/>
        <v>0.9068878880153759</v>
      </c>
    </row>
    <row r="28" spans="1:62" x14ac:dyDescent="0.3">
      <c r="A28" s="16">
        <v>19</v>
      </c>
      <c r="B28" s="2" t="s">
        <v>25</v>
      </c>
      <c r="C28" s="3">
        <v>376743</v>
      </c>
      <c r="D28" s="3">
        <v>65641</v>
      </c>
      <c r="E28" s="6">
        <f t="shared" si="0"/>
        <v>250551</v>
      </c>
      <c r="F28" s="5">
        <v>316192</v>
      </c>
      <c r="G28" s="7">
        <f t="shared" si="1"/>
        <v>0.8392777038989444</v>
      </c>
      <c r="H28" s="3">
        <v>377506</v>
      </c>
      <c r="I28" s="4">
        <v>37526</v>
      </c>
      <c r="J28" s="6">
        <f t="shared" si="2"/>
        <v>278961</v>
      </c>
      <c r="K28" s="5">
        <v>316487</v>
      </c>
      <c r="L28" s="7">
        <f t="shared" si="3"/>
        <v>0.83836283396820188</v>
      </c>
      <c r="M28" s="2">
        <v>622937</v>
      </c>
      <c r="N28" s="2">
        <v>218468</v>
      </c>
      <c r="O28" s="6">
        <f t="shared" si="4"/>
        <v>331114</v>
      </c>
      <c r="P28" s="5">
        <v>549582</v>
      </c>
      <c r="Q28" s="7">
        <f t="shared" si="5"/>
        <v>0.88224330871340118</v>
      </c>
      <c r="R28" s="5">
        <v>379798</v>
      </c>
      <c r="S28" s="5">
        <v>147750</v>
      </c>
      <c r="T28" s="6">
        <f t="shared" si="6"/>
        <v>170719</v>
      </c>
      <c r="U28" s="5">
        <v>318469</v>
      </c>
      <c r="V28" s="7">
        <f t="shared" si="7"/>
        <v>0.83852205646159272</v>
      </c>
      <c r="W28" s="5">
        <v>378910</v>
      </c>
      <c r="X28" s="5">
        <v>159245</v>
      </c>
      <c r="Y28" s="6">
        <f t="shared" si="8"/>
        <v>163232</v>
      </c>
      <c r="Z28" s="5">
        <v>322477</v>
      </c>
      <c r="AA28" s="7">
        <f t="shared" si="9"/>
        <v>0.85106489667731122</v>
      </c>
      <c r="AB28" s="6">
        <v>628364</v>
      </c>
      <c r="AC28" s="2">
        <v>305632</v>
      </c>
      <c r="AD28" s="6">
        <f t="shared" si="10"/>
        <v>254362</v>
      </c>
      <c r="AE28" s="5">
        <v>559994</v>
      </c>
      <c r="AF28" s="7">
        <f t="shared" si="11"/>
        <v>0.89119363935553275</v>
      </c>
      <c r="AG28" s="5">
        <v>375124</v>
      </c>
      <c r="AH28" s="5">
        <v>170087</v>
      </c>
      <c r="AI28" s="6">
        <f t="shared" si="12"/>
        <v>152979</v>
      </c>
      <c r="AJ28" s="5">
        <v>323066</v>
      </c>
      <c r="AK28" s="7">
        <f t="shared" si="13"/>
        <v>0.86122455508045337</v>
      </c>
      <c r="AL28" s="5">
        <v>368781</v>
      </c>
      <c r="AM28" s="5">
        <v>268059</v>
      </c>
      <c r="AN28" s="6">
        <f t="shared" si="14"/>
        <v>60411</v>
      </c>
      <c r="AO28" s="5">
        <v>328470</v>
      </c>
      <c r="AP28" s="7">
        <f t="shared" si="15"/>
        <v>0.89069122324631689</v>
      </c>
      <c r="AQ28" s="6">
        <v>617418</v>
      </c>
      <c r="AR28" s="2">
        <v>296399</v>
      </c>
      <c r="AS28" s="6">
        <f t="shared" si="16"/>
        <v>275506</v>
      </c>
      <c r="AT28" s="5">
        <v>571905</v>
      </c>
      <c r="AU28" s="7">
        <f t="shared" si="17"/>
        <v>0.92628494796070082</v>
      </c>
      <c r="AV28" s="5">
        <v>357852</v>
      </c>
      <c r="AW28" s="5">
        <v>186563</v>
      </c>
      <c r="AX28" s="6">
        <f t="shared" si="18"/>
        <v>144543</v>
      </c>
      <c r="AY28" s="5">
        <v>331106</v>
      </c>
      <c r="AZ28" s="7">
        <f t="shared" si="19"/>
        <v>0.92525960452924672</v>
      </c>
      <c r="BA28" s="5">
        <v>359943</v>
      </c>
      <c r="BB28" s="5">
        <v>195232</v>
      </c>
      <c r="BC28" s="6">
        <f t="shared" si="20"/>
        <v>140367</v>
      </c>
      <c r="BD28" s="5">
        <v>335599</v>
      </c>
      <c r="BE28" s="7">
        <f t="shared" si="21"/>
        <v>0.93236706923040591</v>
      </c>
      <c r="BF28" s="5">
        <v>622234</v>
      </c>
      <c r="BG28" s="2">
        <v>301190</v>
      </c>
      <c r="BH28" s="6">
        <f t="shared" si="22"/>
        <v>281152</v>
      </c>
      <c r="BI28" s="5">
        <v>582342</v>
      </c>
      <c r="BJ28" s="7">
        <f t="shared" si="23"/>
        <v>0.93588907067116234</v>
      </c>
    </row>
    <row r="29" spans="1:62" x14ac:dyDescent="0.3">
      <c r="A29" s="16">
        <v>20</v>
      </c>
      <c r="B29" s="2" t="s">
        <v>26</v>
      </c>
      <c r="C29" s="3">
        <v>108412</v>
      </c>
      <c r="D29" s="3">
        <v>12086</v>
      </c>
      <c r="E29" s="6">
        <f t="shared" si="0"/>
        <v>89408</v>
      </c>
      <c r="F29" s="5">
        <v>101494</v>
      </c>
      <c r="G29" s="7">
        <f t="shared" si="1"/>
        <v>0.9361878758808988</v>
      </c>
      <c r="H29" s="3">
        <v>108534</v>
      </c>
      <c r="I29" s="4">
        <v>12031</v>
      </c>
      <c r="J29" s="6">
        <f t="shared" si="2"/>
        <v>89385</v>
      </c>
      <c r="K29" s="5">
        <v>101416</v>
      </c>
      <c r="L29" s="7">
        <f t="shared" si="3"/>
        <v>0.93441686476127295</v>
      </c>
      <c r="M29" s="2">
        <v>155259</v>
      </c>
      <c r="N29" s="2">
        <v>46350</v>
      </c>
      <c r="O29" s="6">
        <f t="shared" si="4"/>
        <v>99082</v>
      </c>
      <c r="P29" s="5">
        <v>145432</v>
      </c>
      <c r="Q29" s="7">
        <f t="shared" si="5"/>
        <v>0.93670576262889749</v>
      </c>
      <c r="R29" s="5">
        <v>111838</v>
      </c>
      <c r="S29" s="5">
        <v>42149</v>
      </c>
      <c r="T29" s="6">
        <f t="shared" si="6"/>
        <v>61574</v>
      </c>
      <c r="U29" s="5">
        <v>103723</v>
      </c>
      <c r="V29" s="7">
        <f t="shared" si="7"/>
        <v>0.92743968955095768</v>
      </c>
      <c r="W29" s="5">
        <v>113722</v>
      </c>
      <c r="X29" s="5">
        <v>46373</v>
      </c>
      <c r="Y29" s="6">
        <f t="shared" si="8"/>
        <v>58676</v>
      </c>
      <c r="Z29" s="5">
        <v>105049</v>
      </c>
      <c r="AA29" s="7">
        <f t="shared" si="9"/>
        <v>0.92373507324879967</v>
      </c>
      <c r="AB29" s="6">
        <v>160157</v>
      </c>
      <c r="AC29" s="2">
        <v>72727</v>
      </c>
      <c r="AD29" s="6">
        <f t="shared" si="10"/>
        <v>76487</v>
      </c>
      <c r="AE29" s="5">
        <v>149214</v>
      </c>
      <c r="AF29" s="7">
        <f t="shared" si="11"/>
        <v>0.93167329557871337</v>
      </c>
      <c r="AG29" s="5">
        <v>115309</v>
      </c>
      <c r="AH29" s="5">
        <v>44619</v>
      </c>
      <c r="AI29" s="6">
        <f t="shared" si="12"/>
        <v>61730</v>
      </c>
      <c r="AJ29" s="5">
        <v>106349</v>
      </c>
      <c r="AK29" s="7">
        <f t="shared" si="13"/>
        <v>0.92229574447788121</v>
      </c>
      <c r="AL29" s="5">
        <v>116530</v>
      </c>
      <c r="AM29" s="5">
        <v>85064</v>
      </c>
      <c r="AN29" s="6">
        <f t="shared" si="14"/>
        <v>22823</v>
      </c>
      <c r="AO29" s="5">
        <v>107887</v>
      </c>
      <c r="AP29" s="7">
        <f t="shared" si="15"/>
        <v>0.92583025830258303</v>
      </c>
      <c r="AQ29" s="6">
        <v>164389</v>
      </c>
      <c r="AR29" s="2">
        <v>71456</v>
      </c>
      <c r="AS29" s="6">
        <f t="shared" si="16"/>
        <v>81646</v>
      </c>
      <c r="AT29" s="5">
        <v>153102</v>
      </c>
      <c r="AU29" s="7">
        <f t="shared" si="17"/>
        <v>0.93133968817864943</v>
      </c>
      <c r="AV29" s="5">
        <v>118862</v>
      </c>
      <c r="AW29" s="5">
        <v>55093</v>
      </c>
      <c r="AX29" s="6">
        <f t="shared" si="18"/>
        <v>54655</v>
      </c>
      <c r="AY29" s="5">
        <v>109748</v>
      </c>
      <c r="AZ29" s="7">
        <f t="shared" si="19"/>
        <v>0.9233228449798927</v>
      </c>
      <c r="BA29" s="5">
        <v>119046</v>
      </c>
      <c r="BB29" s="5">
        <v>58207</v>
      </c>
      <c r="BC29" s="6">
        <f t="shared" si="20"/>
        <v>53039</v>
      </c>
      <c r="BD29" s="5">
        <v>111246</v>
      </c>
      <c r="BE29" s="7">
        <f t="shared" si="21"/>
        <v>0.93447910891588126</v>
      </c>
      <c r="BF29" s="5">
        <v>167253</v>
      </c>
      <c r="BG29" s="2">
        <v>67169</v>
      </c>
      <c r="BH29" s="6">
        <f t="shared" si="22"/>
        <v>89130</v>
      </c>
      <c r="BI29" s="5">
        <v>156299</v>
      </c>
      <c r="BJ29" s="7">
        <f t="shared" si="23"/>
        <v>0.9345064064620664</v>
      </c>
    </row>
    <row r="30" spans="1:62" x14ac:dyDescent="0.3">
      <c r="A30" s="16">
        <v>21</v>
      </c>
      <c r="B30" s="2" t="s">
        <v>27</v>
      </c>
      <c r="C30" s="3">
        <v>149317</v>
      </c>
      <c r="D30" s="3">
        <v>14755</v>
      </c>
      <c r="E30" s="6">
        <f t="shared" si="0"/>
        <v>120393</v>
      </c>
      <c r="F30" s="5">
        <v>135148</v>
      </c>
      <c r="G30" s="7">
        <f t="shared" si="1"/>
        <v>0.90510792475069823</v>
      </c>
      <c r="H30" s="3">
        <v>149659</v>
      </c>
      <c r="I30" s="4">
        <v>12778</v>
      </c>
      <c r="J30" s="6">
        <f t="shared" si="2"/>
        <v>123006</v>
      </c>
      <c r="K30" s="5">
        <v>135784</v>
      </c>
      <c r="L30" s="7">
        <f t="shared" si="3"/>
        <v>0.9072892375333258</v>
      </c>
      <c r="M30" s="2">
        <v>249952</v>
      </c>
      <c r="N30" s="2">
        <v>57765</v>
      </c>
      <c r="O30" s="6">
        <f t="shared" si="4"/>
        <v>169130</v>
      </c>
      <c r="P30" s="5">
        <v>226895</v>
      </c>
      <c r="Q30" s="7">
        <f t="shared" si="5"/>
        <v>0.9077542888234541</v>
      </c>
      <c r="R30" s="5">
        <v>151431</v>
      </c>
      <c r="S30" s="5">
        <v>41423</v>
      </c>
      <c r="T30" s="6">
        <f t="shared" si="6"/>
        <v>94132</v>
      </c>
      <c r="U30" s="5">
        <v>135555</v>
      </c>
      <c r="V30" s="7">
        <f t="shared" si="7"/>
        <v>0.89516017195950626</v>
      </c>
      <c r="W30" s="5">
        <v>154416</v>
      </c>
      <c r="X30" s="5">
        <v>44580</v>
      </c>
      <c r="Y30" s="6">
        <f t="shared" si="8"/>
        <v>93958</v>
      </c>
      <c r="Z30" s="5">
        <v>138538</v>
      </c>
      <c r="AA30" s="7">
        <f t="shared" si="9"/>
        <v>0.89717386799295407</v>
      </c>
      <c r="AB30" s="6">
        <v>259264</v>
      </c>
      <c r="AC30" s="2">
        <v>94071</v>
      </c>
      <c r="AD30" s="6">
        <f t="shared" si="10"/>
        <v>140057</v>
      </c>
      <c r="AE30" s="5">
        <v>234128</v>
      </c>
      <c r="AF30" s="7">
        <f t="shared" si="11"/>
        <v>0.90304862996790913</v>
      </c>
      <c r="AG30" s="5">
        <v>153178</v>
      </c>
      <c r="AH30" s="5">
        <v>54404</v>
      </c>
      <c r="AI30" s="6">
        <f t="shared" si="12"/>
        <v>82965</v>
      </c>
      <c r="AJ30" s="5">
        <v>137369</v>
      </c>
      <c r="AK30" s="7">
        <f t="shared" si="13"/>
        <v>0.89679327318544444</v>
      </c>
      <c r="AL30" s="5">
        <v>156106</v>
      </c>
      <c r="AM30" s="5">
        <v>103692</v>
      </c>
      <c r="AN30" s="6">
        <f t="shared" si="14"/>
        <v>37360</v>
      </c>
      <c r="AO30" s="5">
        <v>141052</v>
      </c>
      <c r="AP30" s="7">
        <f t="shared" si="15"/>
        <v>0.90356552598875128</v>
      </c>
      <c r="AQ30" s="6">
        <v>266513</v>
      </c>
      <c r="AR30" s="2">
        <v>96956</v>
      </c>
      <c r="AS30" s="6">
        <f t="shared" si="16"/>
        <v>145550</v>
      </c>
      <c r="AT30" s="5">
        <v>242506</v>
      </c>
      <c r="AU30" s="7">
        <f t="shared" si="17"/>
        <v>0.90992184246171859</v>
      </c>
      <c r="AV30" s="5">
        <v>155103</v>
      </c>
      <c r="AW30" s="5">
        <v>60860</v>
      </c>
      <c r="AX30" s="6">
        <f t="shared" si="18"/>
        <v>81276</v>
      </c>
      <c r="AY30" s="5">
        <v>142136</v>
      </c>
      <c r="AZ30" s="7">
        <f t="shared" si="19"/>
        <v>0.91639749069972853</v>
      </c>
      <c r="BA30" s="5">
        <v>156855</v>
      </c>
      <c r="BB30" s="5">
        <v>64032</v>
      </c>
      <c r="BC30" s="6">
        <f t="shared" si="20"/>
        <v>80545</v>
      </c>
      <c r="BD30" s="5">
        <v>144577</v>
      </c>
      <c r="BE30" s="7">
        <f t="shared" si="21"/>
        <v>0.92172388511682768</v>
      </c>
      <c r="BF30" s="5">
        <v>270589</v>
      </c>
      <c r="BG30" s="2">
        <v>91709</v>
      </c>
      <c r="BH30" s="6">
        <f t="shared" si="22"/>
        <v>155907</v>
      </c>
      <c r="BI30" s="5">
        <v>247616</v>
      </c>
      <c r="BJ30" s="7">
        <f t="shared" si="23"/>
        <v>0.9151000225434146</v>
      </c>
    </row>
    <row r="31" spans="1:62" x14ac:dyDescent="0.3">
      <c r="A31" s="16">
        <v>22</v>
      </c>
      <c r="B31" s="2" t="s">
        <v>43</v>
      </c>
      <c r="C31" s="3">
        <v>71837</v>
      </c>
      <c r="D31" s="3">
        <v>6699</v>
      </c>
      <c r="E31" s="6">
        <f t="shared" si="0"/>
        <v>59921</v>
      </c>
      <c r="F31" s="5">
        <v>66620</v>
      </c>
      <c r="G31" s="7">
        <f t="shared" si="1"/>
        <v>0.92737725684535821</v>
      </c>
      <c r="H31" s="3">
        <v>72505</v>
      </c>
      <c r="I31" s="4">
        <v>8983</v>
      </c>
      <c r="J31" s="6">
        <f t="shared" si="2"/>
        <v>57743</v>
      </c>
      <c r="K31" s="5">
        <v>66726</v>
      </c>
      <c r="L31" s="7">
        <f t="shared" si="3"/>
        <v>0.92029515205847867</v>
      </c>
      <c r="M31" s="2">
        <v>118891</v>
      </c>
      <c r="N31" s="2">
        <v>31455</v>
      </c>
      <c r="O31" s="6">
        <f t="shared" si="4"/>
        <v>80425</v>
      </c>
      <c r="P31" s="5">
        <v>111880</v>
      </c>
      <c r="Q31" s="7">
        <f t="shared" si="5"/>
        <v>0.9410300190931189</v>
      </c>
      <c r="R31" s="5">
        <v>72813</v>
      </c>
      <c r="S31" s="5">
        <v>24169</v>
      </c>
      <c r="T31" s="6">
        <f t="shared" si="6"/>
        <v>42985</v>
      </c>
      <c r="U31" s="5">
        <v>67154</v>
      </c>
      <c r="V31" s="7">
        <f t="shared" si="7"/>
        <v>0.92228036202326502</v>
      </c>
      <c r="W31" s="5">
        <v>74776</v>
      </c>
      <c r="X31" s="5">
        <v>26804</v>
      </c>
      <c r="Y31" s="6">
        <f t="shared" si="8"/>
        <v>42007</v>
      </c>
      <c r="Z31" s="5">
        <v>68811</v>
      </c>
      <c r="AA31" s="7">
        <f t="shared" si="9"/>
        <v>0.92022841553439605</v>
      </c>
      <c r="AB31" s="6">
        <v>124489</v>
      </c>
      <c r="AC31" s="2">
        <v>51226</v>
      </c>
      <c r="AD31" s="6">
        <f t="shared" si="10"/>
        <v>65129</v>
      </c>
      <c r="AE31" s="5">
        <v>116355</v>
      </c>
      <c r="AF31" s="7">
        <f t="shared" si="11"/>
        <v>0.93466089373358285</v>
      </c>
      <c r="AG31" s="5">
        <v>73552</v>
      </c>
      <c r="AH31" s="5">
        <v>28366</v>
      </c>
      <c r="AI31" s="6">
        <f t="shared" si="12"/>
        <v>38804</v>
      </c>
      <c r="AJ31" s="5">
        <v>67170</v>
      </c>
      <c r="AK31" s="7">
        <f t="shared" si="13"/>
        <v>0.91323145529693284</v>
      </c>
      <c r="AL31" s="5">
        <v>74464</v>
      </c>
      <c r="AM31" s="5">
        <v>47503</v>
      </c>
      <c r="AN31" s="6">
        <f t="shared" si="14"/>
        <v>20749</v>
      </c>
      <c r="AO31" s="5">
        <v>68252</v>
      </c>
      <c r="AP31" s="7">
        <f t="shared" si="15"/>
        <v>0.91657713794585305</v>
      </c>
      <c r="AQ31" s="6">
        <v>126646</v>
      </c>
      <c r="AR31" s="2">
        <v>51242</v>
      </c>
      <c r="AS31" s="6">
        <f t="shared" si="16"/>
        <v>67776</v>
      </c>
      <c r="AT31" s="5">
        <v>119018</v>
      </c>
      <c r="AU31" s="7">
        <f t="shared" si="17"/>
        <v>0.9397691202248788</v>
      </c>
      <c r="AV31" s="5">
        <v>72827</v>
      </c>
      <c r="AW31" s="5">
        <v>34552</v>
      </c>
      <c r="AX31" s="6">
        <f t="shared" si="18"/>
        <v>33468</v>
      </c>
      <c r="AY31" s="5">
        <v>68020</v>
      </c>
      <c r="AZ31" s="7">
        <f t="shared" si="19"/>
        <v>0.93399426037046696</v>
      </c>
      <c r="BA31" s="5">
        <v>73978</v>
      </c>
      <c r="BB31" s="5">
        <v>36999</v>
      </c>
      <c r="BC31" s="6">
        <f t="shared" si="20"/>
        <v>32849</v>
      </c>
      <c r="BD31" s="5">
        <v>69848</v>
      </c>
      <c r="BE31" s="7">
        <f t="shared" si="21"/>
        <v>0.9441725918516316</v>
      </c>
      <c r="BF31" s="5">
        <v>129555</v>
      </c>
      <c r="BG31" s="2">
        <v>49378</v>
      </c>
      <c r="BH31" s="6">
        <f t="shared" si="22"/>
        <v>72580</v>
      </c>
      <c r="BI31" s="5">
        <v>121958</v>
      </c>
      <c r="BJ31" s="7">
        <f t="shared" si="23"/>
        <v>0.94136081201034305</v>
      </c>
    </row>
    <row r="32" spans="1:62" x14ac:dyDescent="0.3">
      <c r="A32" s="16">
        <v>23</v>
      </c>
      <c r="B32" s="2" t="s">
        <v>28</v>
      </c>
      <c r="C32" s="3">
        <v>185661</v>
      </c>
      <c r="D32" s="3">
        <v>16267</v>
      </c>
      <c r="E32" s="6">
        <f t="shared" si="0"/>
        <v>159904</v>
      </c>
      <c r="F32" s="5">
        <v>176171</v>
      </c>
      <c r="G32" s="7">
        <f t="shared" si="1"/>
        <v>0.94888533402276187</v>
      </c>
      <c r="H32" s="3">
        <v>186389</v>
      </c>
      <c r="I32" s="4">
        <v>21999</v>
      </c>
      <c r="J32" s="6">
        <f t="shared" si="2"/>
        <v>154552</v>
      </c>
      <c r="K32" s="5">
        <v>176551</v>
      </c>
      <c r="L32" s="7">
        <f t="shared" si="3"/>
        <v>0.94721791522031884</v>
      </c>
      <c r="M32" s="2">
        <v>382231</v>
      </c>
      <c r="N32" s="2">
        <v>105870</v>
      </c>
      <c r="O32" s="6">
        <f t="shared" si="4"/>
        <v>258309</v>
      </c>
      <c r="P32" s="5">
        <v>364179</v>
      </c>
      <c r="Q32" s="7">
        <f t="shared" si="5"/>
        <v>0.9527720148287292</v>
      </c>
      <c r="R32" s="5">
        <v>184231</v>
      </c>
      <c r="S32" s="5">
        <v>63507</v>
      </c>
      <c r="T32" s="6">
        <f t="shared" si="6"/>
        <v>109776</v>
      </c>
      <c r="U32" s="5">
        <v>173283</v>
      </c>
      <c r="V32" s="7">
        <f t="shared" si="7"/>
        <v>0.94057460470821952</v>
      </c>
      <c r="W32" s="5">
        <v>187639</v>
      </c>
      <c r="X32" s="5">
        <v>70382</v>
      </c>
      <c r="Y32" s="6">
        <f t="shared" si="8"/>
        <v>107228</v>
      </c>
      <c r="Z32" s="5">
        <v>177610</v>
      </c>
      <c r="AA32" s="7">
        <f t="shared" si="9"/>
        <v>0.94655162306343565</v>
      </c>
      <c r="AB32" s="6">
        <v>392348</v>
      </c>
      <c r="AC32" s="2">
        <v>159797</v>
      </c>
      <c r="AD32" s="6">
        <f t="shared" si="10"/>
        <v>213238</v>
      </c>
      <c r="AE32" s="5">
        <v>373035</v>
      </c>
      <c r="AF32" s="7">
        <f t="shared" si="11"/>
        <v>0.95077584185468</v>
      </c>
      <c r="AG32" s="5">
        <v>183147</v>
      </c>
      <c r="AH32" s="5">
        <v>75244</v>
      </c>
      <c r="AI32" s="6">
        <f t="shared" si="12"/>
        <v>99029</v>
      </c>
      <c r="AJ32" s="5">
        <v>174273</v>
      </c>
      <c r="AK32" s="7">
        <f t="shared" si="13"/>
        <v>0.95154711788890889</v>
      </c>
      <c r="AL32" s="5">
        <v>187303</v>
      </c>
      <c r="AM32" s="5">
        <v>133523</v>
      </c>
      <c r="AN32" s="6">
        <f t="shared" si="14"/>
        <v>44654</v>
      </c>
      <c r="AO32" s="5">
        <v>178177</v>
      </c>
      <c r="AP32" s="7">
        <f t="shared" si="15"/>
        <v>0.95127680816644689</v>
      </c>
      <c r="AQ32" s="6">
        <v>402574</v>
      </c>
      <c r="AR32" s="2">
        <v>168887</v>
      </c>
      <c r="AS32" s="6">
        <f t="shared" si="16"/>
        <v>213499</v>
      </c>
      <c r="AT32" s="5">
        <v>382386</v>
      </c>
      <c r="AU32" s="7">
        <f t="shared" si="17"/>
        <v>0.94985269788908377</v>
      </c>
      <c r="AV32" s="5">
        <v>187080</v>
      </c>
      <c r="AW32" s="5">
        <v>97991</v>
      </c>
      <c r="AX32" s="6">
        <f t="shared" si="18"/>
        <v>80107</v>
      </c>
      <c r="AY32" s="5">
        <v>178098</v>
      </c>
      <c r="AZ32" s="7">
        <f t="shared" si="19"/>
        <v>0.95198845413726751</v>
      </c>
      <c r="BA32" s="5">
        <v>189893</v>
      </c>
      <c r="BB32" s="5">
        <v>103550</v>
      </c>
      <c r="BC32" s="6">
        <f t="shared" si="20"/>
        <v>79052</v>
      </c>
      <c r="BD32" s="5">
        <v>182602</v>
      </c>
      <c r="BE32" s="7">
        <f t="shared" si="21"/>
        <v>0.96160469316931119</v>
      </c>
      <c r="BF32" s="5">
        <v>410654</v>
      </c>
      <c r="BG32" s="2">
        <v>161081</v>
      </c>
      <c r="BH32" s="6">
        <f t="shared" si="22"/>
        <v>227775</v>
      </c>
      <c r="BI32" s="5">
        <v>388856</v>
      </c>
      <c r="BJ32" s="7">
        <f t="shared" si="23"/>
        <v>0.94691881730118299</v>
      </c>
    </row>
    <row r="33" spans="1:62" x14ac:dyDescent="0.3">
      <c r="A33" s="16">
        <v>24</v>
      </c>
      <c r="B33" s="2" t="s">
        <v>46</v>
      </c>
      <c r="C33" s="3">
        <v>554520</v>
      </c>
      <c r="D33" s="3">
        <v>136582</v>
      </c>
      <c r="E33" s="6">
        <f t="shared" si="0"/>
        <v>398265</v>
      </c>
      <c r="F33" s="5">
        <v>534847</v>
      </c>
      <c r="G33" s="7">
        <f t="shared" si="1"/>
        <v>0.96452246988386348</v>
      </c>
      <c r="H33" s="3">
        <v>558618</v>
      </c>
      <c r="I33" s="4">
        <v>127656</v>
      </c>
      <c r="J33" s="6">
        <f t="shared" si="2"/>
        <v>412279</v>
      </c>
      <c r="K33" s="5">
        <v>539935</v>
      </c>
      <c r="L33" s="7">
        <f t="shared" si="3"/>
        <v>0.96655496242512773</v>
      </c>
      <c r="M33" s="2">
        <v>943614</v>
      </c>
      <c r="N33" s="2">
        <v>593234</v>
      </c>
      <c r="O33" s="6">
        <f t="shared" si="4"/>
        <v>332791</v>
      </c>
      <c r="P33" s="5">
        <v>926025</v>
      </c>
      <c r="Q33" s="7">
        <f t="shared" si="5"/>
        <v>0.981359962866172</v>
      </c>
      <c r="R33" s="5">
        <v>563773</v>
      </c>
      <c r="S33" s="5">
        <v>398665</v>
      </c>
      <c r="T33" s="6">
        <f t="shared" si="6"/>
        <v>150543</v>
      </c>
      <c r="U33" s="5">
        <v>549208</v>
      </c>
      <c r="V33" s="7">
        <f t="shared" si="7"/>
        <v>0.9741651338393289</v>
      </c>
      <c r="W33" s="5">
        <v>571583</v>
      </c>
      <c r="X33" s="5">
        <v>414903</v>
      </c>
      <c r="Y33" s="6">
        <f t="shared" si="8"/>
        <v>139905</v>
      </c>
      <c r="Z33" s="5">
        <v>554808</v>
      </c>
      <c r="AA33" s="7">
        <f t="shared" si="9"/>
        <v>0.9706516813831062</v>
      </c>
      <c r="AB33" s="6">
        <v>961057</v>
      </c>
      <c r="AC33" s="2">
        <v>721065</v>
      </c>
      <c r="AD33" s="6">
        <f t="shared" si="10"/>
        <v>220241</v>
      </c>
      <c r="AE33" s="5">
        <v>941306</v>
      </c>
      <c r="AF33" s="7">
        <f t="shared" si="11"/>
        <v>0.97944866953781096</v>
      </c>
      <c r="AG33" s="5">
        <v>565645</v>
      </c>
      <c r="AH33" s="5">
        <v>396265</v>
      </c>
      <c r="AI33" s="6">
        <f t="shared" si="12"/>
        <v>154559</v>
      </c>
      <c r="AJ33" s="5">
        <v>550824</v>
      </c>
      <c r="AK33" s="7">
        <f t="shared" si="13"/>
        <v>0.97379805354948779</v>
      </c>
      <c r="AL33" s="5">
        <v>569536</v>
      </c>
      <c r="AM33" s="5">
        <v>503663</v>
      </c>
      <c r="AN33" s="6">
        <f t="shared" si="14"/>
        <v>52854</v>
      </c>
      <c r="AO33" s="5">
        <v>556517</v>
      </c>
      <c r="AP33" s="7">
        <f t="shared" si="15"/>
        <v>0.97714104112821665</v>
      </c>
      <c r="AQ33" s="6">
        <v>971221</v>
      </c>
      <c r="AR33" s="2">
        <v>737289</v>
      </c>
      <c r="AS33" s="6">
        <f t="shared" si="16"/>
        <v>215727</v>
      </c>
      <c r="AT33" s="5">
        <v>953016</v>
      </c>
      <c r="AU33" s="7">
        <f t="shared" si="17"/>
        <v>0.98125555357637451</v>
      </c>
      <c r="AV33" s="5">
        <v>571074</v>
      </c>
      <c r="AW33" s="5">
        <v>459519</v>
      </c>
      <c r="AX33" s="6">
        <f t="shared" si="18"/>
        <v>101114</v>
      </c>
      <c r="AY33" s="5">
        <v>560633</v>
      </c>
      <c r="AZ33" s="7">
        <f t="shared" si="19"/>
        <v>0.9817169053397633</v>
      </c>
      <c r="BA33" s="5">
        <v>575700</v>
      </c>
      <c r="BB33" s="5">
        <v>475872</v>
      </c>
      <c r="BC33" s="6">
        <f t="shared" si="20"/>
        <v>95014</v>
      </c>
      <c r="BD33" s="5">
        <v>570886</v>
      </c>
      <c r="BE33" s="7">
        <f t="shared" si="21"/>
        <v>0.99163800590585371</v>
      </c>
      <c r="BF33" s="5">
        <v>986775</v>
      </c>
      <c r="BG33" s="2">
        <v>751300</v>
      </c>
      <c r="BH33" s="6">
        <f t="shared" si="22"/>
        <v>221385</v>
      </c>
      <c r="BI33" s="5">
        <v>972685</v>
      </c>
      <c r="BJ33" s="7">
        <f t="shared" si="23"/>
        <v>0.98572116237237462</v>
      </c>
    </row>
    <row r="34" spans="1:62" x14ac:dyDescent="0.3">
      <c r="A34" s="16">
        <v>25</v>
      </c>
      <c r="B34" s="2" t="s">
        <v>29</v>
      </c>
      <c r="C34" s="3">
        <v>0</v>
      </c>
      <c r="D34" s="3">
        <v>0</v>
      </c>
      <c r="E34" s="3">
        <v>0</v>
      </c>
      <c r="F34" s="5">
        <v>63</v>
      </c>
      <c r="G34" s="3">
        <v>0</v>
      </c>
      <c r="H34" s="3">
        <v>0</v>
      </c>
      <c r="I34" s="3">
        <v>0</v>
      </c>
      <c r="J34" s="3">
        <v>0</v>
      </c>
      <c r="K34" s="3">
        <v>61</v>
      </c>
      <c r="L34" s="3">
        <v>0</v>
      </c>
      <c r="M34" s="3">
        <v>0</v>
      </c>
      <c r="N34" s="3">
        <v>0</v>
      </c>
      <c r="O34" s="3">
        <v>0</v>
      </c>
      <c r="P34" s="3">
        <v>72</v>
      </c>
      <c r="Q34" s="3">
        <v>0</v>
      </c>
      <c r="R34" s="3">
        <v>0</v>
      </c>
      <c r="S34" s="3">
        <v>0</v>
      </c>
      <c r="T34" s="3">
        <v>0</v>
      </c>
      <c r="U34" s="3">
        <v>55</v>
      </c>
      <c r="V34" s="3">
        <v>0</v>
      </c>
      <c r="W34" s="3">
        <v>0</v>
      </c>
      <c r="X34" s="3">
        <v>0</v>
      </c>
      <c r="Y34" s="3">
        <v>0</v>
      </c>
      <c r="Z34" s="3">
        <v>59</v>
      </c>
      <c r="AA34" s="3">
        <v>0</v>
      </c>
      <c r="AB34" s="3">
        <v>0</v>
      </c>
      <c r="AC34" s="3">
        <v>0</v>
      </c>
      <c r="AD34" s="3">
        <v>0</v>
      </c>
      <c r="AE34" s="5">
        <v>74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5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5">
        <v>0</v>
      </c>
      <c r="BJ34" s="3">
        <v>0</v>
      </c>
    </row>
    <row r="35" spans="1:62" x14ac:dyDescent="0.3">
      <c r="A35" s="16">
        <v>26</v>
      </c>
      <c r="B35" s="2" t="s">
        <v>30</v>
      </c>
      <c r="C35" s="3">
        <v>11035</v>
      </c>
      <c r="D35" s="3">
        <v>3385</v>
      </c>
      <c r="E35" s="6">
        <f t="shared" si="0"/>
        <v>7056</v>
      </c>
      <c r="F35" s="5">
        <v>10441</v>
      </c>
      <c r="G35" s="7">
        <f t="shared" si="1"/>
        <v>0.94617127322156769</v>
      </c>
      <c r="H35" s="3">
        <v>10929</v>
      </c>
      <c r="I35" s="4">
        <v>3140</v>
      </c>
      <c r="J35" s="6">
        <f t="shared" si="2"/>
        <v>7301</v>
      </c>
      <c r="K35" s="5">
        <v>10441</v>
      </c>
      <c r="L35" s="7">
        <f t="shared" si="3"/>
        <v>0.95534815628145298</v>
      </c>
      <c r="M35" s="2">
        <v>13837</v>
      </c>
      <c r="N35" s="2">
        <v>7759</v>
      </c>
      <c r="O35" s="6">
        <f t="shared" si="4"/>
        <v>5611</v>
      </c>
      <c r="P35" s="5">
        <v>13370</v>
      </c>
      <c r="Q35" s="7">
        <f t="shared" si="5"/>
        <v>0.96624990966249913</v>
      </c>
      <c r="R35" s="5">
        <v>11094</v>
      </c>
      <c r="S35" s="5">
        <v>7179</v>
      </c>
      <c r="T35" s="6">
        <f t="shared" si="6"/>
        <v>3372</v>
      </c>
      <c r="U35" s="5">
        <v>10551</v>
      </c>
      <c r="V35" s="7">
        <f t="shared" si="7"/>
        <v>0.95105462412114661</v>
      </c>
      <c r="W35" s="5">
        <v>11128</v>
      </c>
      <c r="X35" s="5">
        <v>7408</v>
      </c>
      <c r="Y35" s="6">
        <f t="shared" si="8"/>
        <v>3183</v>
      </c>
      <c r="Z35" s="5">
        <v>10591</v>
      </c>
      <c r="AA35" s="7">
        <f t="shared" si="9"/>
        <v>0.95174335010783606</v>
      </c>
      <c r="AB35" s="6">
        <v>14078</v>
      </c>
      <c r="AC35" s="2">
        <v>9400</v>
      </c>
      <c r="AD35" s="6">
        <f t="shared" si="10"/>
        <v>4074</v>
      </c>
      <c r="AE35" s="5">
        <v>13474</v>
      </c>
      <c r="AF35" s="7">
        <f t="shared" si="11"/>
        <v>0.95709617843443673</v>
      </c>
      <c r="AG35" s="5">
        <v>11277</v>
      </c>
      <c r="AH35" s="5">
        <v>7251</v>
      </c>
      <c r="AI35" s="6">
        <f t="shared" si="12"/>
        <v>3422</v>
      </c>
      <c r="AJ35" s="5">
        <v>10673</v>
      </c>
      <c r="AK35" s="7">
        <f t="shared" si="13"/>
        <v>0.94643965593686263</v>
      </c>
      <c r="AL35" s="5">
        <v>11345</v>
      </c>
      <c r="AM35" s="5">
        <v>9319</v>
      </c>
      <c r="AN35" s="6">
        <f t="shared" si="14"/>
        <v>1442</v>
      </c>
      <c r="AO35" s="5">
        <v>10761</v>
      </c>
      <c r="AP35" s="7">
        <f t="shared" si="15"/>
        <v>0.94852357866901715</v>
      </c>
      <c r="AQ35" s="6">
        <v>14313</v>
      </c>
      <c r="AR35" s="2">
        <v>9812</v>
      </c>
      <c r="AS35" s="6">
        <f t="shared" si="16"/>
        <v>3925</v>
      </c>
      <c r="AT35" s="5">
        <v>13737</v>
      </c>
      <c r="AU35" s="7">
        <f t="shared" si="17"/>
        <v>0.95975686438901697</v>
      </c>
      <c r="AV35" s="5">
        <v>11396</v>
      </c>
      <c r="AW35" s="5">
        <v>8263</v>
      </c>
      <c r="AX35" s="6">
        <f t="shared" si="18"/>
        <v>2631</v>
      </c>
      <c r="AY35" s="5">
        <v>10894</v>
      </c>
      <c r="AZ35" s="7">
        <f t="shared" si="19"/>
        <v>0.95594945594945591</v>
      </c>
      <c r="BA35" s="5">
        <v>11511</v>
      </c>
      <c r="BB35" s="5">
        <v>8604</v>
      </c>
      <c r="BC35" s="6">
        <f t="shared" si="20"/>
        <v>2420</v>
      </c>
      <c r="BD35" s="5">
        <v>11024</v>
      </c>
      <c r="BE35" s="7">
        <f t="shared" si="21"/>
        <v>0.957692641820867</v>
      </c>
      <c r="BF35" s="5">
        <v>14581</v>
      </c>
      <c r="BG35" s="2">
        <v>10153</v>
      </c>
      <c r="BH35" s="6">
        <f t="shared" ref="BH35:BH48" si="24">BI35-BG35</f>
        <v>3821</v>
      </c>
      <c r="BI35" s="5">
        <v>13974</v>
      </c>
      <c r="BJ35" s="7">
        <f t="shared" ref="BJ35:BJ48" si="25">BI35/BF35</f>
        <v>0.95837048213428433</v>
      </c>
    </row>
    <row r="36" spans="1:62" x14ac:dyDescent="0.3">
      <c r="A36" s="16">
        <v>27</v>
      </c>
      <c r="B36" s="2" t="s">
        <v>44</v>
      </c>
      <c r="C36" s="3">
        <v>747626</v>
      </c>
      <c r="D36" s="3">
        <v>143841</v>
      </c>
      <c r="E36" s="6">
        <f t="shared" si="0"/>
        <v>564965</v>
      </c>
      <c r="F36" s="5">
        <v>708806</v>
      </c>
      <c r="G36" s="7">
        <f t="shared" si="1"/>
        <v>0.94807564209912443</v>
      </c>
      <c r="H36" s="3">
        <v>754952</v>
      </c>
      <c r="I36" s="4">
        <v>124564</v>
      </c>
      <c r="J36" s="6">
        <f t="shared" si="2"/>
        <v>589842</v>
      </c>
      <c r="K36" s="5">
        <v>714406</v>
      </c>
      <c r="L36" s="7">
        <f t="shared" si="3"/>
        <v>0.94629327427439092</v>
      </c>
      <c r="M36" s="2">
        <v>1378095</v>
      </c>
      <c r="N36" s="2">
        <v>573312</v>
      </c>
      <c r="O36" s="6">
        <f t="shared" si="4"/>
        <v>749545</v>
      </c>
      <c r="P36" s="5">
        <v>1322857</v>
      </c>
      <c r="Q36" s="7">
        <f t="shared" si="5"/>
        <v>0.9599171319829185</v>
      </c>
      <c r="R36" s="5">
        <v>758000</v>
      </c>
      <c r="S36" s="5">
        <v>368186</v>
      </c>
      <c r="T36" s="6">
        <f t="shared" si="6"/>
        <v>349427</v>
      </c>
      <c r="U36" s="5">
        <v>717613</v>
      </c>
      <c r="V36" s="7">
        <f t="shared" si="7"/>
        <v>0.94671899736147758</v>
      </c>
      <c r="W36" s="5">
        <v>766789</v>
      </c>
      <c r="X36" s="5">
        <v>379260</v>
      </c>
      <c r="Y36" s="6">
        <f t="shared" si="8"/>
        <v>352552</v>
      </c>
      <c r="Z36" s="5">
        <v>731812</v>
      </c>
      <c r="AA36" s="7">
        <f t="shared" si="9"/>
        <v>0.95438510463765125</v>
      </c>
      <c r="AB36" s="6">
        <v>1410553</v>
      </c>
      <c r="AC36" s="2">
        <v>772949</v>
      </c>
      <c r="AD36" s="6">
        <f t="shared" si="10"/>
        <v>580380</v>
      </c>
      <c r="AE36" s="5">
        <v>1353329</v>
      </c>
      <c r="AF36" s="7">
        <f t="shared" si="11"/>
        <v>0.95943151373964675</v>
      </c>
      <c r="AG36" s="5">
        <v>767229</v>
      </c>
      <c r="AH36" s="5">
        <v>408037</v>
      </c>
      <c r="AI36" s="6">
        <f t="shared" si="12"/>
        <v>321713</v>
      </c>
      <c r="AJ36" s="5">
        <v>729750</v>
      </c>
      <c r="AK36" s="7">
        <f t="shared" si="13"/>
        <v>0.95115017810849167</v>
      </c>
      <c r="AL36" s="5">
        <v>779513</v>
      </c>
      <c r="AM36" s="5">
        <v>582632</v>
      </c>
      <c r="AN36" s="6">
        <f t="shared" si="14"/>
        <v>159033</v>
      </c>
      <c r="AO36" s="5">
        <v>741665</v>
      </c>
      <c r="AP36" s="7">
        <f t="shared" si="15"/>
        <v>0.95144660833109906</v>
      </c>
      <c r="AQ36" s="6">
        <v>1443943</v>
      </c>
      <c r="AR36" s="2">
        <v>826867</v>
      </c>
      <c r="AS36" s="6">
        <f t="shared" si="16"/>
        <v>553796</v>
      </c>
      <c r="AT36" s="5">
        <v>1380663</v>
      </c>
      <c r="AU36" s="7">
        <f t="shared" si="17"/>
        <v>0.95617555540627297</v>
      </c>
      <c r="AV36" s="5">
        <v>783108</v>
      </c>
      <c r="AW36" s="5">
        <v>486298</v>
      </c>
      <c r="AX36" s="6">
        <f t="shared" si="18"/>
        <v>259350</v>
      </c>
      <c r="AY36" s="5">
        <v>745648</v>
      </c>
      <c r="AZ36" s="7">
        <f t="shared" si="19"/>
        <v>0.95216496319792421</v>
      </c>
      <c r="BA36" s="5">
        <v>793830</v>
      </c>
      <c r="BB36" s="5">
        <v>506346</v>
      </c>
      <c r="BC36" s="6">
        <f t="shared" si="20"/>
        <v>252883</v>
      </c>
      <c r="BD36" s="5">
        <v>759229</v>
      </c>
      <c r="BE36" s="7">
        <f t="shared" si="21"/>
        <v>0.95641258203897561</v>
      </c>
      <c r="BF36" s="5">
        <v>1468416</v>
      </c>
      <c r="BG36" s="2">
        <v>849171</v>
      </c>
      <c r="BH36" s="6">
        <f t="shared" si="24"/>
        <v>554484</v>
      </c>
      <c r="BI36" s="5">
        <v>1403655</v>
      </c>
      <c r="BJ36" s="7">
        <f t="shared" si="25"/>
        <v>0.95589737513075312</v>
      </c>
    </row>
    <row r="37" spans="1:62" x14ac:dyDescent="0.3">
      <c r="A37" s="16">
        <v>29</v>
      </c>
      <c r="B37" s="2" t="s">
        <v>31</v>
      </c>
      <c r="C37" s="3">
        <v>592417</v>
      </c>
      <c r="D37" s="3">
        <v>64395</v>
      </c>
      <c r="E37" s="6">
        <f t="shared" si="0"/>
        <v>483622</v>
      </c>
      <c r="F37" s="5">
        <v>548017</v>
      </c>
      <c r="G37" s="7">
        <f t="shared" si="1"/>
        <v>0.92505279220549042</v>
      </c>
      <c r="H37" s="3">
        <v>593173</v>
      </c>
      <c r="I37" s="4">
        <v>58046</v>
      </c>
      <c r="J37" s="6">
        <f t="shared" si="2"/>
        <v>489506</v>
      </c>
      <c r="K37" s="5">
        <v>547552</v>
      </c>
      <c r="L37" s="7">
        <f t="shared" si="3"/>
        <v>0.92308989114474194</v>
      </c>
      <c r="M37" s="2">
        <v>768378</v>
      </c>
      <c r="N37" s="2">
        <v>258407</v>
      </c>
      <c r="O37" s="6">
        <f t="shared" si="4"/>
        <v>455283</v>
      </c>
      <c r="P37" s="5">
        <v>713690</v>
      </c>
      <c r="Q37" s="7">
        <f t="shared" si="5"/>
        <v>0.92882669727660083</v>
      </c>
      <c r="R37" s="5">
        <v>601605</v>
      </c>
      <c r="S37" s="5">
        <v>261644</v>
      </c>
      <c r="T37" s="6">
        <f t="shared" si="6"/>
        <v>294927</v>
      </c>
      <c r="U37" s="5">
        <v>556571</v>
      </c>
      <c r="V37" s="7">
        <f t="shared" si="7"/>
        <v>0.92514357427215532</v>
      </c>
      <c r="W37" s="5">
        <v>609453</v>
      </c>
      <c r="X37" s="5">
        <v>266037</v>
      </c>
      <c r="Y37" s="6">
        <f t="shared" si="8"/>
        <v>298811</v>
      </c>
      <c r="Z37" s="5">
        <v>564848</v>
      </c>
      <c r="AA37" s="7">
        <f t="shared" si="9"/>
        <v>0.92681141942036549</v>
      </c>
      <c r="AB37" s="6">
        <v>790568</v>
      </c>
      <c r="AC37" s="2">
        <v>393775</v>
      </c>
      <c r="AD37" s="6">
        <f t="shared" si="10"/>
        <v>342042</v>
      </c>
      <c r="AE37" s="5">
        <v>735817</v>
      </c>
      <c r="AF37" s="7">
        <f t="shared" si="11"/>
        <v>0.93074473037107497</v>
      </c>
      <c r="AG37" s="5">
        <v>617773</v>
      </c>
      <c r="AH37" s="5">
        <v>304836</v>
      </c>
      <c r="AI37" s="6">
        <f t="shared" si="12"/>
        <v>268110</v>
      </c>
      <c r="AJ37" s="5">
        <v>572946</v>
      </c>
      <c r="AK37" s="7">
        <f t="shared" si="13"/>
        <v>0.92743774816963509</v>
      </c>
      <c r="AL37" s="5">
        <v>624724</v>
      </c>
      <c r="AM37" s="5">
        <v>479854</v>
      </c>
      <c r="AN37" s="6">
        <f t="shared" si="14"/>
        <v>101180</v>
      </c>
      <c r="AO37" s="5">
        <v>581034</v>
      </c>
      <c r="AP37" s="7">
        <f t="shared" si="15"/>
        <v>0.93006511675555925</v>
      </c>
      <c r="AQ37" s="6">
        <v>810789</v>
      </c>
      <c r="AR37" s="2">
        <v>406193</v>
      </c>
      <c r="AS37" s="6">
        <f t="shared" si="16"/>
        <v>350652</v>
      </c>
      <c r="AT37" s="5">
        <v>756845</v>
      </c>
      <c r="AU37" s="7">
        <f t="shared" si="17"/>
        <v>0.93346727693641629</v>
      </c>
      <c r="AV37" s="5">
        <v>633338</v>
      </c>
      <c r="AW37" s="5">
        <v>349065</v>
      </c>
      <c r="AX37" s="6">
        <f t="shared" si="18"/>
        <v>242780</v>
      </c>
      <c r="AY37" s="5">
        <v>591845</v>
      </c>
      <c r="AZ37" s="7">
        <f t="shared" si="19"/>
        <v>0.93448521958259256</v>
      </c>
      <c r="BA37" s="5">
        <v>640933</v>
      </c>
      <c r="BB37" s="5">
        <v>364112</v>
      </c>
      <c r="BC37" s="6">
        <f t="shared" si="20"/>
        <v>236713</v>
      </c>
      <c r="BD37" s="5">
        <v>600825</v>
      </c>
      <c r="BE37" s="7">
        <f t="shared" si="21"/>
        <v>0.93742247629627429</v>
      </c>
      <c r="BF37" s="5">
        <v>830528</v>
      </c>
      <c r="BG37" s="2">
        <v>414817</v>
      </c>
      <c r="BH37" s="6">
        <f t="shared" si="24"/>
        <v>361805</v>
      </c>
      <c r="BI37" s="5">
        <v>776622</v>
      </c>
      <c r="BJ37" s="7">
        <f t="shared" si="25"/>
        <v>0.93509430145642292</v>
      </c>
    </row>
    <row r="38" spans="1:62" x14ac:dyDescent="0.3">
      <c r="A38" s="16">
        <v>30</v>
      </c>
      <c r="B38" s="2" t="s">
        <v>32</v>
      </c>
      <c r="C38" s="3">
        <v>24272</v>
      </c>
      <c r="D38" s="3">
        <v>3307</v>
      </c>
      <c r="E38" s="6">
        <f t="shared" si="0"/>
        <v>16667</v>
      </c>
      <c r="F38" s="5">
        <v>19974</v>
      </c>
      <c r="G38" s="7">
        <f t="shared" si="1"/>
        <v>0.82292353328938694</v>
      </c>
      <c r="H38" s="3">
        <v>24257</v>
      </c>
      <c r="I38" s="4">
        <v>3107</v>
      </c>
      <c r="J38" s="6">
        <f t="shared" si="2"/>
        <v>16910</v>
      </c>
      <c r="K38" s="5">
        <v>20017</v>
      </c>
      <c r="L38" s="7">
        <f t="shared" si="3"/>
        <v>0.82520509543636889</v>
      </c>
      <c r="M38" s="2">
        <v>35597</v>
      </c>
      <c r="N38" s="2">
        <v>12472</v>
      </c>
      <c r="O38" s="6">
        <f t="shared" si="4"/>
        <v>18714</v>
      </c>
      <c r="P38" s="5">
        <v>31186</v>
      </c>
      <c r="Q38" s="7">
        <f t="shared" si="5"/>
        <v>0.87608506334803493</v>
      </c>
      <c r="R38" s="5">
        <v>24050</v>
      </c>
      <c r="S38" s="5">
        <v>9261</v>
      </c>
      <c r="T38" s="6">
        <f t="shared" si="6"/>
        <v>10788</v>
      </c>
      <c r="U38" s="5">
        <v>20049</v>
      </c>
      <c r="V38" s="7">
        <f t="shared" si="7"/>
        <v>0.83363825363825361</v>
      </c>
      <c r="W38" s="5">
        <v>24263</v>
      </c>
      <c r="X38" s="5">
        <v>9072</v>
      </c>
      <c r="Y38" s="6">
        <f t="shared" si="8"/>
        <v>11161</v>
      </c>
      <c r="Z38" s="5">
        <v>20233</v>
      </c>
      <c r="AA38" s="7">
        <f t="shared" si="9"/>
        <v>0.83390347442608082</v>
      </c>
      <c r="AB38" s="6">
        <v>36018</v>
      </c>
      <c r="AC38" s="2">
        <v>16168</v>
      </c>
      <c r="AD38" s="6">
        <f t="shared" si="10"/>
        <v>15395</v>
      </c>
      <c r="AE38" s="5">
        <v>31563</v>
      </c>
      <c r="AF38" s="7">
        <f t="shared" si="11"/>
        <v>0.87631184407796103</v>
      </c>
      <c r="AG38" s="5">
        <v>24216</v>
      </c>
      <c r="AH38" s="5">
        <v>10082</v>
      </c>
      <c r="AI38" s="6">
        <f t="shared" si="12"/>
        <v>9950</v>
      </c>
      <c r="AJ38" s="5">
        <v>20032</v>
      </c>
      <c r="AK38" s="7">
        <f t="shared" si="13"/>
        <v>0.82722167162206806</v>
      </c>
      <c r="AL38" s="5">
        <v>24425</v>
      </c>
      <c r="AM38" s="5">
        <v>15044</v>
      </c>
      <c r="AN38" s="6">
        <f t="shared" si="14"/>
        <v>5305</v>
      </c>
      <c r="AO38" s="5">
        <v>20349</v>
      </c>
      <c r="AP38" s="7">
        <f t="shared" si="15"/>
        <v>0.833121801432958</v>
      </c>
      <c r="AQ38" s="6">
        <v>36434</v>
      </c>
      <c r="AR38" s="2">
        <v>16657</v>
      </c>
      <c r="AS38" s="6">
        <f t="shared" si="16"/>
        <v>15506</v>
      </c>
      <c r="AT38" s="5">
        <v>32163</v>
      </c>
      <c r="AU38" s="7">
        <f t="shared" si="17"/>
        <v>0.88277433166822195</v>
      </c>
      <c r="AV38" s="5">
        <v>24471</v>
      </c>
      <c r="AW38" s="5">
        <v>11256</v>
      </c>
      <c r="AX38" s="6">
        <f t="shared" si="18"/>
        <v>9185</v>
      </c>
      <c r="AY38" s="5">
        <v>20441</v>
      </c>
      <c r="AZ38" s="7">
        <f t="shared" si="19"/>
        <v>0.83531527113726456</v>
      </c>
      <c r="BA38" s="5">
        <v>24769</v>
      </c>
      <c r="BB38" s="5">
        <v>11541</v>
      </c>
      <c r="BC38" s="6">
        <f t="shared" si="20"/>
        <v>9161</v>
      </c>
      <c r="BD38" s="5">
        <v>20702</v>
      </c>
      <c r="BE38" s="7">
        <f t="shared" si="21"/>
        <v>0.8358028180386774</v>
      </c>
      <c r="BF38" s="5">
        <v>37269</v>
      </c>
      <c r="BG38" s="2">
        <v>16919</v>
      </c>
      <c r="BH38" s="6">
        <f t="shared" si="24"/>
        <v>15819</v>
      </c>
      <c r="BI38" s="5">
        <v>32738</v>
      </c>
      <c r="BJ38" s="7">
        <f t="shared" si="25"/>
        <v>0.8784244278086345</v>
      </c>
    </row>
    <row r="39" spans="1:62" x14ac:dyDescent="0.3">
      <c r="A39" s="16">
        <v>31</v>
      </c>
      <c r="B39" s="2" t="s">
        <v>33</v>
      </c>
      <c r="C39" s="3">
        <v>196</v>
      </c>
      <c r="D39" s="3">
        <v>25</v>
      </c>
      <c r="E39" s="6">
        <f t="shared" si="0"/>
        <v>142</v>
      </c>
      <c r="F39" s="5">
        <v>167</v>
      </c>
      <c r="G39" s="7">
        <f t="shared" si="1"/>
        <v>0.85204081632653061</v>
      </c>
      <c r="H39" s="3">
        <v>195</v>
      </c>
      <c r="I39" s="4">
        <v>29</v>
      </c>
      <c r="J39" s="6">
        <f t="shared" si="2"/>
        <v>134</v>
      </c>
      <c r="K39" s="5">
        <v>163</v>
      </c>
      <c r="L39" s="7">
        <f t="shared" si="3"/>
        <v>0.83589743589743593</v>
      </c>
      <c r="M39" s="2">
        <v>238</v>
      </c>
      <c r="N39" s="2">
        <v>62</v>
      </c>
      <c r="O39" s="6">
        <f t="shared" si="4"/>
        <v>141</v>
      </c>
      <c r="P39" s="5">
        <v>203</v>
      </c>
      <c r="Q39" s="7">
        <f t="shared" si="5"/>
        <v>0.8529411764705882</v>
      </c>
      <c r="R39" s="5">
        <v>197</v>
      </c>
      <c r="S39" s="5">
        <v>56</v>
      </c>
      <c r="T39" s="6">
        <f t="shared" si="6"/>
        <v>103</v>
      </c>
      <c r="U39" s="5">
        <v>159</v>
      </c>
      <c r="V39" s="7">
        <f t="shared" si="7"/>
        <v>0.80710659898477155</v>
      </c>
      <c r="W39" s="5">
        <v>196</v>
      </c>
      <c r="X39" s="5">
        <v>71</v>
      </c>
      <c r="Y39" s="6">
        <f t="shared" si="8"/>
        <v>89</v>
      </c>
      <c r="Z39" s="5">
        <v>160</v>
      </c>
      <c r="AA39" s="7">
        <f t="shared" si="9"/>
        <v>0.81632653061224492</v>
      </c>
      <c r="AB39" s="6">
        <v>243</v>
      </c>
      <c r="AC39" s="2">
        <v>99</v>
      </c>
      <c r="AD39" s="6">
        <f t="shared" si="10"/>
        <v>102</v>
      </c>
      <c r="AE39" s="5">
        <v>201</v>
      </c>
      <c r="AF39" s="7">
        <f t="shared" si="11"/>
        <v>0.8271604938271605</v>
      </c>
      <c r="AG39" s="5">
        <v>192</v>
      </c>
      <c r="AH39" s="5">
        <v>77</v>
      </c>
      <c r="AI39" s="6">
        <f t="shared" si="12"/>
        <v>82</v>
      </c>
      <c r="AJ39" s="5">
        <v>159</v>
      </c>
      <c r="AK39" s="7">
        <f t="shared" si="13"/>
        <v>0.828125</v>
      </c>
      <c r="AL39" s="5">
        <v>170</v>
      </c>
      <c r="AM39" s="5">
        <v>115</v>
      </c>
      <c r="AN39" s="6">
        <f t="shared" si="14"/>
        <v>48</v>
      </c>
      <c r="AO39" s="5">
        <v>163</v>
      </c>
      <c r="AP39" s="7">
        <f t="shared" si="15"/>
        <v>0.95882352941176474</v>
      </c>
      <c r="AQ39" s="6">
        <v>218</v>
      </c>
      <c r="AR39" s="2">
        <v>102</v>
      </c>
      <c r="AS39" s="6">
        <f t="shared" si="16"/>
        <v>104</v>
      </c>
      <c r="AT39" s="5">
        <v>206</v>
      </c>
      <c r="AU39" s="7">
        <f t="shared" si="17"/>
        <v>0.94495412844036697</v>
      </c>
      <c r="AV39" s="5">
        <v>174</v>
      </c>
      <c r="AW39" s="5">
        <v>89</v>
      </c>
      <c r="AX39" s="6">
        <f t="shared" si="18"/>
        <v>78</v>
      </c>
      <c r="AY39" s="5">
        <v>167</v>
      </c>
      <c r="AZ39" s="7">
        <f t="shared" si="19"/>
        <v>0.95977011494252873</v>
      </c>
      <c r="BA39" s="5">
        <v>172</v>
      </c>
      <c r="BB39" s="5">
        <v>88</v>
      </c>
      <c r="BC39" s="6">
        <f t="shared" si="20"/>
        <v>78</v>
      </c>
      <c r="BD39" s="5">
        <v>166</v>
      </c>
      <c r="BE39" s="7">
        <f t="shared" si="21"/>
        <v>0.96511627906976749</v>
      </c>
      <c r="BF39" s="5">
        <v>228</v>
      </c>
      <c r="BG39" s="2">
        <v>105</v>
      </c>
      <c r="BH39" s="6">
        <f t="shared" si="24"/>
        <v>102</v>
      </c>
      <c r="BI39" s="5">
        <v>207</v>
      </c>
      <c r="BJ39" s="7">
        <f t="shared" si="25"/>
        <v>0.90789473684210531</v>
      </c>
    </row>
    <row r="40" spans="1:62" x14ac:dyDescent="0.3">
      <c r="A40" s="16">
        <v>32</v>
      </c>
      <c r="B40" s="2" t="s">
        <v>34</v>
      </c>
      <c r="C40" s="3">
        <v>255053</v>
      </c>
      <c r="D40" s="3">
        <v>25509</v>
      </c>
      <c r="E40" s="6">
        <f t="shared" si="0"/>
        <v>214682</v>
      </c>
      <c r="F40" s="5">
        <v>240191</v>
      </c>
      <c r="G40" s="7">
        <f t="shared" si="1"/>
        <v>0.94172975812870263</v>
      </c>
      <c r="H40" s="3">
        <v>254802</v>
      </c>
      <c r="I40" s="4">
        <v>18956</v>
      </c>
      <c r="J40" s="6">
        <f t="shared" si="2"/>
        <v>221364</v>
      </c>
      <c r="K40" s="5">
        <v>240320</v>
      </c>
      <c r="L40" s="7">
        <f t="shared" si="3"/>
        <v>0.94316371143083644</v>
      </c>
      <c r="M40" s="2">
        <v>315837</v>
      </c>
      <c r="N40" s="2">
        <v>88971</v>
      </c>
      <c r="O40" s="6">
        <f t="shared" si="4"/>
        <v>210339</v>
      </c>
      <c r="P40" s="5">
        <v>299310</v>
      </c>
      <c r="Q40" s="7">
        <f t="shared" si="5"/>
        <v>0.94767237530751625</v>
      </c>
      <c r="R40" s="5">
        <v>257348</v>
      </c>
      <c r="S40" s="5">
        <v>120458</v>
      </c>
      <c r="T40" s="6">
        <f t="shared" si="6"/>
        <v>121906</v>
      </c>
      <c r="U40" s="5">
        <v>242364</v>
      </c>
      <c r="V40" s="7">
        <f t="shared" si="7"/>
        <v>0.9417753392293704</v>
      </c>
      <c r="W40" s="5">
        <v>259512</v>
      </c>
      <c r="X40" s="5">
        <v>133223</v>
      </c>
      <c r="Y40" s="6">
        <f t="shared" si="8"/>
        <v>111097</v>
      </c>
      <c r="Z40" s="5">
        <v>244320</v>
      </c>
      <c r="AA40" s="7">
        <f t="shared" si="9"/>
        <v>0.9414593544807176</v>
      </c>
      <c r="AB40" s="6">
        <v>322067</v>
      </c>
      <c r="AC40" s="2">
        <v>179696</v>
      </c>
      <c r="AD40" s="6">
        <f t="shared" si="10"/>
        <v>125326</v>
      </c>
      <c r="AE40" s="5">
        <v>305022</v>
      </c>
      <c r="AF40" s="7">
        <f t="shared" si="11"/>
        <v>0.94707622948020131</v>
      </c>
      <c r="AG40" s="5">
        <v>262041</v>
      </c>
      <c r="AH40" s="5">
        <v>154783</v>
      </c>
      <c r="AI40" s="6">
        <f t="shared" si="12"/>
        <v>92331</v>
      </c>
      <c r="AJ40" s="5">
        <v>247114</v>
      </c>
      <c r="AK40" s="7">
        <f t="shared" si="13"/>
        <v>0.94303563182860695</v>
      </c>
      <c r="AL40" s="5">
        <v>264607</v>
      </c>
      <c r="AM40" s="5">
        <v>210301</v>
      </c>
      <c r="AN40" s="6">
        <f t="shared" si="14"/>
        <v>39748</v>
      </c>
      <c r="AO40" s="5">
        <v>250049</v>
      </c>
      <c r="AP40" s="7">
        <f t="shared" si="15"/>
        <v>0.94498255904038819</v>
      </c>
      <c r="AQ40" s="6">
        <v>328683</v>
      </c>
      <c r="AR40" s="2">
        <v>187381</v>
      </c>
      <c r="AS40" s="6">
        <f t="shared" si="16"/>
        <v>125228</v>
      </c>
      <c r="AT40" s="5">
        <v>312609</v>
      </c>
      <c r="AU40" s="7">
        <f t="shared" si="17"/>
        <v>0.95109573662160807</v>
      </c>
      <c r="AV40" s="5">
        <v>267796</v>
      </c>
      <c r="AW40" s="5">
        <v>161900</v>
      </c>
      <c r="AX40" s="6">
        <f t="shared" si="18"/>
        <v>91430</v>
      </c>
      <c r="AY40" s="5">
        <v>253330</v>
      </c>
      <c r="AZ40" s="7">
        <f t="shared" si="19"/>
        <v>0.94598126932441107</v>
      </c>
      <c r="BA40" s="5">
        <v>270158</v>
      </c>
      <c r="BB40" s="5">
        <v>163451</v>
      </c>
      <c r="BC40" s="6">
        <f t="shared" si="20"/>
        <v>92578</v>
      </c>
      <c r="BD40" s="5">
        <v>256029</v>
      </c>
      <c r="BE40" s="7">
        <f t="shared" si="21"/>
        <v>0.94770097498500883</v>
      </c>
      <c r="BF40" s="5">
        <v>335514</v>
      </c>
      <c r="BG40" s="2">
        <v>180506</v>
      </c>
      <c r="BH40" s="6">
        <f t="shared" si="24"/>
        <v>137584</v>
      </c>
      <c r="BI40" s="5">
        <v>318090</v>
      </c>
      <c r="BJ40" s="7">
        <f t="shared" si="25"/>
        <v>0.94806774083942846</v>
      </c>
    </row>
    <row r="41" spans="1:62" x14ac:dyDescent="0.3">
      <c r="A41" s="16">
        <v>33</v>
      </c>
      <c r="B41" s="2" t="s">
        <v>35</v>
      </c>
      <c r="C41" s="3">
        <v>803124</v>
      </c>
      <c r="D41" s="3">
        <v>183847</v>
      </c>
      <c r="E41" s="6">
        <f t="shared" si="0"/>
        <v>580343</v>
      </c>
      <c r="F41" s="5">
        <v>764190</v>
      </c>
      <c r="G41" s="7">
        <f t="shared" si="1"/>
        <v>0.95152180734232816</v>
      </c>
      <c r="H41" s="3">
        <v>805681</v>
      </c>
      <c r="I41" s="4">
        <v>74064</v>
      </c>
      <c r="J41" s="6">
        <f t="shared" si="2"/>
        <v>690213</v>
      </c>
      <c r="K41" s="5">
        <v>764277</v>
      </c>
      <c r="L41" s="7">
        <f t="shared" si="3"/>
        <v>0.9486099337082543</v>
      </c>
      <c r="M41" s="2">
        <v>924274</v>
      </c>
      <c r="N41" s="2">
        <v>368876</v>
      </c>
      <c r="O41" s="6">
        <f t="shared" si="4"/>
        <v>505915</v>
      </c>
      <c r="P41" s="5">
        <v>874791</v>
      </c>
      <c r="Q41" s="7">
        <f t="shared" si="5"/>
        <v>0.94646284543328063</v>
      </c>
      <c r="R41" s="5">
        <v>822173</v>
      </c>
      <c r="S41" s="5">
        <v>406720</v>
      </c>
      <c r="T41" s="6">
        <f t="shared" si="6"/>
        <v>371929</v>
      </c>
      <c r="U41" s="5">
        <v>778649</v>
      </c>
      <c r="V41" s="7">
        <f t="shared" si="7"/>
        <v>0.94706223629333486</v>
      </c>
      <c r="W41" s="5">
        <v>833879</v>
      </c>
      <c r="X41" s="5">
        <v>409846</v>
      </c>
      <c r="Y41" s="6">
        <f t="shared" si="8"/>
        <v>376249</v>
      </c>
      <c r="Z41" s="5">
        <v>786095</v>
      </c>
      <c r="AA41" s="7">
        <f t="shared" si="9"/>
        <v>0.9426967221863124</v>
      </c>
      <c r="AB41" s="6">
        <v>956956</v>
      </c>
      <c r="AC41" s="2">
        <v>532121</v>
      </c>
      <c r="AD41" s="6">
        <f t="shared" si="10"/>
        <v>367892</v>
      </c>
      <c r="AE41" s="5">
        <v>900013</v>
      </c>
      <c r="AF41" s="7">
        <f t="shared" si="11"/>
        <v>0.94049569677184741</v>
      </c>
      <c r="AG41" s="5">
        <v>851169</v>
      </c>
      <c r="AH41" s="5">
        <v>428133</v>
      </c>
      <c r="AI41" s="6">
        <f t="shared" si="12"/>
        <v>370420</v>
      </c>
      <c r="AJ41" s="5">
        <v>798553</v>
      </c>
      <c r="AK41" s="7">
        <f t="shared" si="13"/>
        <v>0.938183838932104</v>
      </c>
      <c r="AL41" s="5">
        <v>859964</v>
      </c>
      <c r="AM41" s="5">
        <v>689023</v>
      </c>
      <c r="AN41" s="6">
        <f t="shared" si="14"/>
        <v>118021</v>
      </c>
      <c r="AO41" s="5">
        <v>807044</v>
      </c>
      <c r="AP41" s="7">
        <f t="shared" si="15"/>
        <v>0.9384625402923843</v>
      </c>
      <c r="AQ41" s="6">
        <v>982238</v>
      </c>
      <c r="AR41" s="2">
        <v>550875</v>
      </c>
      <c r="AS41" s="6">
        <f t="shared" si="16"/>
        <v>370302</v>
      </c>
      <c r="AT41" s="5">
        <v>921177</v>
      </c>
      <c r="AU41" s="7">
        <f t="shared" si="17"/>
        <v>0.93783482211032354</v>
      </c>
      <c r="AV41" s="5">
        <v>867973</v>
      </c>
      <c r="AW41" s="5">
        <v>513197</v>
      </c>
      <c r="AX41" s="6">
        <f t="shared" si="18"/>
        <v>303536</v>
      </c>
      <c r="AY41" s="5">
        <v>816733</v>
      </c>
      <c r="AZ41" s="7">
        <f t="shared" si="19"/>
        <v>0.94096590562148819</v>
      </c>
      <c r="BA41" s="5">
        <v>869274</v>
      </c>
      <c r="BB41" s="5">
        <v>520860</v>
      </c>
      <c r="BC41" s="6">
        <f t="shared" si="20"/>
        <v>302105</v>
      </c>
      <c r="BD41" s="5">
        <v>822965</v>
      </c>
      <c r="BE41" s="7">
        <f t="shared" si="21"/>
        <v>0.94672680880826987</v>
      </c>
      <c r="BF41" s="5">
        <v>986817</v>
      </c>
      <c r="BG41" s="2">
        <v>541817</v>
      </c>
      <c r="BH41" s="6">
        <f t="shared" si="24"/>
        <v>395420</v>
      </c>
      <c r="BI41" s="5">
        <v>937237</v>
      </c>
      <c r="BJ41" s="7">
        <f t="shared" si="25"/>
        <v>0.94975765516808086</v>
      </c>
    </row>
    <row r="42" spans="1:62" x14ac:dyDescent="0.3">
      <c r="A42" s="16">
        <v>34</v>
      </c>
      <c r="B42" s="2" t="s">
        <v>36</v>
      </c>
      <c r="C42" s="3">
        <v>17297</v>
      </c>
      <c r="D42" s="3">
        <v>2948</v>
      </c>
      <c r="E42" s="6">
        <f t="shared" si="0"/>
        <v>12888</v>
      </c>
      <c r="F42" s="5">
        <v>15836</v>
      </c>
      <c r="G42" s="7">
        <f t="shared" si="1"/>
        <v>0.91553448574897378</v>
      </c>
      <c r="H42" s="3">
        <v>17324</v>
      </c>
      <c r="I42" s="4">
        <v>2113</v>
      </c>
      <c r="J42" s="6">
        <f t="shared" si="2"/>
        <v>13737</v>
      </c>
      <c r="K42" s="5">
        <v>15850</v>
      </c>
      <c r="L42" s="7">
        <f t="shared" si="3"/>
        <v>0.9149157238513046</v>
      </c>
      <c r="M42" s="2">
        <v>19854</v>
      </c>
      <c r="N42" s="2">
        <v>7137</v>
      </c>
      <c r="O42" s="6">
        <f t="shared" si="4"/>
        <v>10987</v>
      </c>
      <c r="P42" s="5">
        <v>18124</v>
      </c>
      <c r="Q42" s="7">
        <f t="shared" si="5"/>
        <v>0.91286390651757832</v>
      </c>
      <c r="R42" s="5">
        <v>17743</v>
      </c>
      <c r="S42" s="5">
        <v>7664</v>
      </c>
      <c r="T42" s="6">
        <f t="shared" si="6"/>
        <v>8515</v>
      </c>
      <c r="U42" s="5">
        <v>16179</v>
      </c>
      <c r="V42" s="7">
        <f t="shared" si="7"/>
        <v>0.9118525615735783</v>
      </c>
      <c r="W42" s="5">
        <v>17812</v>
      </c>
      <c r="X42" s="5">
        <v>7610</v>
      </c>
      <c r="Y42" s="6">
        <f t="shared" si="8"/>
        <v>8665</v>
      </c>
      <c r="Z42" s="5">
        <v>16275</v>
      </c>
      <c r="AA42" s="7">
        <f t="shared" si="9"/>
        <v>0.91370985852234443</v>
      </c>
      <c r="AB42" s="6">
        <v>20088</v>
      </c>
      <c r="AC42" s="2">
        <v>9745</v>
      </c>
      <c r="AD42" s="6">
        <f t="shared" si="10"/>
        <v>8676</v>
      </c>
      <c r="AE42" s="5">
        <v>18421</v>
      </c>
      <c r="AF42" s="7">
        <f t="shared" si="11"/>
        <v>0.91701513341298291</v>
      </c>
      <c r="AG42" s="5">
        <v>17790</v>
      </c>
      <c r="AH42" s="5">
        <v>8170</v>
      </c>
      <c r="AI42" s="6">
        <f t="shared" si="12"/>
        <v>8280</v>
      </c>
      <c r="AJ42" s="5">
        <v>16450</v>
      </c>
      <c r="AK42" s="7">
        <f t="shared" si="13"/>
        <v>0.92467678471051151</v>
      </c>
      <c r="AL42" s="5">
        <v>17888</v>
      </c>
      <c r="AM42" s="5">
        <v>13639</v>
      </c>
      <c r="AN42" s="6">
        <f t="shared" si="14"/>
        <v>2978</v>
      </c>
      <c r="AO42" s="5">
        <v>16617</v>
      </c>
      <c r="AP42" s="7">
        <f t="shared" si="15"/>
        <v>0.92894677996422181</v>
      </c>
      <c r="AQ42" s="6">
        <v>20224</v>
      </c>
      <c r="AR42" s="2">
        <v>10034</v>
      </c>
      <c r="AS42" s="6">
        <f t="shared" si="16"/>
        <v>8679</v>
      </c>
      <c r="AT42" s="5">
        <v>18713</v>
      </c>
      <c r="AU42" s="7">
        <f t="shared" si="17"/>
        <v>0.92528678797468356</v>
      </c>
      <c r="AV42" s="5">
        <v>17809</v>
      </c>
      <c r="AW42" s="5">
        <v>9308</v>
      </c>
      <c r="AX42" s="6">
        <f t="shared" si="18"/>
        <v>7435</v>
      </c>
      <c r="AY42" s="5">
        <v>16743</v>
      </c>
      <c r="AZ42" s="7">
        <f t="shared" si="19"/>
        <v>0.9401426245156943</v>
      </c>
      <c r="BA42" s="5">
        <v>17859</v>
      </c>
      <c r="BB42" s="5">
        <v>9525</v>
      </c>
      <c r="BC42" s="6">
        <f t="shared" si="20"/>
        <v>7291</v>
      </c>
      <c r="BD42" s="5">
        <v>16816</v>
      </c>
      <c r="BE42" s="7">
        <f t="shared" si="21"/>
        <v>0.94159807380032479</v>
      </c>
      <c r="BF42" s="5">
        <v>20264</v>
      </c>
      <c r="BG42" s="2">
        <v>9994</v>
      </c>
      <c r="BH42" s="6">
        <f t="shared" si="24"/>
        <v>9063</v>
      </c>
      <c r="BI42" s="5">
        <v>19057</v>
      </c>
      <c r="BJ42" s="7">
        <f t="shared" si="25"/>
        <v>0.94043624161073824</v>
      </c>
    </row>
    <row r="43" spans="1:62" x14ac:dyDescent="0.3">
      <c r="A43" s="16">
        <v>35</v>
      </c>
      <c r="B43" s="2" t="s">
        <v>45</v>
      </c>
      <c r="C43" s="3">
        <v>3346</v>
      </c>
      <c r="D43" s="3">
        <v>357</v>
      </c>
      <c r="E43" s="6">
        <f t="shared" si="0"/>
        <v>2621</v>
      </c>
      <c r="F43" s="5">
        <v>2978</v>
      </c>
      <c r="G43" s="7">
        <f t="shared" si="1"/>
        <v>0.89001793185893607</v>
      </c>
      <c r="H43" s="3">
        <v>3343</v>
      </c>
      <c r="I43" s="4">
        <v>266</v>
      </c>
      <c r="J43" s="6">
        <f t="shared" si="2"/>
        <v>2704</v>
      </c>
      <c r="K43" s="5">
        <v>2970</v>
      </c>
      <c r="L43" s="7">
        <f t="shared" si="3"/>
        <v>0.88842357164223751</v>
      </c>
      <c r="M43" s="2">
        <v>4020</v>
      </c>
      <c r="N43" s="2">
        <v>864</v>
      </c>
      <c r="O43" s="6">
        <f t="shared" si="4"/>
        <v>2765</v>
      </c>
      <c r="P43" s="5">
        <v>3629</v>
      </c>
      <c r="Q43" s="7">
        <f t="shared" si="5"/>
        <v>0.9027363184079602</v>
      </c>
      <c r="R43" s="5">
        <v>3295</v>
      </c>
      <c r="S43" s="5">
        <v>921</v>
      </c>
      <c r="T43" s="6">
        <f t="shared" si="6"/>
        <v>2024</v>
      </c>
      <c r="U43" s="5">
        <v>2945</v>
      </c>
      <c r="V43" s="7">
        <f t="shared" si="7"/>
        <v>0.8937784522003035</v>
      </c>
      <c r="W43" s="5">
        <v>3265</v>
      </c>
      <c r="X43" s="5">
        <v>1059</v>
      </c>
      <c r="Y43" s="6">
        <f t="shared" si="8"/>
        <v>1904</v>
      </c>
      <c r="Z43" s="5">
        <v>2963</v>
      </c>
      <c r="AA43" s="7">
        <f t="shared" si="9"/>
        <v>0.90750382848392042</v>
      </c>
      <c r="AB43" s="6">
        <v>4071</v>
      </c>
      <c r="AC43" s="2">
        <v>1460</v>
      </c>
      <c r="AD43" s="6">
        <f t="shared" si="10"/>
        <v>2284</v>
      </c>
      <c r="AE43" s="5">
        <v>3744</v>
      </c>
      <c r="AF43" s="7">
        <f t="shared" si="11"/>
        <v>0.91967575534266766</v>
      </c>
      <c r="AG43" s="5">
        <v>3330</v>
      </c>
      <c r="AH43" s="5">
        <v>1162</v>
      </c>
      <c r="AI43" s="6">
        <f t="shared" si="12"/>
        <v>1852</v>
      </c>
      <c r="AJ43" s="5">
        <v>3014</v>
      </c>
      <c r="AK43" s="7">
        <f t="shared" si="13"/>
        <v>0.90510510510510511</v>
      </c>
      <c r="AL43" s="5">
        <v>3339</v>
      </c>
      <c r="AM43" s="5">
        <v>2114</v>
      </c>
      <c r="AN43" s="6">
        <f t="shared" si="14"/>
        <v>915</v>
      </c>
      <c r="AO43" s="5">
        <v>3029</v>
      </c>
      <c r="AP43" s="7">
        <f t="shared" si="15"/>
        <v>0.90715783168613362</v>
      </c>
      <c r="AQ43" s="6">
        <v>4111</v>
      </c>
      <c r="AR43" s="2">
        <v>1494</v>
      </c>
      <c r="AS43" s="6">
        <f t="shared" si="16"/>
        <v>2324</v>
      </c>
      <c r="AT43" s="5">
        <v>3818</v>
      </c>
      <c r="AU43" s="7">
        <f t="shared" si="17"/>
        <v>0.9287278034541474</v>
      </c>
      <c r="AV43" s="5">
        <v>3256</v>
      </c>
      <c r="AW43" s="5">
        <v>1290</v>
      </c>
      <c r="AX43" s="6">
        <f t="shared" si="18"/>
        <v>1786</v>
      </c>
      <c r="AY43" s="5">
        <v>3076</v>
      </c>
      <c r="AZ43" s="7">
        <f t="shared" si="19"/>
        <v>0.94471744471744468</v>
      </c>
      <c r="BA43" s="5">
        <v>3286</v>
      </c>
      <c r="BB43" s="5">
        <v>1332</v>
      </c>
      <c r="BC43" s="6">
        <f t="shared" si="20"/>
        <v>1769</v>
      </c>
      <c r="BD43" s="5">
        <v>3101</v>
      </c>
      <c r="BE43" s="7">
        <f t="shared" si="21"/>
        <v>0.94370054777845402</v>
      </c>
      <c r="BF43" s="5">
        <v>4091</v>
      </c>
      <c r="BG43" s="2">
        <v>1474</v>
      </c>
      <c r="BH43" s="6">
        <f t="shared" si="24"/>
        <v>2423</v>
      </c>
      <c r="BI43" s="5">
        <v>3897</v>
      </c>
      <c r="BJ43" s="7">
        <f t="shared" si="25"/>
        <v>0.95257883158152046</v>
      </c>
    </row>
    <row r="44" spans="1:62" x14ac:dyDescent="0.3">
      <c r="A44" s="16">
        <v>36</v>
      </c>
      <c r="B44" s="2" t="s">
        <v>37</v>
      </c>
      <c r="C44" s="3">
        <v>313567</v>
      </c>
      <c r="D44" s="3">
        <v>52071</v>
      </c>
      <c r="E44" s="6">
        <f t="shared" si="0"/>
        <v>213009</v>
      </c>
      <c r="F44" s="5">
        <v>265080</v>
      </c>
      <c r="G44" s="7">
        <f t="shared" si="1"/>
        <v>0.84536957013971492</v>
      </c>
      <c r="H44" s="3">
        <v>315037</v>
      </c>
      <c r="I44" s="4">
        <v>35060</v>
      </c>
      <c r="J44" s="6">
        <f t="shared" si="2"/>
        <v>230421</v>
      </c>
      <c r="K44" s="5">
        <v>265481</v>
      </c>
      <c r="L44" s="7">
        <f t="shared" si="3"/>
        <v>0.84269784184079966</v>
      </c>
      <c r="M44" s="2">
        <v>378050</v>
      </c>
      <c r="N44" s="2">
        <v>118172</v>
      </c>
      <c r="O44" s="6">
        <f t="shared" si="4"/>
        <v>207285</v>
      </c>
      <c r="P44" s="5">
        <v>325457</v>
      </c>
      <c r="Q44" s="7">
        <f t="shared" si="5"/>
        <v>0.86088348102102896</v>
      </c>
      <c r="R44" s="5">
        <v>322476</v>
      </c>
      <c r="S44" s="5">
        <v>115229</v>
      </c>
      <c r="T44" s="6">
        <f t="shared" si="6"/>
        <v>156959</v>
      </c>
      <c r="U44" s="5">
        <v>272188</v>
      </c>
      <c r="V44" s="7">
        <f t="shared" si="7"/>
        <v>0.84405661196492143</v>
      </c>
      <c r="W44" s="5">
        <v>327345</v>
      </c>
      <c r="X44" s="5">
        <v>114257</v>
      </c>
      <c r="Y44" s="6">
        <f t="shared" si="8"/>
        <v>161081</v>
      </c>
      <c r="Z44" s="5">
        <v>275338</v>
      </c>
      <c r="AA44" s="7">
        <f t="shared" si="9"/>
        <v>0.84112480716064086</v>
      </c>
      <c r="AB44" s="6">
        <v>393681</v>
      </c>
      <c r="AC44" s="2">
        <v>161080</v>
      </c>
      <c r="AD44" s="6">
        <f t="shared" si="10"/>
        <v>175097</v>
      </c>
      <c r="AE44" s="5">
        <v>336177</v>
      </c>
      <c r="AF44" s="7">
        <f t="shared" si="11"/>
        <v>0.85393249864738197</v>
      </c>
      <c r="AG44" s="5">
        <v>333199</v>
      </c>
      <c r="AH44" s="5">
        <v>133738</v>
      </c>
      <c r="AI44" s="6">
        <f t="shared" si="12"/>
        <v>145826</v>
      </c>
      <c r="AJ44" s="5">
        <v>279564</v>
      </c>
      <c r="AK44" s="7">
        <f t="shared" si="13"/>
        <v>0.83903012914204422</v>
      </c>
      <c r="AL44" s="5">
        <v>336893</v>
      </c>
      <c r="AM44" s="5">
        <v>219586</v>
      </c>
      <c r="AN44" s="6">
        <f t="shared" si="14"/>
        <v>65084</v>
      </c>
      <c r="AO44" s="5">
        <v>284670</v>
      </c>
      <c r="AP44" s="7">
        <f t="shared" si="15"/>
        <v>0.84498639033758494</v>
      </c>
      <c r="AQ44" s="6">
        <v>406157</v>
      </c>
      <c r="AR44" s="2">
        <v>170103</v>
      </c>
      <c r="AS44" s="6">
        <f t="shared" si="16"/>
        <v>177446</v>
      </c>
      <c r="AT44" s="5">
        <v>347549</v>
      </c>
      <c r="AU44" s="7">
        <f t="shared" si="17"/>
        <v>0.85570112050266278</v>
      </c>
      <c r="AV44" s="5">
        <v>341214</v>
      </c>
      <c r="AW44" s="5">
        <v>148592</v>
      </c>
      <c r="AX44" s="6">
        <f t="shared" si="18"/>
        <v>140163</v>
      </c>
      <c r="AY44" s="5">
        <v>288755</v>
      </c>
      <c r="AZ44" s="7">
        <f t="shared" si="19"/>
        <v>0.84625777371385702</v>
      </c>
      <c r="BA44" s="5">
        <v>343859</v>
      </c>
      <c r="BB44" s="5">
        <v>153561</v>
      </c>
      <c r="BC44" s="6">
        <f t="shared" si="20"/>
        <v>138785</v>
      </c>
      <c r="BD44" s="5">
        <v>292346</v>
      </c>
      <c r="BE44" s="7">
        <f t="shared" si="21"/>
        <v>0.85019150291253098</v>
      </c>
      <c r="BF44" s="5">
        <v>410714</v>
      </c>
      <c r="BG44" s="2">
        <v>163799</v>
      </c>
      <c r="BH44" s="6">
        <f t="shared" si="24"/>
        <v>190900</v>
      </c>
      <c r="BI44" s="5">
        <v>354699</v>
      </c>
      <c r="BJ44" s="7">
        <f t="shared" si="25"/>
        <v>0.86361555729777895</v>
      </c>
    </row>
    <row r="45" spans="1:62" x14ac:dyDescent="0.3">
      <c r="A45" s="16">
        <v>37</v>
      </c>
      <c r="B45" s="2" t="s">
        <v>38</v>
      </c>
      <c r="C45" s="3">
        <v>237775</v>
      </c>
      <c r="D45" s="3">
        <v>33628</v>
      </c>
      <c r="E45" s="6">
        <f t="shared" si="0"/>
        <v>180644</v>
      </c>
      <c r="F45" s="5">
        <v>214272</v>
      </c>
      <c r="G45" s="7">
        <f t="shared" si="1"/>
        <v>0.90115445273893391</v>
      </c>
      <c r="H45" s="3">
        <v>238690</v>
      </c>
      <c r="I45" s="4">
        <v>27603</v>
      </c>
      <c r="J45" s="6">
        <f t="shared" si="2"/>
        <v>187335</v>
      </c>
      <c r="K45" s="5">
        <v>214938</v>
      </c>
      <c r="L45" s="7">
        <f t="shared" si="3"/>
        <v>0.90049017554149735</v>
      </c>
      <c r="M45" s="2">
        <v>292586</v>
      </c>
      <c r="N45" s="2">
        <v>114290</v>
      </c>
      <c r="O45" s="6">
        <f t="shared" si="4"/>
        <v>152355</v>
      </c>
      <c r="P45" s="5">
        <v>266645</v>
      </c>
      <c r="Q45" s="7">
        <f t="shared" si="5"/>
        <v>0.91133888839520683</v>
      </c>
      <c r="R45" s="5">
        <v>242899</v>
      </c>
      <c r="S45" s="5">
        <v>108440</v>
      </c>
      <c r="T45" s="6">
        <f t="shared" si="6"/>
        <v>110256</v>
      </c>
      <c r="U45" s="5">
        <v>218696</v>
      </c>
      <c r="V45" s="7">
        <f t="shared" si="7"/>
        <v>0.90035776186810157</v>
      </c>
      <c r="W45" s="5">
        <v>244806</v>
      </c>
      <c r="X45" s="5">
        <v>106971</v>
      </c>
      <c r="Y45" s="6">
        <f t="shared" si="8"/>
        <v>113533</v>
      </c>
      <c r="Z45" s="5">
        <v>220504</v>
      </c>
      <c r="AA45" s="7">
        <f t="shared" si="9"/>
        <v>0.90072955728209281</v>
      </c>
      <c r="AB45" s="6">
        <v>299772</v>
      </c>
      <c r="AC45" s="2">
        <v>146330</v>
      </c>
      <c r="AD45" s="6">
        <f t="shared" si="10"/>
        <v>124975</v>
      </c>
      <c r="AE45" s="5">
        <v>271305</v>
      </c>
      <c r="AF45" s="7">
        <f t="shared" si="11"/>
        <v>0.90503782874984984</v>
      </c>
      <c r="AG45" s="5">
        <v>246243</v>
      </c>
      <c r="AH45" s="5">
        <v>121525</v>
      </c>
      <c r="AI45" s="6">
        <f t="shared" si="12"/>
        <v>101048</v>
      </c>
      <c r="AJ45" s="5">
        <v>222573</v>
      </c>
      <c r="AK45" s="7">
        <f t="shared" si="13"/>
        <v>0.90387544011403365</v>
      </c>
      <c r="AL45" s="5">
        <v>247584</v>
      </c>
      <c r="AM45" s="5">
        <v>184947</v>
      </c>
      <c r="AN45" s="6">
        <f t="shared" si="14"/>
        <v>40256</v>
      </c>
      <c r="AO45" s="5">
        <v>225203</v>
      </c>
      <c r="AP45" s="7">
        <f t="shared" si="15"/>
        <v>0.90960239757011763</v>
      </c>
      <c r="AQ45" s="6">
        <v>303759</v>
      </c>
      <c r="AR45" s="2">
        <v>142893</v>
      </c>
      <c r="AS45" s="6">
        <f t="shared" si="16"/>
        <v>134145</v>
      </c>
      <c r="AT45" s="5">
        <v>277038</v>
      </c>
      <c r="AU45" s="7">
        <f t="shared" si="17"/>
        <v>0.91203223608189388</v>
      </c>
      <c r="AV45" s="5">
        <v>248547</v>
      </c>
      <c r="AW45" s="5">
        <v>126007</v>
      </c>
      <c r="AX45" s="6">
        <f t="shared" si="18"/>
        <v>101081</v>
      </c>
      <c r="AY45" s="5">
        <v>227088</v>
      </c>
      <c r="AZ45" s="7">
        <f t="shared" si="19"/>
        <v>0.91366220473391346</v>
      </c>
      <c r="BA45" s="5">
        <v>248925</v>
      </c>
      <c r="BB45" s="5">
        <v>130380</v>
      </c>
      <c r="BC45" s="6">
        <f t="shared" si="20"/>
        <v>98874</v>
      </c>
      <c r="BD45" s="5">
        <v>229254</v>
      </c>
      <c r="BE45" s="7">
        <f t="shared" si="21"/>
        <v>0.92097619764989458</v>
      </c>
      <c r="BF45" s="5">
        <v>305535</v>
      </c>
      <c r="BG45" s="2">
        <v>135713</v>
      </c>
      <c r="BH45" s="6">
        <f t="shared" si="24"/>
        <v>145887</v>
      </c>
      <c r="BI45" s="5">
        <v>281600</v>
      </c>
      <c r="BJ45" s="7">
        <f t="shared" si="25"/>
        <v>0.92166200271654641</v>
      </c>
    </row>
    <row r="46" spans="1:62" x14ac:dyDescent="0.3">
      <c r="A46" s="16">
        <v>38</v>
      </c>
      <c r="B46" s="2" t="s">
        <v>39</v>
      </c>
      <c r="C46" s="3">
        <v>2070</v>
      </c>
      <c r="D46" s="3">
        <v>202</v>
      </c>
      <c r="E46" s="6">
        <f t="shared" si="0"/>
        <v>1572</v>
      </c>
      <c r="F46" s="5">
        <v>1774</v>
      </c>
      <c r="G46" s="7">
        <f t="shared" si="1"/>
        <v>0.85700483091787438</v>
      </c>
      <c r="H46" s="3">
        <v>2134</v>
      </c>
      <c r="I46" s="4">
        <v>164</v>
      </c>
      <c r="J46" s="6">
        <f t="shared" si="2"/>
        <v>1617</v>
      </c>
      <c r="K46" s="5">
        <v>1781</v>
      </c>
      <c r="L46" s="7">
        <f t="shared" si="3"/>
        <v>0.83458294283036549</v>
      </c>
      <c r="M46" s="2">
        <v>4565</v>
      </c>
      <c r="N46" s="2">
        <v>850</v>
      </c>
      <c r="O46" s="6">
        <f t="shared" si="4"/>
        <v>3193</v>
      </c>
      <c r="P46" s="5">
        <v>4043</v>
      </c>
      <c r="Q46" s="7">
        <f t="shared" si="5"/>
        <v>0.88565169769989049</v>
      </c>
      <c r="R46" s="5">
        <v>2092</v>
      </c>
      <c r="S46" s="5">
        <v>369</v>
      </c>
      <c r="T46" s="6">
        <f t="shared" si="6"/>
        <v>1330</v>
      </c>
      <c r="U46" s="5">
        <v>1699</v>
      </c>
      <c r="V46" s="7">
        <f t="shared" si="7"/>
        <v>0.8121414913957935</v>
      </c>
      <c r="W46" s="5">
        <v>2205</v>
      </c>
      <c r="X46" s="5">
        <v>486</v>
      </c>
      <c r="Y46" s="6">
        <f t="shared" si="8"/>
        <v>1336</v>
      </c>
      <c r="Z46" s="5">
        <v>1822</v>
      </c>
      <c r="AA46" s="7">
        <f t="shared" si="9"/>
        <v>0.82630385487528346</v>
      </c>
      <c r="AB46" s="6">
        <v>4967</v>
      </c>
      <c r="AC46" s="2">
        <v>1389</v>
      </c>
      <c r="AD46" s="6">
        <f t="shared" si="10"/>
        <v>3007</v>
      </c>
      <c r="AE46" s="5">
        <v>4396</v>
      </c>
      <c r="AF46" s="7">
        <f t="shared" si="11"/>
        <v>0.8850412723978256</v>
      </c>
      <c r="AG46" s="5">
        <v>2151</v>
      </c>
      <c r="AH46" s="5">
        <v>495</v>
      </c>
      <c r="AI46" s="6">
        <f t="shared" si="12"/>
        <v>1209</v>
      </c>
      <c r="AJ46" s="5">
        <v>1704</v>
      </c>
      <c r="AK46" s="7">
        <f t="shared" si="13"/>
        <v>0.79218967921896788</v>
      </c>
      <c r="AL46" s="5">
        <v>2221</v>
      </c>
      <c r="AM46" s="5">
        <v>1095</v>
      </c>
      <c r="AN46" s="6">
        <f t="shared" si="14"/>
        <v>690</v>
      </c>
      <c r="AO46" s="5">
        <v>1785</v>
      </c>
      <c r="AP46" s="7">
        <f t="shared" si="15"/>
        <v>0.80369203061683925</v>
      </c>
      <c r="AQ46" s="6">
        <v>5242</v>
      </c>
      <c r="AR46" s="2">
        <v>1821</v>
      </c>
      <c r="AS46" s="6">
        <f t="shared" si="16"/>
        <v>2952</v>
      </c>
      <c r="AT46" s="5">
        <v>4773</v>
      </c>
      <c r="AU46" s="7">
        <f t="shared" si="17"/>
        <v>0.91053033193437616</v>
      </c>
      <c r="AV46" s="5">
        <v>2226</v>
      </c>
      <c r="AW46" s="5">
        <v>664</v>
      </c>
      <c r="AX46" s="6">
        <f t="shared" si="18"/>
        <v>1192</v>
      </c>
      <c r="AY46" s="5">
        <v>1856</v>
      </c>
      <c r="AZ46" s="7">
        <f t="shared" si="19"/>
        <v>0.83378256963162622</v>
      </c>
      <c r="BA46" s="5">
        <v>2322</v>
      </c>
      <c r="BB46" s="5">
        <v>732</v>
      </c>
      <c r="BC46" s="6">
        <f t="shared" si="20"/>
        <v>1190</v>
      </c>
      <c r="BD46" s="5">
        <v>1922</v>
      </c>
      <c r="BE46" s="7">
        <f t="shared" si="21"/>
        <v>0.8277347114556417</v>
      </c>
      <c r="BF46" s="5">
        <v>5417</v>
      </c>
      <c r="BG46" s="2">
        <v>1956</v>
      </c>
      <c r="BH46" s="6">
        <f t="shared" si="24"/>
        <v>3212</v>
      </c>
      <c r="BI46" s="5">
        <v>5168</v>
      </c>
      <c r="BJ46" s="7">
        <f t="shared" si="25"/>
        <v>0.95403359793243492</v>
      </c>
    </row>
    <row r="47" spans="1:62" x14ac:dyDescent="0.3">
      <c r="A47" s="16">
        <v>97</v>
      </c>
      <c r="B47" s="2" t="s">
        <v>40</v>
      </c>
      <c r="C47" s="3">
        <v>76</v>
      </c>
      <c r="D47" s="3">
        <v>34</v>
      </c>
      <c r="E47" s="6">
        <f t="shared" si="0"/>
        <v>30</v>
      </c>
      <c r="F47" s="5">
        <v>64</v>
      </c>
      <c r="G47" s="7">
        <f t="shared" si="1"/>
        <v>0.84210526315789469</v>
      </c>
      <c r="H47" s="3">
        <v>77</v>
      </c>
      <c r="I47" s="4">
        <v>41</v>
      </c>
      <c r="J47" s="6">
        <f t="shared" si="2"/>
        <v>24</v>
      </c>
      <c r="K47" s="5">
        <v>65</v>
      </c>
      <c r="L47" s="7">
        <f t="shared" si="3"/>
        <v>0.8441558441558441</v>
      </c>
      <c r="M47" s="2">
        <v>82</v>
      </c>
      <c r="N47" s="2">
        <v>61</v>
      </c>
      <c r="O47" s="6">
        <f t="shared" si="4"/>
        <v>10</v>
      </c>
      <c r="P47" s="5">
        <v>71</v>
      </c>
      <c r="Q47" s="7">
        <f t="shared" si="5"/>
        <v>0.86585365853658536</v>
      </c>
      <c r="R47" s="5">
        <v>77</v>
      </c>
      <c r="S47" s="5">
        <v>58</v>
      </c>
      <c r="T47" s="6">
        <f t="shared" si="6"/>
        <v>7</v>
      </c>
      <c r="U47" s="5">
        <v>65</v>
      </c>
      <c r="V47" s="7">
        <f t="shared" si="7"/>
        <v>0.8441558441558441</v>
      </c>
      <c r="W47" s="5">
        <v>77</v>
      </c>
      <c r="X47" s="5">
        <v>58</v>
      </c>
      <c r="Y47" s="6">
        <f t="shared" si="8"/>
        <v>7</v>
      </c>
      <c r="Z47" s="5">
        <v>65</v>
      </c>
      <c r="AA47" s="7">
        <f t="shared" si="9"/>
        <v>0.8441558441558441</v>
      </c>
      <c r="AB47" s="6">
        <v>86</v>
      </c>
      <c r="AC47" s="2">
        <v>62</v>
      </c>
      <c r="AD47" s="6">
        <f t="shared" si="10"/>
        <v>9</v>
      </c>
      <c r="AE47" s="5">
        <v>71</v>
      </c>
      <c r="AF47" s="7">
        <f t="shared" si="11"/>
        <v>0.82558139534883723</v>
      </c>
      <c r="AG47" s="5">
        <v>80</v>
      </c>
      <c r="AH47" s="5">
        <v>61</v>
      </c>
      <c r="AI47" s="6">
        <f t="shared" si="12"/>
        <v>4</v>
      </c>
      <c r="AJ47" s="5">
        <v>65</v>
      </c>
      <c r="AK47" s="7">
        <f t="shared" si="13"/>
        <v>0.8125</v>
      </c>
      <c r="AL47" s="5">
        <v>81</v>
      </c>
      <c r="AM47" s="5">
        <v>64</v>
      </c>
      <c r="AN47" s="6">
        <f t="shared" si="14"/>
        <v>2</v>
      </c>
      <c r="AO47" s="5">
        <v>66</v>
      </c>
      <c r="AP47" s="7">
        <f t="shared" si="15"/>
        <v>0.81481481481481477</v>
      </c>
      <c r="AQ47" s="6">
        <v>86</v>
      </c>
      <c r="AR47" s="2">
        <v>61</v>
      </c>
      <c r="AS47" s="6">
        <f t="shared" si="16"/>
        <v>11</v>
      </c>
      <c r="AT47" s="5">
        <v>72</v>
      </c>
      <c r="AU47" s="7">
        <f t="shared" si="17"/>
        <v>0.83720930232558144</v>
      </c>
      <c r="AV47" s="5">
        <v>81</v>
      </c>
      <c r="AW47" s="5">
        <v>64</v>
      </c>
      <c r="AX47" s="6">
        <f t="shared" si="18"/>
        <v>2</v>
      </c>
      <c r="AY47" s="5">
        <v>66</v>
      </c>
      <c r="AZ47" s="7">
        <f t="shared" si="19"/>
        <v>0.81481481481481477</v>
      </c>
      <c r="BA47" s="5">
        <v>81</v>
      </c>
      <c r="BB47" s="5">
        <v>63</v>
      </c>
      <c r="BC47" s="6">
        <f t="shared" si="20"/>
        <v>4</v>
      </c>
      <c r="BD47" s="5">
        <v>67</v>
      </c>
      <c r="BE47" s="7">
        <f t="shared" si="21"/>
        <v>0.8271604938271605</v>
      </c>
      <c r="BF47" s="5">
        <v>89</v>
      </c>
      <c r="BG47" s="2">
        <v>63</v>
      </c>
      <c r="BH47" s="6">
        <f t="shared" si="24"/>
        <v>9</v>
      </c>
      <c r="BI47" s="5">
        <v>72</v>
      </c>
      <c r="BJ47" s="7">
        <f t="shared" si="25"/>
        <v>0.8089887640449438</v>
      </c>
    </row>
    <row r="48" spans="1:62" ht="15.6" x14ac:dyDescent="0.3">
      <c r="A48" s="25" t="s">
        <v>41</v>
      </c>
      <c r="B48" s="25"/>
      <c r="C48" s="9">
        <f>SUM(C10:C47)</f>
        <v>6932700</v>
      </c>
      <c r="D48" s="9">
        <f>SUM(D10:D47)</f>
        <v>1035730</v>
      </c>
      <c r="E48" s="10">
        <f t="shared" si="0"/>
        <v>5348139</v>
      </c>
      <c r="F48" s="9">
        <f>SUM(F10:F47)</f>
        <v>6383869</v>
      </c>
      <c r="G48" s="8">
        <f t="shared" si="1"/>
        <v>0.92083445122390983</v>
      </c>
      <c r="H48" s="9">
        <f>SUM(H10:H47)</f>
        <v>6950738</v>
      </c>
      <c r="I48" s="9">
        <f>SUM(I10:I47)</f>
        <v>871737</v>
      </c>
      <c r="J48" s="10">
        <f t="shared" si="2"/>
        <v>5527016</v>
      </c>
      <c r="K48" s="9">
        <f>SUM(K10:K47)</f>
        <v>6398753</v>
      </c>
      <c r="L48" s="8">
        <f t="shared" si="3"/>
        <v>0.92058613056627947</v>
      </c>
      <c r="M48" s="9">
        <f>SUM(M10:M47)</f>
        <v>10856253</v>
      </c>
      <c r="N48" s="9">
        <f>SUM(N10:N47)</f>
        <v>4300938</v>
      </c>
      <c r="O48" s="10">
        <f t="shared" si="4"/>
        <v>5890105</v>
      </c>
      <c r="P48" s="12">
        <f>SUM(P10:P47)</f>
        <v>10191043</v>
      </c>
      <c r="Q48" s="8">
        <f t="shared" si="5"/>
        <v>0.93872563581559865</v>
      </c>
      <c r="R48" s="9">
        <f>SUM(R10:R47)</f>
        <v>7018290</v>
      </c>
      <c r="S48" s="9">
        <f>SUM(S10:S47)</f>
        <v>3245057</v>
      </c>
      <c r="T48" s="10">
        <f t="shared" si="6"/>
        <v>3239007</v>
      </c>
      <c r="U48" s="9">
        <f>SUM(U10:U47)</f>
        <v>6484064</v>
      </c>
      <c r="V48" s="8">
        <f t="shared" si="7"/>
        <v>0.92388088836454463</v>
      </c>
      <c r="W48" s="9">
        <f>SUM(W10:W47)</f>
        <v>7125860</v>
      </c>
      <c r="X48" s="9">
        <f>SUM(X10:X47)</f>
        <v>3425621</v>
      </c>
      <c r="Y48" s="9">
        <f t="shared" si="8"/>
        <v>3177377</v>
      </c>
      <c r="Z48" s="9">
        <f>SUM(Z10:Z47)</f>
        <v>6602998</v>
      </c>
      <c r="AA48" s="8">
        <f t="shared" si="9"/>
        <v>0.92662471617460906</v>
      </c>
      <c r="AB48" s="9">
        <f>SUM(AB10:AB47)</f>
        <v>11181178</v>
      </c>
      <c r="AC48" s="9">
        <f>SUM(AC10:AC47)</f>
        <v>6005570</v>
      </c>
      <c r="AD48" s="10">
        <f t="shared" si="10"/>
        <v>4486849</v>
      </c>
      <c r="AE48" s="12">
        <f>SUM(AE10:AE47)</f>
        <v>10492419</v>
      </c>
      <c r="AF48" s="8">
        <f t="shared" si="11"/>
        <v>0.9384001399494758</v>
      </c>
      <c r="AG48" s="9">
        <f>SUM(AG10:AG47)</f>
        <v>7127280</v>
      </c>
      <c r="AH48" s="9">
        <f>SUM(AH10:AH47)</f>
        <v>3604712</v>
      </c>
      <c r="AI48" s="10">
        <f t="shared" si="12"/>
        <v>2996138</v>
      </c>
      <c r="AJ48" s="9">
        <f>SUM(AJ10:AJ47)</f>
        <v>6600850</v>
      </c>
      <c r="AK48" s="8">
        <f t="shared" si="13"/>
        <v>0.92613872332783331</v>
      </c>
      <c r="AL48" s="9">
        <f>SUM(AL10:AL47)</f>
        <v>7209029</v>
      </c>
      <c r="AM48" s="9">
        <f>SUM(AM10:AM47)</f>
        <v>5495169</v>
      </c>
      <c r="AN48" s="10">
        <f t="shared" si="14"/>
        <v>1213507</v>
      </c>
      <c r="AO48" s="9">
        <f>SUM(AO10:AO47)</f>
        <v>6708676</v>
      </c>
      <c r="AP48" s="8">
        <f t="shared" si="15"/>
        <v>0.93059356537475435</v>
      </c>
      <c r="AQ48" s="9">
        <f>SUM(AQ10:AQ47)</f>
        <v>11429107</v>
      </c>
      <c r="AR48" s="9">
        <f>SUM(AR10:AR47)</f>
        <v>6115827</v>
      </c>
      <c r="AS48" s="10">
        <f t="shared" si="16"/>
        <v>4624915</v>
      </c>
      <c r="AT48" s="9">
        <f>SUM(AT10:AT47)</f>
        <v>10740742</v>
      </c>
      <c r="AU48" s="8">
        <f t="shared" si="17"/>
        <v>0.93977088498690231</v>
      </c>
      <c r="AV48" s="9">
        <f>SUM(AV10:AV47)</f>
        <v>7242766</v>
      </c>
      <c r="AW48" s="9">
        <f>SUM(AW10:AW47)</f>
        <v>4151072</v>
      </c>
      <c r="AX48" s="10">
        <f t="shared" si="18"/>
        <v>2610057</v>
      </c>
      <c r="AY48" s="9">
        <f>SUM(AY10:AY47)</f>
        <v>6761129</v>
      </c>
      <c r="AZ48" s="8">
        <f t="shared" si="19"/>
        <v>0.93350095805939337</v>
      </c>
      <c r="BA48" s="9">
        <f>SUM(BA10:BA47)</f>
        <v>7311740</v>
      </c>
      <c r="BB48" s="9">
        <f>SUM(BB10:BB47)</f>
        <v>4311538</v>
      </c>
      <c r="BC48" s="10">
        <f t="shared" si="20"/>
        <v>2559079</v>
      </c>
      <c r="BD48" s="9">
        <f>SUM(BD10:BD47)</f>
        <v>6870617</v>
      </c>
      <c r="BE48" s="8">
        <f t="shared" ref="BE48" si="26">BD48/BA48</f>
        <v>0.93966921690322691</v>
      </c>
      <c r="BF48" s="9">
        <f>SUM(BF10:BF47)</f>
        <v>11631207</v>
      </c>
      <c r="BG48" s="9">
        <f>SUM(BG10:BG47)</f>
        <v>6131665</v>
      </c>
      <c r="BH48" s="10">
        <f t="shared" si="24"/>
        <v>4819547</v>
      </c>
      <c r="BI48" s="9">
        <f>SUM(BI10:BI47)</f>
        <v>10951212</v>
      </c>
      <c r="BJ48" s="8">
        <f t="shared" si="25"/>
        <v>0.94153702191010791</v>
      </c>
    </row>
  </sheetData>
  <mergeCells count="17">
    <mergeCell ref="A48:B48"/>
    <mergeCell ref="M8:Q8"/>
    <mergeCell ref="R8:V8"/>
    <mergeCell ref="W8:AA8"/>
    <mergeCell ref="AB8:AF8"/>
    <mergeCell ref="BF8:BJ8"/>
    <mergeCell ref="A3:B3"/>
    <mergeCell ref="A5:C5"/>
    <mergeCell ref="A8:A9"/>
    <mergeCell ref="B8:B9"/>
    <mergeCell ref="C8:G8"/>
    <mergeCell ref="H8:L8"/>
    <mergeCell ref="BA8:BE8"/>
    <mergeCell ref="AL8:AP8"/>
    <mergeCell ref="AQ8:AU8"/>
    <mergeCell ref="AV8:AZ8"/>
    <mergeCell ref="AG8:AK8"/>
  </mergeCells>
  <pageMargins left="0.7" right="0.7" top="0.75" bottom="0.75" header="0.3" footer="0.3"/>
  <pageSetup orientation="portrait" r:id="rId1"/>
  <ignoredErrors>
    <ignoredError sqref="L4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2021-04-12T06:01:25Z</dcterms:created>
  <dcterms:modified xsi:type="dcterms:W3CDTF">2026-09-09T11:41:07Z</dcterms:modified>
</cp:coreProperties>
</file>