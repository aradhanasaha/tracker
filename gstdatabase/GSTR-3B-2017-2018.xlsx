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3B\"/>
    </mc:Choice>
  </mc:AlternateContent>
  <xr:revisionPtr revIDLastSave="0" documentId="13_ncr:1_{A1EC4840-13CB-42A0-9EC0-794621CD4D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3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7" i="2" l="1"/>
  <c r="T27" i="2"/>
  <c r="J27" i="2"/>
  <c r="L27" i="2"/>
  <c r="O27" i="2"/>
  <c r="Q27" i="2"/>
  <c r="V27" i="2"/>
  <c r="Y27" i="2"/>
  <c r="AA27" i="2"/>
  <c r="AF27" i="2"/>
  <c r="AI27" i="2"/>
  <c r="AK27" i="2"/>
  <c r="AN27" i="2"/>
  <c r="AP27" i="2"/>
  <c r="AS27" i="2"/>
  <c r="AU27" i="2"/>
  <c r="AT48" i="2" l="1"/>
  <c r="AO48" i="2"/>
  <c r="AJ48" i="2"/>
  <c r="AE48" i="2"/>
  <c r="Z48" i="2"/>
  <c r="U48" i="2"/>
  <c r="P48" i="2"/>
  <c r="K48" i="2"/>
  <c r="AR48" i="2" l="1"/>
  <c r="AQ48" i="2"/>
  <c r="AM48" i="2"/>
  <c r="AL48" i="2"/>
  <c r="AH48" i="2"/>
  <c r="AG48" i="2"/>
  <c r="AC48" i="2"/>
  <c r="AB48" i="2"/>
  <c r="X48" i="2"/>
  <c r="W48" i="2"/>
  <c r="S48" i="2"/>
  <c r="R48" i="2"/>
  <c r="N48" i="2"/>
  <c r="M48" i="2"/>
  <c r="I48" i="2"/>
  <c r="H48" i="2"/>
  <c r="D48" i="2"/>
  <c r="C48" i="2"/>
  <c r="Q48" i="2" l="1"/>
  <c r="AF48" i="2"/>
  <c r="AN48" i="2"/>
  <c r="J48" i="2"/>
  <c r="AI48" i="2"/>
  <c r="AA48" i="2"/>
  <c r="AU48" i="2"/>
  <c r="L48" i="2"/>
  <c r="AD48" i="2"/>
  <c r="O48" i="2"/>
  <c r="V48" i="2"/>
  <c r="T48" i="2"/>
  <c r="Y48" i="2"/>
  <c r="AS48" i="2"/>
  <c r="AP48" i="2"/>
  <c r="AK48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7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7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7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7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7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7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7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7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7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7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7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7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7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7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7" i="2"/>
  <c r="AU10" i="2"/>
  <c r="AP10" i="2"/>
  <c r="AK10" i="2"/>
  <c r="AF10" i="2"/>
  <c r="AA10" i="2"/>
  <c r="V10" i="2"/>
  <c r="Q10" i="2"/>
  <c r="L10" i="2"/>
  <c r="AS10" i="2"/>
  <c r="AN10" i="2"/>
  <c r="AI10" i="2"/>
  <c r="AD10" i="2"/>
  <c r="Y10" i="2"/>
  <c r="T10" i="2"/>
  <c r="O10" i="2"/>
  <c r="J10" i="2"/>
  <c r="G10" i="2"/>
  <c r="E10" i="2"/>
  <c r="F48" i="2" l="1"/>
  <c r="E48" i="2" l="1"/>
  <c r="G48" i="2"/>
</calcChain>
</file>

<file path=xl/sharedStrings.xml><?xml version="1.0" encoding="utf-8"?>
<sst xmlns="http://schemas.openxmlformats.org/spreadsheetml/2006/main" count="140" uniqueCount="52">
  <si>
    <t>FINANCIAL YEAR 2017-2018</t>
  </si>
  <si>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</si>
  <si>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</si>
  <si>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</si>
  <si>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</si>
  <si>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</si>
  <si>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</si>
  <si>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</si>
  <si>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</si>
  <si>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</si>
  <si>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</si>
  <si>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</si>
  <si>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</si>
  <si>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</si>
  <si>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</si>
  <si>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</si>
  <si>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</si>
  <si>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</si>
  <si>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</si>
  <si>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</si>
  <si>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</si>
  <si>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</si>
  <si>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</si>
  <si>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</si>
  <si>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</si>
  <si>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</si>
  <si>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</si>
  <si>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</si>
  <si>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</si>
  <si>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</si>
  <si>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</si>
  <si>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</si>
  <si>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</si>
  <si>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</si>
  <si>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</si>
  <si>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</si>
  <si>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</si>
  <si>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</si>
  <si>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</si>
  <si>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</si>
  <si>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Grand Total</t>
  </si>
  <si>
    <t>*  State Code 97 represents  territories other than States/UTs</t>
  </si>
  <si>
    <t>Ladakh</t>
  </si>
  <si>
    <t>filing %age as on 30th June 2020</t>
  </si>
  <si>
    <t>-</t>
  </si>
  <si>
    <t>STATE WISE RETURN PERIOD WISE GSTR-3B FILING SUMMARY</t>
  </si>
  <si>
    <t>Chhattisgarh</t>
  </si>
  <si>
    <t>Gujarat</t>
  </si>
  <si>
    <t>Maharashtra</t>
  </si>
  <si>
    <t>Andaman and Nicobar Islands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</si>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</sst>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 * #,##0_ ;_ * \-#,##0_ ;_ * &quot;-&quot;??_ ;_ @_ "/>
    <numFmt numFmtId="167" formatCode="[&gt;=10000000]##\,##\,##\,##0;[&gt;=100000]\ ##\,##\,##0;##,##0\ 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center"/>
    </xf>
    <xf numFmtId="165" fontId="5" fillId="2" borderId="1" xfId="2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6" fillId="2" borderId="0" xfId="0" applyFont="1" applyFill="1" applyAlignment="1">
      <alignment horizontal="left"/>
    </xf>
    <xf numFmtId="165" fontId="3" fillId="2" borderId="1" xfId="2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7" fontId="3" fillId="2" borderId="1" xfId="0" applyNumberFormat="1" applyFont="1" applyFill="1" applyBorder="1" applyAlignment="1">
      <alignment horizontal="right" vertical="top"/>
    </xf>
    <xf numFmtId="10" fontId="0" fillId="0" borderId="0" xfId="0" applyNumberFormat="1"/>
    <xf numFmtId="166" fontId="2" fillId="0" borderId="1" xfId="7" applyNumberFormat="1" applyFont="1" applyBorder="1"/>
    <xf numFmtId="167" fontId="2" fillId="0" borderId="1" xfId="0" applyNumberFormat="1" applyFont="1" applyBorder="1" applyAlignment="1">
      <alignment horizontal="right" vertical="top"/>
    </xf>
    <xf numFmtId="10" fontId="8" fillId="3" borderId="1" xfId="1" applyNumberFormat="1" applyFont="1" applyFill="1" applyBorder="1"/>
    <xf numFmtId="165" fontId="8" fillId="3" borderId="1" xfId="0" applyNumberFormat="1" applyFont="1" applyFill="1" applyBorder="1"/>
    <xf numFmtId="166" fontId="2" fillId="0" borderId="1" xfId="7" applyNumberFormat="1" applyFont="1" applyBorder="1" applyAlignment="1">
      <alignment horizontal="right"/>
    </xf>
    <xf numFmtId="165" fontId="9" fillId="4" borderId="1" xfId="0" applyNumberFormat="1" applyFont="1" applyFill="1" applyBorder="1" applyAlignment="1">
      <alignment horizontal="right" vertical="center" wrapText="1"/>
    </xf>
    <xf numFmtId="165" fontId="10" fillId="4" borderId="1" xfId="0" applyNumberFormat="1" applyFont="1" applyFill="1" applyBorder="1"/>
    <xf numFmtId="10" fontId="10" fillId="4" borderId="1" xfId="1" applyNumberFormat="1" applyFont="1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7" fontId="0" fillId="0" borderId="1" xfId="0" applyNumberFormat="1" applyBorder="1" applyAlignment="1">
      <alignment horizontal="right" vertical="top"/>
    </xf>
    <xf numFmtId="17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</cellXfs>
  <cellStyles count="8">
    <cellStyle name="Comma" xfId="7" builtinId="3"/>
    <cellStyle name="Comma 2" xfId="2" xr:uid="{00000000-0005-0000-0000-000001000000}"/>
    <cellStyle name="Comma 2 2" xfId="6" xr:uid="{00000000-0005-0000-0000-000002000000}"/>
    <cellStyle name="Comma 3" xfId="4" xr:uid="{00000000-0005-0000-0000-000003000000}"/>
    <cellStyle name="Normal" xfId="0" builtinId="0"/>
    <cellStyle name="Normal 2" xfId="5" xr:uid="{00000000-0005-0000-0000-000005000000}"/>
    <cellStyle name="Normal 3" xfId="3" xr:uid="{00000000-0005-0000-0000-000006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6"/>
  <sheetViews>
    <sheetView tabSelected="1" topLeftCell="AD1" zoomScale="50" zoomScaleNormal="55" workbookViewId="0">
      <selection activeCell="BG48" sqref="BG48"/>
    </sheetView>
  </sheetViews>
  <sheetFormatPr defaultColWidth="11" defaultRowHeight="15.6" x14ac:dyDescent="0.3"/>
  <cols>
    <col min="2" max="2" width="25" bestFit="1" customWidth="1"/>
    <col min="3" max="47" width="18.5" customWidth="1"/>
    <col min="48" max="57" width="0" hidden="1" customWidth="1"/>
  </cols>
  <sheetData>
    <row r="1" spans="1:57" x14ac:dyDescent="0.3">
      <c r="A1" s="25" t="s">
        <v>45</v>
      </c>
      <c r="B1" s="25"/>
      <c r="C1" s="25"/>
      <c r="D1" s="25"/>
      <c r="E1" s="25"/>
    </row>
    <row r="2" spans="1:57" x14ac:dyDescent="0.3">
      <c r="A2" s="1"/>
      <c r="B2" s="1"/>
      <c r="C2" s="1"/>
      <c r="D2" s="1"/>
      <c r="E2" s="1"/>
    </row>
    <row r="3" spans="1:57" x14ac:dyDescent="0.3">
      <c r="A3" s="27" t="s">
        <v>0</v>
      </c>
      <c r="B3" s="27"/>
      <c r="C3" s="1"/>
      <c r="D3" s="1"/>
      <c r="E3" s="1"/>
      <c r="F3" s="1"/>
      <c r="G3" s="1"/>
      <c r="H3" s="1"/>
      <c r="I3" s="1"/>
      <c r="J3" s="1"/>
      <c r="K3" s="1"/>
      <c r="L3" s="1"/>
    </row>
    <row r="4" spans="1:5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57" x14ac:dyDescent="0.3">
      <c r="A5" s="27" t="s">
        <v>50</v>
      </c>
      <c r="B5" s="27"/>
      <c r="C5" s="27"/>
    </row>
    <row r="7" spans="1:57" x14ac:dyDescent="0.3">
      <c r="G7" s="11"/>
      <c r="L7" s="11"/>
      <c r="Q7" s="11"/>
      <c r="V7" s="11"/>
      <c r="AA7" s="11"/>
      <c r="AF7" s="11"/>
      <c r="AK7" s="11"/>
      <c r="AP7" s="11"/>
    </row>
    <row r="8" spans="1:57" x14ac:dyDescent="0.3">
      <c r="A8" s="28" t="s">
        <v>1</v>
      </c>
      <c r="B8" s="28" t="s">
        <v>2</v>
      </c>
      <c r="C8" s="23">
        <v>42917</v>
      </c>
      <c r="D8" s="24"/>
      <c r="E8" s="24"/>
      <c r="F8" s="24"/>
      <c r="G8" s="24"/>
      <c r="H8" s="23">
        <v>42948</v>
      </c>
      <c r="I8" s="24"/>
      <c r="J8" s="24"/>
      <c r="K8" s="24"/>
      <c r="L8" s="24"/>
      <c r="M8" s="23">
        <v>42979</v>
      </c>
      <c r="N8" s="24"/>
      <c r="O8" s="24"/>
      <c r="P8" s="24"/>
      <c r="Q8" s="24"/>
      <c r="R8" s="23">
        <v>43009</v>
      </c>
      <c r="S8" s="24"/>
      <c r="T8" s="24"/>
      <c r="U8" s="24"/>
      <c r="V8" s="24"/>
      <c r="W8" s="23">
        <v>43040</v>
      </c>
      <c r="X8" s="24"/>
      <c r="Y8" s="24"/>
      <c r="Z8" s="24"/>
      <c r="AA8" s="24"/>
      <c r="AB8" s="23">
        <v>43070</v>
      </c>
      <c r="AC8" s="24"/>
      <c r="AD8" s="24"/>
      <c r="AE8" s="24"/>
      <c r="AF8" s="24"/>
      <c r="AG8" s="23">
        <v>43101</v>
      </c>
      <c r="AH8" s="24"/>
      <c r="AI8" s="24"/>
      <c r="AJ8" s="24"/>
      <c r="AK8" s="24"/>
      <c r="AL8" s="23">
        <v>43132</v>
      </c>
      <c r="AM8" s="24"/>
      <c r="AN8" s="24"/>
      <c r="AO8" s="24"/>
      <c r="AP8" s="24"/>
      <c r="AQ8" s="23">
        <v>43160</v>
      </c>
      <c r="AR8" s="24"/>
      <c r="AS8" s="24"/>
      <c r="AT8" s="24"/>
      <c r="AU8" s="24"/>
    </row>
    <row r="9" spans="1:57" s="7" customFormat="1" ht="62.4" x14ac:dyDescent="0.3">
      <c r="A9" s="28"/>
      <c r="B9" s="28"/>
      <c r="C9" s="6" t="s">
        <v>3</v>
      </c>
      <c r="D9" s="6" t="s">
        <v>4</v>
      </c>
      <c r="E9" s="6" t="s">
        <v>5</v>
      </c>
      <c r="F9" s="5" t="s">
        <v>6</v>
      </c>
      <c r="G9" s="6" t="s">
        <v>51</v>
      </c>
      <c r="H9" s="6" t="s">
        <v>3</v>
      </c>
      <c r="I9" s="6" t="s">
        <v>4</v>
      </c>
      <c r="J9" s="6" t="s">
        <v>5</v>
      </c>
      <c r="K9" s="5" t="s">
        <v>6</v>
      </c>
      <c r="L9" s="6" t="s">
        <v>51</v>
      </c>
      <c r="M9" s="6" t="s">
        <v>3</v>
      </c>
      <c r="N9" s="6" t="s">
        <v>4</v>
      </c>
      <c r="O9" s="6" t="s">
        <v>5</v>
      </c>
      <c r="P9" s="5" t="s">
        <v>6</v>
      </c>
      <c r="Q9" s="6" t="s">
        <v>51</v>
      </c>
      <c r="R9" s="6" t="s">
        <v>3</v>
      </c>
      <c r="S9" s="6" t="s">
        <v>4</v>
      </c>
      <c r="T9" s="6" t="s">
        <v>5</v>
      </c>
      <c r="U9" s="5" t="s">
        <v>6</v>
      </c>
      <c r="V9" s="6" t="s">
        <v>51</v>
      </c>
      <c r="W9" s="6" t="s">
        <v>3</v>
      </c>
      <c r="X9" s="6" t="s">
        <v>4</v>
      </c>
      <c r="Y9" s="6" t="s">
        <v>5</v>
      </c>
      <c r="Z9" s="5" t="s">
        <v>6</v>
      </c>
      <c r="AA9" s="6" t="s">
        <v>51</v>
      </c>
      <c r="AB9" s="6" t="s">
        <v>3</v>
      </c>
      <c r="AC9" s="6" t="s">
        <v>4</v>
      </c>
      <c r="AD9" s="6" t="s">
        <v>5</v>
      </c>
      <c r="AE9" s="5" t="s">
        <v>6</v>
      </c>
      <c r="AF9" s="6" t="s">
        <v>51</v>
      </c>
      <c r="AG9" s="6" t="s">
        <v>3</v>
      </c>
      <c r="AH9" s="6" t="s">
        <v>4</v>
      </c>
      <c r="AI9" s="6" t="s">
        <v>5</v>
      </c>
      <c r="AJ9" s="5" t="s">
        <v>6</v>
      </c>
      <c r="AK9" s="6" t="s">
        <v>51</v>
      </c>
      <c r="AL9" s="6" t="s">
        <v>3</v>
      </c>
      <c r="AM9" s="6" t="s">
        <v>4</v>
      </c>
      <c r="AN9" s="6" t="s">
        <v>5</v>
      </c>
      <c r="AO9" s="5" t="s">
        <v>6</v>
      </c>
      <c r="AP9" s="6" t="s">
        <v>51</v>
      </c>
      <c r="AQ9" s="6" t="s">
        <v>3</v>
      </c>
      <c r="AR9" s="6" t="s">
        <v>4</v>
      </c>
      <c r="AS9" s="6" t="s">
        <v>5</v>
      </c>
      <c r="AT9" s="5" t="s">
        <v>6</v>
      </c>
      <c r="AU9" s="6" t="s">
        <v>51</v>
      </c>
      <c r="AV9" s="6" t="s">
        <v>3</v>
      </c>
      <c r="AW9" s="6" t="s">
        <v>4</v>
      </c>
      <c r="AX9" s="6" t="s">
        <v>5</v>
      </c>
      <c r="AY9" s="2" t="s">
        <v>6</v>
      </c>
      <c r="AZ9" s="6" t="s">
        <v>43</v>
      </c>
      <c r="BA9" s="6" t="s">
        <v>3</v>
      </c>
      <c r="BB9" s="6" t="s">
        <v>4</v>
      </c>
      <c r="BC9" s="6" t="s">
        <v>5</v>
      </c>
      <c r="BD9" s="2" t="s">
        <v>6</v>
      </c>
      <c r="BE9" s="6" t="s">
        <v>43</v>
      </c>
    </row>
    <row r="10" spans="1:57" x14ac:dyDescent="0.3">
      <c r="A10" s="8">
        <v>1</v>
      </c>
      <c r="B10" s="3" t="s">
        <v>7</v>
      </c>
      <c r="C10" s="12">
        <v>52455</v>
      </c>
      <c r="D10" s="12">
        <v>26501</v>
      </c>
      <c r="E10" s="12">
        <f>F10-D10</f>
        <v>22949</v>
      </c>
      <c r="F10" s="13">
        <v>49450</v>
      </c>
      <c r="G10" s="14">
        <f>F10/C10</f>
        <v>0.94271280144886094</v>
      </c>
      <c r="H10" s="12">
        <v>58371</v>
      </c>
      <c r="I10" s="12">
        <v>20534</v>
      </c>
      <c r="J10" s="15">
        <f>K10-I10</f>
        <v>35124</v>
      </c>
      <c r="K10" s="13">
        <v>55658</v>
      </c>
      <c r="L10" s="14">
        <f>K10/H10</f>
        <v>0.95352144044131504</v>
      </c>
      <c r="M10" s="12">
        <v>62528</v>
      </c>
      <c r="N10" s="12">
        <v>28171</v>
      </c>
      <c r="O10" s="15">
        <f>P10-N10</f>
        <v>31412</v>
      </c>
      <c r="P10" s="13">
        <v>59583</v>
      </c>
      <c r="Q10" s="14">
        <f>P10/M10</f>
        <v>0.95290110030706243</v>
      </c>
      <c r="R10" s="12">
        <v>62319</v>
      </c>
      <c r="S10" s="12">
        <v>33108</v>
      </c>
      <c r="T10" s="15">
        <f>U10-S10</f>
        <v>25906</v>
      </c>
      <c r="U10" s="13">
        <v>59014</v>
      </c>
      <c r="V10" s="14">
        <f>U10/R10</f>
        <v>0.94696641473707854</v>
      </c>
      <c r="W10" s="12">
        <v>64586</v>
      </c>
      <c r="X10" s="12">
        <v>36389</v>
      </c>
      <c r="Y10" s="15">
        <f>Z10-X10</f>
        <v>24263</v>
      </c>
      <c r="Z10" s="13">
        <v>60652</v>
      </c>
      <c r="AA10" s="14">
        <f>Z10/W10</f>
        <v>0.93908896664911901</v>
      </c>
      <c r="AB10" s="12">
        <v>66074</v>
      </c>
      <c r="AC10" s="12">
        <v>42030</v>
      </c>
      <c r="AD10" s="15">
        <f>AE10-AC10</f>
        <v>19782</v>
      </c>
      <c r="AE10" s="22">
        <v>61812</v>
      </c>
      <c r="AF10" s="14">
        <f>AE10/AB10</f>
        <v>0.93549656445803187</v>
      </c>
      <c r="AG10" s="12">
        <v>68002</v>
      </c>
      <c r="AH10" s="12">
        <v>42155</v>
      </c>
      <c r="AI10" s="15">
        <f>AJ10-AH10</f>
        <v>21198</v>
      </c>
      <c r="AJ10" s="13">
        <v>63353</v>
      </c>
      <c r="AK10" s="14">
        <f>AJ10/AG10</f>
        <v>0.93163436369518549</v>
      </c>
      <c r="AL10" s="12">
        <v>69822</v>
      </c>
      <c r="AM10" s="12">
        <v>42923</v>
      </c>
      <c r="AN10" s="15">
        <f>AO10-AM10</f>
        <v>21868</v>
      </c>
      <c r="AO10" s="13">
        <v>64791</v>
      </c>
      <c r="AP10" s="14">
        <f>AO10/AL10</f>
        <v>0.92794534673885021</v>
      </c>
      <c r="AQ10" s="12">
        <v>71741</v>
      </c>
      <c r="AR10" s="12">
        <v>41278</v>
      </c>
      <c r="AS10" s="15">
        <f>AT10-AR10</f>
        <v>25076</v>
      </c>
      <c r="AT10" s="13">
        <v>66354</v>
      </c>
      <c r="AU10" s="14">
        <f>AT10/AQ10</f>
        <v>0.92491044172788228</v>
      </c>
    </row>
    <row r="11" spans="1:57" x14ac:dyDescent="0.3">
      <c r="A11" s="8">
        <v>2</v>
      </c>
      <c r="B11" s="3" t="s">
        <v>8</v>
      </c>
      <c r="C11" s="12">
        <v>53013</v>
      </c>
      <c r="D11" s="12">
        <v>31134</v>
      </c>
      <c r="E11" s="12">
        <f t="shared" ref="E11:E48" si="0">F11-D11</f>
        <v>20000</v>
      </c>
      <c r="F11" s="13">
        <v>51134</v>
      </c>
      <c r="G11" s="14">
        <f t="shared" ref="G11:G45" si="1">F11/C11</f>
        <v>0.96455586365608437</v>
      </c>
      <c r="H11" s="12">
        <v>58745</v>
      </c>
      <c r="I11" s="12">
        <v>21838</v>
      </c>
      <c r="J11" s="15">
        <f t="shared" ref="J11:J48" si="2">K11-I11</f>
        <v>33932</v>
      </c>
      <c r="K11" s="13">
        <v>55770</v>
      </c>
      <c r="L11" s="14">
        <f t="shared" ref="L11:L48" si="3">K11/H11</f>
        <v>0.94935739211847814</v>
      </c>
      <c r="M11" s="12">
        <v>61691</v>
      </c>
      <c r="N11" s="12">
        <v>30755</v>
      </c>
      <c r="O11" s="15">
        <f t="shared" ref="O11:O48" si="4">P11-N11</f>
        <v>28221</v>
      </c>
      <c r="P11" s="13">
        <v>58976</v>
      </c>
      <c r="Q11" s="14">
        <f t="shared" ref="Q11:Q48" si="5">P11/M11</f>
        <v>0.95599033894733432</v>
      </c>
      <c r="R11" s="12">
        <v>58791</v>
      </c>
      <c r="S11" s="12">
        <v>31696</v>
      </c>
      <c r="T11" s="15">
        <f t="shared" ref="T11:T48" si="6">U11-S11</f>
        <v>24019</v>
      </c>
      <c r="U11" s="13">
        <v>55715</v>
      </c>
      <c r="V11" s="14">
        <f t="shared" ref="V11:V48" si="7">U11/R11</f>
        <v>0.94767906652378764</v>
      </c>
      <c r="W11" s="12">
        <v>59931</v>
      </c>
      <c r="X11" s="12">
        <v>35381</v>
      </c>
      <c r="Y11" s="15">
        <f t="shared" ref="Y11:Y48" si="8">Z11-X11</f>
        <v>21008</v>
      </c>
      <c r="Z11" s="13">
        <v>56389</v>
      </c>
      <c r="AA11" s="14">
        <f t="shared" ref="AA11:AA48" si="9">Z11/W11</f>
        <v>0.94089870017186428</v>
      </c>
      <c r="AB11" s="12">
        <v>60956</v>
      </c>
      <c r="AC11" s="12">
        <v>41404</v>
      </c>
      <c r="AD11" s="15">
        <f t="shared" ref="AD11:AD48" si="10">AE11-AC11</f>
        <v>15735</v>
      </c>
      <c r="AE11" s="22">
        <v>57139</v>
      </c>
      <c r="AF11" s="14">
        <f t="shared" ref="AF11:AF48" si="11">AE11/AB11</f>
        <v>0.93738106174945868</v>
      </c>
      <c r="AG11" s="12">
        <v>63084</v>
      </c>
      <c r="AH11" s="12">
        <v>42168</v>
      </c>
      <c r="AI11" s="15">
        <f t="shared" ref="AI11:AI48" si="12">AJ11-AH11</f>
        <v>16690</v>
      </c>
      <c r="AJ11" s="13">
        <v>58858</v>
      </c>
      <c r="AK11" s="14">
        <f t="shared" ref="AK11:AK48" si="13">AJ11/AG11</f>
        <v>0.93300995498066075</v>
      </c>
      <c r="AL11" s="12">
        <v>65105</v>
      </c>
      <c r="AM11" s="12">
        <v>43294</v>
      </c>
      <c r="AN11" s="15">
        <f t="shared" ref="AN11:AN48" si="14">AO11-AM11</f>
        <v>17384</v>
      </c>
      <c r="AO11" s="13">
        <v>60678</v>
      </c>
      <c r="AP11" s="14">
        <f t="shared" ref="AP11:AP48" si="15">AO11/AL11</f>
        <v>0.93200215037247525</v>
      </c>
      <c r="AQ11" s="12">
        <v>67470</v>
      </c>
      <c r="AR11" s="12">
        <v>43082</v>
      </c>
      <c r="AS11" s="15">
        <f t="shared" ref="AS11:AS48" si="16">AT11-AR11</f>
        <v>19787</v>
      </c>
      <c r="AT11" s="13">
        <v>62869</v>
      </c>
      <c r="AU11" s="14">
        <f t="shared" ref="AU11:AU48" si="17">AT11/AQ11</f>
        <v>0.93180672891655547</v>
      </c>
    </row>
    <row r="12" spans="1:57" x14ac:dyDescent="0.3">
      <c r="A12" s="8">
        <v>3</v>
      </c>
      <c r="B12" s="3" t="s">
        <v>9</v>
      </c>
      <c r="C12" s="12">
        <v>220786</v>
      </c>
      <c r="D12" s="12">
        <v>156554</v>
      </c>
      <c r="E12" s="12">
        <f t="shared" si="0"/>
        <v>56533</v>
      </c>
      <c r="F12" s="13">
        <v>213087</v>
      </c>
      <c r="G12" s="14">
        <f t="shared" si="1"/>
        <v>0.96512912956437458</v>
      </c>
      <c r="H12" s="12">
        <v>239311</v>
      </c>
      <c r="I12" s="12">
        <v>146224</v>
      </c>
      <c r="J12" s="15">
        <f t="shared" si="2"/>
        <v>85979</v>
      </c>
      <c r="K12" s="13">
        <v>232203</v>
      </c>
      <c r="L12" s="14">
        <f t="shared" si="3"/>
        <v>0.97029806402547314</v>
      </c>
      <c r="M12" s="12">
        <v>247374</v>
      </c>
      <c r="N12" s="12">
        <v>175334</v>
      </c>
      <c r="O12" s="15">
        <f t="shared" si="4"/>
        <v>67653</v>
      </c>
      <c r="P12" s="13">
        <v>242987</v>
      </c>
      <c r="Q12" s="14">
        <f t="shared" si="5"/>
        <v>0.98226571911356897</v>
      </c>
      <c r="R12" s="12">
        <v>247069</v>
      </c>
      <c r="S12" s="12">
        <v>184296</v>
      </c>
      <c r="T12" s="15">
        <f t="shared" si="6"/>
        <v>56502</v>
      </c>
      <c r="U12" s="13">
        <v>240798</v>
      </c>
      <c r="V12" s="14">
        <f t="shared" si="7"/>
        <v>0.97461842643148267</v>
      </c>
      <c r="W12" s="12">
        <v>250968</v>
      </c>
      <c r="X12" s="12">
        <v>195847</v>
      </c>
      <c r="Y12" s="15">
        <f t="shared" si="8"/>
        <v>47586</v>
      </c>
      <c r="Z12" s="13">
        <v>243433</v>
      </c>
      <c r="AA12" s="14">
        <f t="shared" si="9"/>
        <v>0.96997625195244019</v>
      </c>
      <c r="AB12" s="12">
        <v>254559</v>
      </c>
      <c r="AC12" s="12">
        <v>211686</v>
      </c>
      <c r="AD12" s="15">
        <f t="shared" si="10"/>
        <v>34215</v>
      </c>
      <c r="AE12" s="22">
        <v>245901</v>
      </c>
      <c r="AF12" s="14">
        <f t="shared" si="11"/>
        <v>0.96598823848302362</v>
      </c>
      <c r="AG12" s="12">
        <v>257888</v>
      </c>
      <c r="AH12" s="12">
        <v>208263</v>
      </c>
      <c r="AI12" s="15">
        <f t="shared" si="12"/>
        <v>40185</v>
      </c>
      <c r="AJ12" s="13">
        <v>248448</v>
      </c>
      <c r="AK12" s="14">
        <f t="shared" si="13"/>
        <v>0.96339496215411347</v>
      </c>
      <c r="AL12" s="12">
        <v>261849</v>
      </c>
      <c r="AM12" s="12">
        <v>209508</v>
      </c>
      <c r="AN12" s="15">
        <f t="shared" si="14"/>
        <v>42303</v>
      </c>
      <c r="AO12" s="13">
        <v>251811</v>
      </c>
      <c r="AP12" s="14">
        <f t="shared" si="15"/>
        <v>0.96166492902397949</v>
      </c>
      <c r="AQ12" s="12">
        <v>264808</v>
      </c>
      <c r="AR12" s="12">
        <v>203351</v>
      </c>
      <c r="AS12" s="15">
        <f t="shared" si="16"/>
        <v>51026</v>
      </c>
      <c r="AT12" s="13">
        <v>254377</v>
      </c>
      <c r="AU12" s="14">
        <f t="shared" si="17"/>
        <v>0.96060919609679463</v>
      </c>
    </row>
    <row r="13" spans="1:57" x14ac:dyDescent="0.3">
      <c r="A13" s="8">
        <v>4</v>
      </c>
      <c r="B13" s="3" t="s">
        <v>10</v>
      </c>
      <c r="C13" s="12">
        <v>20632</v>
      </c>
      <c r="D13" s="12">
        <v>14826</v>
      </c>
      <c r="E13" s="12">
        <f t="shared" si="0"/>
        <v>5853</v>
      </c>
      <c r="F13" s="13">
        <v>20679</v>
      </c>
      <c r="G13" s="14">
        <f t="shared" si="1"/>
        <v>1.0022780147343933</v>
      </c>
      <c r="H13" s="12">
        <v>22318</v>
      </c>
      <c r="I13" s="12">
        <v>12862</v>
      </c>
      <c r="J13" s="15">
        <f t="shared" si="2"/>
        <v>9409</v>
      </c>
      <c r="K13" s="13">
        <v>22271</v>
      </c>
      <c r="L13" s="14">
        <f t="shared" si="3"/>
        <v>0.99789407653015505</v>
      </c>
      <c r="M13" s="12">
        <v>23418</v>
      </c>
      <c r="N13" s="12">
        <v>15474</v>
      </c>
      <c r="O13" s="15">
        <f t="shared" si="4"/>
        <v>7824</v>
      </c>
      <c r="P13" s="13">
        <v>23298</v>
      </c>
      <c r="Q13" s="14">
        <f t="shared" si="5"/>
        <v>0.99487573661286188</v>
      </c>
      <c r="R13" s="12">
        <v>23532</v>
      </c>
      <c r="S13" s="12">
        <v>15725</v>
      </c>
      <c r="T13" s="15">
        <f t="shared" si="6"/>
        <v>7337</v>
      </c>
      <c r="U13" s="13">
        <v>23062</v>
      </c>
      <c r="V13" s="14">
        <f t="shared" si="7"/>
        <v>0.98002719700832908</v>
      </c>
      <c r="W13" s="12">
        <v>23908</v>
      </c>
      <c r="X13" s="12">
        <v>17463</v>
      </c>
      <c r="Y13" s="15">
        <f t="shared" si="8"/>
        <v>5776</v>
      </c>
      <c r="Z13" s="13">
        <v>23239</v>
      </c>
      <c r="AA13" s="14">
        <f t="shared" si="9"/>
        <v>0.97201773464948971</v>
      </c>
      <c r="AB13" s="12">
        <v>24261</v>
      </c>
      <c r="AC13" s="12">
        <v>19033</v>
      </c>
      <c r="AD13" s="15">
        <f t="shared" si="10"/>
        <v>4387</v>
      </c>
      <c r="AE13" s="22">
        <v>23420</v>
      </c>
      <c r="AF13" s="14">
        <f t="shared" si="11"/>
        <v>0.96533531181732002</v>
      </c>
      <c r="AG13" s="12">
        <v>24572</v>
      </c>
      <c r="AH13" s="12">
        <v>18534</v>
      </c>
      <c r="AI13" s="15">
        <f t="shared" si="12"/>
        <v>5089</v>
      </c>
      <c r="AJ13" s="13">
        <v>23623</v>
      </c>
      <c r="AK13" s="14">
        <f t="shared" si="13"/>
        <v>0.96137880514406637</v>
      </c>
      <c r="AL13" s="12">
        <v>24962</v>
      </c>
      <c r="AM13" s="12">
        <v>18998</v>
      </c>
      <c r="AN13" s="15">
        <f t="shared" si="14"/>
        <v>4967</v>
      </c>
      <c r="AO13" s="13">
        <v>23965</v>
      </c>
      <c r="AP13" s="14">
        <f t="shared" si="15"/>
        <v>0.9600592901209839</v>
      </c>
      <c r="AQ13" s="12">
        <v>25208</v>
      </c>
      <c r="AR13" s="12">
        <v>18533</v>
      </c>
      <c r="AS13" s="15">
        <f t="shared" si="16"/>
        <v>5669</v>
      </c>
      <c r="AT13" s="13">
        <v>24202</v>
      </c>
      <c r="AU13" s="14">
        <f t="shared" si="17"/>
        <v>0.96009203427483336</v>
      </c>
    </row>
    <row r="14" spans="1:57" x14ac:dyDescent="0.3">
      <c r="A14" s="8">
        <v>5</v>
      </c>
      <c r="B14" s="3" t="s">
        <v>11</v>
      </c>
      <c r="C14" s="12">
        <v>85370</v>
      </c>
      <c r="D14" s="12">
        <v>34316</v>
      </c>
      <c r="E14" s="12">
        <f t="shared" si="0"/>
        <v>47264</v>
      </c>
      <c r="F14" s="13">
        <v>81580</v>
      </c>
      <c r="G14" s="14">
        <f t="shared" si="1"/>
        <v>0.95560501347077431</v>
      </c>
      <c r="H14" s="12">
        <v>94845</v>
      </c>
      <c r="I14" s="12">
        <v>26778</v>
      </c>
      <c r="J14" s="15">
        <f t="shared" si="2"/>
        <v>62074</v>
      </c>
      <c r="K14" s="13">
        <v>88852</v>
      </c>
      <c r="L14" s="14">
        <f t="shared" si="3"/>
        <v>0.93681269439612003</v>
      </c>
      <c r="M14" s="12">
        <v>100078</v>
      </c>
      <c r="N14" s="12">
        <v>36786</v>
      </c>
      <c r="O14" s="15">
        <f t="shared" si="4"/>
        <v>56723</v>
      </c>
      <c r="P14" s="13">
        <v>93509</v>
      </c>
      <c r="Q14" s="14">
        <f t="shared" si="5"/>
        <v>0.93436119826535302</v>
      </c>
      <c r="R14" s="12">
        <v>94880</v>
      </c>
      <c r="S14" s="12">
        <v>42018</v>
      </c>
      <c r="T14" s="15">
        <f t="shared" si="6"/>
        <v>45609</v>
      </c>
      <c r="U14" s="13">
        <v>87627</v>
      </c>
      <c r="V14" s="14">
        <f t="shared" si="7"/>
        <v>0.92355607082630686</v>
      </c>
      <c r="W14" s="12">
        <v>97711</v>
      </c>
      <c r="X14" s="12">
        <v>50544</v>
      </c>
      <c r="Y14" s="15">
        <f t="shared" si="8"/>
        <v>38459</v>
      </c>
      <c r="Z14" s="13">
        <v>89003</v>
      </c>
      <c r="AA14" s="14">
        <f t="shared" si="9"/>
        <v>0.91088004421201296</v>
      </c>
      <c r="AB14" s="12">
        <v>99756</v>
      </c>
      <c r="AC14" s="12">
        <v>58927</v>
      </c>
      <c r="AD14" s="15">
        <f t="shared" si="10"/>
        <v>31361</v>
      </c>
      <c r="AE14" s="22">
        <v>90288</v>
      </c>
      <c r="AF14" s="14">
        <f t="shared" si="11"/>
        <v>0.90508841573439192</v>
      </c>
      <c r="AG14" s="12">
        <v>102558</v>
      </c>
      <c r="AH14" s="12">
        <v>60515</v>
      </c>
      <c r="AI14" s="15">
        <f t="shared" si="12"/>
        <v>31807</v>
      </c>
      <c r="AJ14" s="13">
        <v>92322</v>
      </c>
      <c r="AK14" s="14">
        <f t="shared" si="13"/>
        <v>0.9001930614871585</v>
      </c>
      <c r="AL14" s="12">
        <v>105004</v>
      </c>
      <c r="AM14" s="12">
        <v>62029</v>
      </c>
      <c r="AN14" s="15">
        <f t="shared" si="14"/>
        <v>32143</v>
      </c>
      <c r="AO14" s="13">
        <v>94172</v>
      </c>
      <c r="AP14" s="14">
        <f t="shared" si="15"/>
        <v>0.89684202506571176</v>
      </c>
      <c r="AQ14" s="12">
        <v>107596</v>
      </c>
      <c r="AR14" s="12">
        <v>60565</v>
      </c>
      <c r="AS14" s="15">
        <f t="shared" si="16"/>
        <v>35823</v>
      </c>
      <c r="AT14" s="13">
        <v>96388</v>
      </c>
      <c r="AU14" s="14">
        <f t="shared" si="17"/>
        <v>0.89583255883118329</v>
      </c>
    </row>
    <row r="15" spans="1:57" x14ac:dyDescent="0.3">
      <c r="A15" s="8">
        <v>6</v>
      </c>
      <c r="B15" s="3" t="s">
        <v>12</v>
      </c>
      <c r="C15" s="12">
        <v>260418</v>
      </c>
      <c r="D15" s="12">
        <v>159587</v>
      </c>
      <c r="E15" s="12">
        <f t="shared" si="0"/>
        <v>97620</v>
      </c>
      <c r="F15" s="13">
        <v>257207</v>
      </c>
      <c r="G15" s="14">
        <f t="shared" si="1"/>
        <v>0.98766982313050555</v>
      </c>
      <c r="H15" s="12">
        <v>286641</v>
      </c>
      <c r="I15" s="12">
        <v>130400</v>
      </c>
      <c r="J15" s="15">
        <f t="shared" si="2"/>
        <v>150718</v>
      </c>
      <c r="K15" s="13">
        <v>281118</v>
      </c>
      <c r="L15" s="14">
        <f t="shared" si="3"/>
        <v>0.98073199577171444</v>
      </c>
      <c r="M15" s="12">
        <v>302837</v>
      </c>
      <c r="N15" s="12">
        <v>170439</v>
      </c>
      <c r="O15" s="15">
        <f t="shared" si="4"/>
        <v>125924</v>
      </c>
      <c r="P15" s="13">
        <v>296363</v>
      </c>
      <c r="Q15" s="14">
        <f t="shared" si="5"/>
        <v>0.97862216307782735</v>
      </c>
      <c r="R15" s="12">
        <v>306332</v>
      </c>
      <c r="S15" s="12">
        <v>193777</v>
      </c>
      <c r="T15" s="15">
        <f t="shared" si="6"/>
        <v>102616</v>
      </c>
      <c r="U15" s="13">
        <v>296393</v>
      </c>
      <c r="V15" s="14">
        <f t="shared" si="7"/>
        <v>0.96755480981418851</v>
      </c>
      <c r="W15" s="12">
        <v>314476</v>
      </c>
      <c r="X15" s="12">
        <v>216728</v>
      </c>
      <c r="Y15" s="15">
        <f t="shared" si="8"/>
        <v>84755</v>
      </c>
      <c r="Z15" s="13">
        <v>301483</v>
      </c>
      <c r="AA15" s="14">
        <f t="shared" si="9"/>
        <v>0.95868365153461632</v>
      </c>
      <c r="AB15" s="12">
        <v>321480</v>
      </c>
      <c r="AC15" s="12">
        <v>240271</v>
      </c>
      <c r="AD15" s="15">
        <f t="shared" si="10"/>
        <v>66380</v>
      </c>
      <c r="AE15" s="22">
        <v>306651</v>
      </c>
      <c r="AF15" s="14">
        <f t="shared" si="11"/>
        <v>0.95387271369914151</v>
      </c>
      <c r="AG15" s="12">
        <v>329345</v>
      </c>
      <c r="AH15" s="12">
        <v>234939</v>
      </c>
      <c r="AI15" s="15">
        <f t="shared" si="12"/>
        <v>78388</v>
      </c>
      <c r="AJ15" s="13">
        <v>313327</v>
      </c>
      <c r="AK15" s="14">
        <f t="shared" si="13"/>
        <v>0.9513640711108412</v>
      </c>
      <c r="AL15" s="12">
        <v>337143</v>
      </c>
      <c r="AM15" s="12">
        <v>240084</v>
      </c>
      <c r="AN15" s="15">
        <f t="shared" si="14"/>
        <v>80020</v>
      </c>
      <c r="AO15" s="13">
        <v>320104</v>
      </c>
      <c r="AP15" s="14">
        <f t="shared" si="15"/>
        <v>0.94946061463533282</v>
      </c>
      <c r="AQ15" s="12">
        <v>343982</v>
      </c>
      <c r="AR15" s="12">
        <v>234211</v>
      </c>
      <c r="AS15" s="15">
        <f t="shared" si="16"/>
        <v>91730</v>
      </c>
      <c r="AT15" s="13">
        <v>325941</v>
      </c>
      <c r="AU15" s="14">
        <f t="shared" si="17"/>
        <v>0.94755248821159244</v>
      </c>
    </row>
    <row r="16" spans="1:57" x14ac:dyDescent="0.3">
      <c r="A16" s="8">
        <v>7</v>
      </c>
      <c r="B16" s="3" t="s">
        <v>13</v>
      </c>
      <c r="C16" s="12">
        <v>442968</v>
      </c>
      <c r="D16" s="12">
        <v>307172</v>
      </c>
      <c r="E16" s="12">
        <f t="shared" si="0"/>
        <v>141376</v>
      </c>
      <c r="F16" s="13">
        <v>448548</v>
      </c>
      <c r="G16" s="14">
        <f t="shared" si="1"/>
        <v>1.0125968467248199</v>
      </c>
      <c r="H16" s="12">
        <v>492379</v>
      </c>
      <c r="I16" s="12">
        <v>214872</v>
      </c>
      <c r="J16" s="15">
        <f t="shared" si="2"/>
        <v>276672</v>
      </c>
      <c r="K16" s="13">
        <v>491544</v>
      </c>
      <c r="L16" s="14">
        <f t="shared" si="3"/>
        <v>0.9983041518830007</v>
      </c>
      <c r="M16" s="12">
        <v>521051</v>
      </c>
      <c r="N16" s="12">
        <v>290005</v>
      </c>
      <c r="O16" s="15">
        <f t="shared" si="4"/>
        <v>226539</v>
      </c>
      <c r="P16" s="13">
        <v>516544</v>
      </c>
      <c r="Q16" s="14">
        <f t="shared" si="5"/>
        <v>0.99135017493489119</v>
      </c>
      <c r="R16" s="12">
        <v>532973</v>
      </c>
      <c r="S16" s="12">
        <v>312738</v>
      </c>
      <c r="T16" s="15">
        <f t="shared" si="6"/>
        <v>206760</v>
      </c>
      <c r="U16" s="13">
        <v>519498</v>
      </c>
      <c r="V16" s="14">
        <f t="shared" si="7"/>
        <v>0.97471729337133406</v>
      </c>
      <c r="W16" s="12">
        <v>546473</v>
      </c>
      <c r="X16" s="12">
        <v>356584</v>
      </c>
      <c r="Y16" s="15">
        <f t="shared" si="8"/>
        <v>169637</v>
      </c>
      <c r="Z16" s="13">
        <v>526221</v>
      </c>
      <c r="AA16" s="14">
        <f t="shared" si="9"/>
        <v>0.96294052954125819</v>
      </c>
      <c r="AB16" s="12">
        <v>558644</v>
      </c>
      <c r="AC16" s="12">
        <v>400879</v>
      </c>
      <c r="AD16" s="15">
        <f t="shared" si="10"/>
        <v>132877</v>
      </c>
      <c r="AE16" s="22">
        <v>533756</v>
      </c>
      <c r="AF16" s="14">
        <f t="shared" si="11"/>
        <v>0.95544926643801775</v>
      </c>
      <c r="AG16" s="12">
        <v>570701</v>
      </c>
      <c r="AH16" s="12">
        <v>386553</v>
      </c>
      <c r="AI16" s="15">
        <f t="shared" si="12"/>
        <v>155710</v>
      </c>
      <c r="AJ16" s="13">
        <v>542263</v>
      </c>
      <c r="AK16" s="14">
        <f t="shared" si="13"/>
        <v>0.95017005402128263</v>
      </c>
      <c r="AL16" s="12">
        <v>582444</v>
      </c>
      <c r="AM16" s="12">
        <v>389890</v>
      </c>
      <c r="AN16" s="15">
        <f t="shared" si="14"/>
        <v>161177</v>
      </c>
      <c r="AO16" s="13">
        <v>551067</v>
      </c>
      <c r="AP16" s="14">
        <f t="shared" si="15"/>
        <v>0.94612872653851698</v>
      </c>
      <c r="AQ16" s="12">
        <v>592372</v>
      </c>
      <c r="AR16" s="12">
        <v>379848</v>
      </c>
      <c r="AS16" s="15">
        <f t="shared" si="16"/>
        <v>178240</v>
      </c>
      <c r="AT16" s="13">
        <v>558088</v>
      </c>
      <c r="AU16" s="14">
        <f t="shared" si="17"/>
        <v>0.94212420573558509</v>
      </c>
    </row>
    <row r="17" spans="1:47" x14ac:dyDescent="0.3">
      <c r="A17" s="8">
        <v>8</v>
      </c>
      <c r="B17" s="3" t="s">
        <v>14</v>
      </c>
      <c r="C17" s="12">
        <v>399525</v>
      </c>
      <c r="D17" s="12">
        <v>251205</v>
      </c>
      <c r="E17" s="12">
        <f t="shared" si="0"/>
        <v>139891</v>
      </c>
      <c r="F17" s="13">
        <v>391096</v>
      </c>
      <c r="G17" s="14">
        <f t="shared" si="1"/>
        <v>0.97890244665540327</v>
      </c>
      <c r="H17" s="12">
        <v>422945</v>
      </c>
      <c r="I17" s="12">
        <v>180075</v>
      </c>
      <c r="J17" s="15">
        <f t="shared" si="2"/>
        <v>230403</v>
      </c>
      <c r="K17" s="13">
        <v>410478</v>
      </c>
      <c r="L17" s="14">
        <f t="shared" si="3"/>
        <v>0.9705233541004149</v>
      </c>
      <c r="M17" s="12">
        <v>435929</v>
      </c>
      <c r="N17" s="12">
        <v>225342</v>
      </c>
      <c r="O17" s="15">
        <f t="shared" si="4"/>
        <v>200007</v>
      </c>
      <c r="P17" s="13">
        <v>425349</v>
      </c>
      <c r="Q17" s="14">
        <f t="shared" si="5"/>
        <v>0.97572999272817362</v>
      </c>
      <c r="R17" s="12">
        <v>418736</v>
      </c>
      <c r="S17" s="12">
        <v>252332</v>
      </c>
      <c r="T17" s="15">
        <f t="shared" si="6"/>
        <v>153462</v>
      </c>
      <c r="U17" s="13">
        <v>405794</v>
      </c>
      <c r="V17" s="14">
        <f t="shared" si="7"/>
        <v>0.96909269802453102</v>
      </c>
      <c r="W17" s="12">
        <v>427452</v>
      </c>
      <c r="X17" s="12">
        <v>284148</v>
      </c>
      <c r="Y17" s="15">
        <f t="shared" si="8"/>
        <v>127014</v>
      </c>
      <c r="Z17" s="13">
        <v>411162</v>
      </c>
      <c r="AA17" s="14">
        <f t="shared" si="9"/>
        <v>0.96189045787597205</v>
      </c>
      <c r="AB17" s="12">
        <v>433360</v>
      </c>
      <c r="AC17" s="12">
        <v>314825</v>
      </c>
      <c r="AD17" s="15">
        <f t="shared" si="10"/>
        <v>100709</v>
      </c>
      <c r="AE17" s="22">
        <v>415534</v>
      </c>
      <c r="AF17" s="14">
        <f t="shared" si="11"/>
        <v>0.95886560827026024</v>
      </c>
      <c r="AG17" s="12">
        <v>442318</v>
      </c>
      <c r="AH17" s="12">
        <v>309691</v>
      </c>
      <c r="AI17" s="15">
        <f t="shared" si="12"/>
        <v>112661</v>
      </c>
      <c r="AJ17" s="13">
        <v>422352</v>
      </c>
      <c r="AK17" s="14">
        <f t="shared" si="13"/>
        <v>0.95486053020677431</v>
      </c>
      <c r="AL17" s="12">
        <v>449574</v>
      </c>
      <c r="AM17" s="12">
        <v>310935</v>
      </c>
      <c r="AN17" s="15">
        <f t="shared" si="14"/>
        <v>117852</v>
      </c>
      <c r="AO17" s="13">
        <v>428787</v>
      </c>
      <c r="AP17" s="14">
        <f t="shared" si="15"/>
        <v>0.95376289554111227</v>
      </c>
      <c r="AQ17" s="12">
        <v>455889</v>
      </c>
      <c r="AR17" s="12">
        <v>291092</v>
      </c>
      <c r="AS17" s="15">
        <f t="shared" si="16"/>
        <v>143474</v>
      </c>
      <c r="AT17" s="13">
        <v>434566</v>
      </c>
      <c r="AU17" s="14">
        <f t="shared" si="17"/>
        <v>0.95322764971297835</v>
      </c>
    </row>
    <row r="18" spans="1:47" x14ac:dyDescent="0.3">
      <c r="A18" s="8">
        <v>9</v>
      </c>
      <c r="B18" s="3" t="s">
        <v>15</v>
      </c>
      <c r="C18" s="12">
        <v>738006</v>
      </c>
      <c r="D18" s="12">
        <v>398357</v>
      </c>
      <c r="E18" s="12">
        <f t="shared" si="0"/>
        <v>319867</v>
      </c>
      <c r="F18" s="13">
        <v>718224</v>
      </c>
      <c r="G18" s="14">
        <f t="shared" si="1"/>
        <v>0.97319533987528561</v>
      </c>
      <c r="H18" s="12">
        <v>835866</v>
      </c>
      <c r="I18" s="12">
        <v>353698</v>
      </c>
      <c r="J18" s="15">
        <f t="shared" si="2"/>
        <v>446749</v>
      </c>
      <c r="K18" s="13">
        <v>800447</v>
      </c>
      <c r="L18" s="14">
        <f t="shared" si="3"/>
        <v>0.95762598311212566</v>
      </c>
      <c r="M18" s="12">
        <v>887856</v>
      </c>
      <c r="N18" s="12">
        <v>446715</v>
      </c>
      <c r="O18" s="15">
        <f t="shared" si="4"/>
        <v>403671</v>
      </c>
      <c r="P18" s="13">
        <v>850386</v>
      </c>
      <c r="Q18" s="14">
        <f t="shared" si="5"/>
        <v>0.95779721035843646</v>
      </c>
      <c r="R18" s="12">
        <v>809536</v>
      </c>
      <c r="S18" s="12">
        <v>486652</v>
      </c>
      <c r="T18" s="15">
        <f t="shared" si="6"/>
        <v>282969</v>
      </c>
      <c r="U18" s="13">
        <v>769621</v>
      </c>
      <c r="V18" s="14">
        <f t="shared" si="7"/>
        <v>0.95069397778480513</v>
      </c>
      <c r="W18" s="12">
        <v>834136</v>
      </c>
      <c r="X18" s="12">
        <v>559528</v>
      </c>
      <c r="Y18" s="15">
        <f t="shared" si="8"/>
        <v>224764</v>
      </c>
      <c r="Z18" s="13">
        <v>784292</v>
      </c>
      <c r="AA18" s="14">
        <f t="shared" si="9"/>
        <v>0.9402447562507793</v>
      </c>
      <c r="AB18" s="12">
        <v>847512</v>
      </c>
      <c r="AC18" s="12">
        <v>621454</v>
      </c>
      <c r="AD18" s="15">
        <f t="shared" si="10"/>
        <v>171870</v>
      </c>
      <c r="AE18" s="22">
        <v>793324</v>
      </c>
      <c r="AF18" s="14">
        <f t="shared" si="11"/>
        <v>0.93606226224525435</v>
      </c>
      <c r="AG18" s="12">
        <v>871836</v>
      </c>
      <c r="AH18" s="12">
        <v>620590</v>
      </c>
      <c r="AI18" s="15">
        <f t="shared" si="12"/>
        <v>189358</v>
      </c>
      <c r="AJ18" s="13">
        <v>809948</v>
      </c>
      <c r="AK18" s="14">
        <f t="shared" si="13"/>
        <v>0.92901417239022022</v>
      </c>
      <c r="AL18" s="12">
        <v>895908</v>
      </c>
      <c r="AM18" s="12">
        <v>630707</v>
      </c>
      <c r="AN18" s="15">
        <f t="shared" si="14"/>
        <v>198380</v>
      </c>
      <c r="AO18" s="13">
        <v>829087</v>
      </c>
      <c r="AP18" s="14">
        <f t="shared" si="15"/>
        <v>0.92541533282435251</v>
      </c>
      <c r="AQ18" s="12">
        <v>913159</v>
      </c>
      <c r="AR18" s="12">
        <v>620120</v>
      </c>
      <c r="AS18" s="15">
        <f t="shared" si="16"/>
        <v>225455</v>
      </c>
      <c r="AT18" s="13">
        <v>845575</v>
      </c>
      <c r="AU18" s="14">
        <f t="shared" si="17"/>
        <v>0.92598879275131718</v>
      </c>
    </row>
    <row r="19" spans="1:47" x14ac:dyDescent="0.3">
      <c r="A19" s="9">
        <v>10</v>
      </c>
      <c r="B19" s="3" t="s">
        <v>16</v>
      </c>
      <c r="C19" s="12">
        <v>187455</v>
      </c>
      <c r="D19" s="12">
        <v>83443</v>
      </c>
      <c r="E19" s="12">
        <f t="shared" si="0"/>
        <v>92039</v>
      </c>
      <c r="F19" s="13">
        <v>175482</v>
      </c>
      <c r="G19" s="14">
        <f t="shared" si="1"/>
        <v>0.93612867088101148</v>
      </c>
      <c r="H19" s="12">
        <v>213585</v>
      </c>
      <c r="I19" s="12">
        <v>56009</v>
      </c>
      <c r="J19" s="15">
        <f t="shared" si="2"/>
        <v>138278</v>
      </c>
      <c r="K19" s="13">
        <v>194287</v>
      </c>
      <c r="L19" s="14">
        <f t="shared" si="3"/>
        <v>0.90964721305335117</v>
      </c>
      <c r="M19" s="12">
        <v>222312</v>
      </c>
      <c r="N19" s="12">
        <v>78700</v>
      </c>
      <c r="O19" s="15">
        <f t="shared" si="4"/>
        <v>125349</v>
      </c>
      <c r="P19" s="13">
        <v>204049</v>
      </c>
      <c r="Q19" s="14">
        <f t="shared" si="5"/>
        <v>0.91784968872575479</v>
      </c>
      <c r="R19" s="12">
        <v>205062</v>
      </c>
      <c r="S19" s="12">
        <v>92955</v>
      </c>
      <c r="T19" s="15">
        <f t="shared" si="6"/>
        <v>93938</v>
      </c>
      <c r="U19" s="13">
        <v>186893</v>
      </c>
      <c r="V19" s="14">
        <f t="shared" si="7"/>
        <v>0.91139752855234024</v>
      </c>
      <c r="W19" s="12">
        <v>214100</v>
      </c>
      <c r="X19" s="12">
        <v>106382</v>
      </c>
      <c r="Y19" s="15">
        <f t="shared" si="8"/>
        <v>85148</v>
      </c>
      <c r="Z19" s="13">
        <v>191530</v>
      </c>
      <c r="AA19" s="14">
        <f t="shared" si="9"/>
        <v>0.89458197104156933</v>
      </c>
      <c r="AB19" s="12">
        <v>219776</v>
      </c>
      <c r="AC19" s="12">
        <v>122495</v>
      </c>
      <c r="AD19" s="15">
        <f t="shared" si="10"/>
        <v>73034</v>
      </c>
      <c r="AE19" s="22">
        <v>195529</v>
      </c>
      <c r="AF19" s="14">
        <f t="shared" si="11"/>
        <v>0.88967403174140947</v>
      </c>
      <c r="AG19" s="12">
        <v>227120</v>
      </c>
      <c r="AH19" s="12">
        <v>126359</v>
      </c>
      <c r="AI19" s="15">
        <f t="shared" si="12"/>
        <v>74265</v>
      </c>
      <c r="AJ19" s="13">
        <v>200624</v>
      </c>
      <c r="AK19" s="14">
        <f t="shared" si="13"/>
        <v>0.88333920394505105</v>
      </c>
      <c r="AL19" s="12">
        <v>234730</v>
      </c>
      <c r="AM19" s="12">
        <v>125500</v>
      </c>
      <c r="AN19" s="15">
        <f t="shared" si="14"/>
        <v>80564</v>
      </c>
      <c r="AO19" s="13">
        <v>206064</v>
      </c>
      <c r="AP19" s="14">
        <f t="shared" si="15"/>
        <v>0.87787670941081242</v>
      </c>
      <c r="AQ19" s="12">
        <v>238741</v>
      </c>
      <c r="AR19" s="12">
        <v>117767</v>
      </c>
      <c r="AS19" s="15">
        <f t="shared" si="16"/>
        <v>91980</v>
      </c>
      <c r="AT19" s="13">
        <v>209747</v>
      </c>
      <c r="AU19" s="14">
        <f t="shared" si="17"/>
        <v>0.87855458425657929</v>
      </c>
    </row>
    <row r="20" spans="1:47" x14ac:dyDescent="0.3">
      <c r="A20" s="9">
        <v>11</v>
      </c>
      <c r="B20" s="3" t="s">
        <v>17</v>
      </c>
      <c r="C20" s="12">
        <v>3154</v>
      </c>
      <c r="D20" s="12">
        <v>1941</v>
      </c>
      <c r="E20" s="12">
        <f t="shared" si="0"/>
        <v>1091</v>
      </c>
      <c r="F20" s="13">
        <v>3032</v>
      </c>
      <c r="G20" s="14">
        <f t="shared" si="1"/>
        <v>0.96131896005072925</v>
      </c>
      <c r="H20" s="12">
        <v>3593</v>
      </c>
      <c r="I20" s="12">
        <v>1444</v>
      </c>
      <c r="J20" s="15">
        <f t="shared" si="2"/>
        <v>1971</v>
      </c>
      <c r="K20" s="13">
        <v>3415</v>
      </c>
      <c r="L20" s="14">
        <f t="shared" si="3"/>
        <v>0.95045922627330925</v>
      </c>
      <c r="M20" s="12">
        <v>3804</v>
      </c>
      <c r="N20" s="12">
        <v>1527</v>
      </c>
      <c r="O20" s="15">
        <f t="shared" si="4"/>
        <v>2113</v>
      </c>
      <c r="P20" s="13">
        <v>3640</v>
      </c>
      <c r="Q20" s="14">
        <f t="shared" si="5"/>
        <v>0.95688748685594116</v>
      </c>
      <c r="R20" s="12">
        <v>3745</v>
      </c>
      <c r="S20" s="12">
        <v>1818</v>
      </c>
      <c r="T20" s="15">
        <f t="shared" si="6"/>
        <v>1757</v>
      </c>
      <c r="U20" s="13">
        <v>3575</v>
      </c>
      <c r="V20" s="14">
        <f t="shared" si="7"/>
        <v>0.95460614152202938</v>
      </c>
      <c r="W20" s="12">
        <v>3884</v>
      </c>
      <c r="X20" s="12">
        <v>1943</v>
      </c>
      <c r="Y20" s="15">
        <f t="shared" si="8"/>
        <v>1737</v>
      </c>
      <c r="Z20" s="13">
        <v>3680</v>
      </c>
      <c r="AA20" s="14">
        <f t="shared" si="9"/>
        <v>0.94747682801235844</v>
      </c>
      <c r="AB20" s="12">
        <v>4003</v>
      </c>
      <c r="AC20" s="12">
        <v>2321</v>
      </c>
      <c r="AD20" s="15">
        <f t="shared" si="10"/>
        <v>1440</v>
      </c>
      <c r="AE20" s="22">
        <v>3761</v>
      </c>
      <c r="AF20" s="14">
        <f t="shared" si="11"/>
        <v>0.93954534099425435</v>
      </c>
      <c r="AG20" s="12">
        <v>4104</v>
      </c>
      <c r="AH20" s="12">
        <v>2296</v>
      </c>
      <c r="AI20" s="15">
        <f t="shared" si="12"/>
        <v>1555</v>
      </c>
      <c r="AJ20" s="13">
        <v>3851</v>
      </c>
      <c r="AK20" s="14">
        <f t="shared" si="13"/>
        <v>0.93835282651072127</v>
      </c>
      <c r="AL20" s="12">
        <v>4277</v>
      </c>
      <c r="AM20" s="12">
        <v>2380</v>
      </c>
      <c r="AN20" s="15">
        <f t="shared" si="14"/>
        <v>1603</v>
      </c>
      <c r="AO20" s="13">
        <v>3983</v>
      </c>
      <c r="AP20" s="14">
        <f t="shared" si="15"/>
        <v>0.93126022913256956</v>
      </c>
      <c r="AQ20" s="12">
        <v>4449</v>
      </c>
      <c r="AR20" s="12">
        <v>2334</v>
      </c>
      <c r="AS20" s="15">
        <f t="shared" si="16"/>
        <v>1797</v>
      </c>
      <c r="AT20" s="13">
        <v>4131</v>
      </c>
      <c r="AU20" s="14">
        <f t="shared" si="17"/>
        <v>0.92852326365475391</v>
      </c>
    </row>
    <row r="21" spans="1:47" x14ac:dyDescent="0.3">
      <c r="A21" s="9">
        <v>12</v>
      </c>
      <c r="B21" s="3" t="s">
        <v>18</v>
      </c>
      <c r="C21" s="12">
        <v>4103</v>
      </c>
      <c r="D21" s="12">
        <v>1212</v>
      </c>
      <c r="E21" s="12">
        <f t="shared" si="0"/>
        <v>2556</v>
      </c>
      <c r="F21" s="13">
        <v>3768</v>
      </c>
      <c r="G21" s="14">
        <f t="shared" si="1"/>
        <v>0.91835242505483794</v>
      </c>
      <c r="H21" s="12">
        <v>5300</v>
      </c>
      <c r="I21" s="12">
        <v>716</v>
      </c>
      <c r="J21" s="15">
        <f t="shared" si="2"/>
        <v>3919</v>
      </c>
      <c r="K21" s="13">
        <v>4635</v>
      </c>
      <c r="L21" s="14">
        <f t="shared" si="3"/>
        <v>0.87452830188679243</v>
      </c>
      <c r="M21" s="12">
        <v>6068</v>
      </c>
      <c r="N21" s="12">
        <v>1075</v>
      </c>
      <c r="O21" s="15">
        <f t="shared" si="4"/>
        <v>4133</v>
      </c>
      <c r="P21" s="13">
        <v>5208</v>
      </c>
      <c r="Q21" s="14">
        <f t="shared" si="5"/>
        <v>0.85827290705339487</v>
      </c>
      <c r="R21" s="12">
        <v>6212</v>
      </c>
      <c r="S21" s="12">
        <v>1478</v>
      </c>
      <c r="T21" s="15">
        <f t="shared" si="6"/>
        <v>3903</v>
      </c>
      <c r="U21" s="13">
        <v>5381</v>
      </c>
      <c r="V21" s="14">
        <f t="shared" si="7"/>
        <v>0.8662266580811333</v>
      </c>
      <c r="W21" s="12">
        <v>6518</v>
      </c>
      <c r="X21" s="12">
        <v>1666</v>
      </c>
      <c r="Y21" s="15">
        <f t="shared" si="8"/>
        <v>3947</v>
      </c>
      <c r="Z21" s="13">
        <v>5613</v>
      </c>
      <c r="AA21" s="14">
        <f t="shared" si="9"/>
        <v>0.86115372813746549</v>
      </c>
      <c r="AB21" s="12">
        <v>6705</v>
      </c>
      <c r="AC21" s="12">
        <v>2022</v>
      </c>
      <c r="AD21" s="15">
        <f t="shared" si="10"/>
        <v>3774</v>
      </c>
      <c r="AE21" s="22">
        <v>5796</v>
      </c>
      <c r="AF21" s="14">
        <f t="shared" si="11"/>
        <v>0.86442953020134228</v>
      </c>
      <c r="AG21" s="12">
        <v>6982</v>
      </c>
      <c r="AH21" s="12">
        <v>2222</v>
      </c>
      <c r="AI21" s="15">
        <f t="shared" si="12"/>
        <v>3775</v>
      </c>
      <c r="AJ21" s="13">
        <v>5997</v>
      </c>
      <c r="AK21" s="14">
        <f t="shared" si="13"/>
        <v>0.85892294471498143</v>
      </c>
      <c r="AL21" s="12">
        <v>7381</v>
      </c>
      <c r="AM21" s="12">
        <v>2406</v>
      </c>
      <c r="AN21" s="15">
        <f t="shared" si="14"/>
        <v>3872</v>
      </c>
      <c r="AO21" s="13">
        <v>6278</v>
      </c>
      <c r="AP21" s="14">
        <f t="shared" si="15"/>
        <v>0.85056225443706812</v>
      </c>
      <c r="AQ21" s="12">
        <v>8072</v>
      </c>
      <c r="AR21" s="12">
        <v>2292</v>
      </c>
      <c r="AS21" s="15">
        <f t="shared" si="16"/>
        <v>4501</v>
      </c>
      <c r="AT21" s="13">
        <v>6793</v>
      </c>
      <c r="AU21" s="14">
        <f t="shared" si="17"/>
        <v>0.84155104063429143</v>
      </c>
    </row>
    <row r="22" spans="1:47" x14ac:dyDescent="0.3">
      <c r="A22" s="9">
        <v>13</v>
      </c>
      <c r="B22" s="3" t="s">
        <v>19</v>
      </c>
      <c r="C22" s="12">
        <v>3917</v>
      </c>
      <c r="D22" s="12">
        <v>934</v>
      </c>
      <c r="E22" s="12">
        <f t="shared" si="0"/>
        <v>2538</v>
      </c>
      <c r="F22" s="13">
        <v>3472</v>
      </c>
      <c r="G22" s="14">
        <f t="shared" si="1"/>
        <v>0.88639264743426094</v>
      </c>
      <c r="H22" s="12">
        <v>4679</v>
      </c>
      <c r="I22" s="12">
        <v>564</v>
      </c>
      <c r="J22" s="15">
        <f t="shared" si="2"/>
        <v>3401</v>
      </c>
      <c r="K22" s="13">
        <v>3965</v>
      </c>
      <c r="L22" s="14">
        <f t="shared" si="3"/>
        <v>0.84740329130156011</v>
      </c>
      <c r="M22" s="12">
        <v>4915</v>
      </c>
      <c r="N22" s="12">
        <v>772</v>
      </c>
      <c r="O22" s="15">
        <f t="shared" si="4"/>
        <v>3466</v>
      </c>
      <c r="P22" s="13">
        <v>4238</v>
      </c>
      <c r="Q22" s="14">
        <f t="shared" si="5"/>
        <v>0.86225839267548321</v>
      </c>
      <c r="R22" s="12">
        <v>4750</v>
      </c>
      <c r="S22" s="12">
        <v>938</v>
      </c>
      <c r="T22" s="15">
        <f t="shared" si="6"/>
        <v>3134</v>
      </c>
      <c r="U22" s="13">
        <v>4072</v>
      </c>
      <c r="V22" s="14">
        <f t="shared" si="7"/>
        <v>0.85726315789473684</v>
      </c>
      <c r="W22" s="12">
        <v>4877</v>
      </c>
      <c r="X22" s="12">
        <v>970</v>
      </c>
      <c r="Y22" s="15">
        <f t="shared" si="8"/>
        <v>3136</v>
      </c>
      <c r="Z22" s="13">
        <v>4106</v>
      </c>
      <c r="AA22" s="14">
        <f t="shared" si="9"/>
        <v>0.84191101086733644</v>
      </c>
      <c r="AB22" s="12">
        <v>4778</v>
      </c>
      <c r="AC22" s="12">
        <v>1260</v>
      </c>
      <c r="AD22" s="15">
        <f t="shared" si="10"/>
        <v>2805</v>
      </c>
      <c r="AE22" s="22">
        <v>4065</v>
      </c>
      <c r="AF22" s="14">
        <f t="shared" si="11"/>
        <v>0.85077438258685645</v>
      </c>
      <c r="AG22" s="12">
        <v>4855</v>
      </c>
      <c r="AH22" s="12">
        <v>1533</v>
      </c>
      <c r="AI22" s="15">
        <f t="shared" si="12"/>
        <v>2560</v>
      </c>
      <c r="AJ22" s="13">
        <v>4093</v>
      </c>
      <c r="AK22" s="14">
        <f t="shared" si="13"/>
        <v>0.84304840370751799</v>
      </c>
      <c r="AL22" s="12">
        <v>4849</v>
      </c>
      <c r="AM22" s="12">
        <v>1405</v>
      </c>
      <c r="AN22" s="15">
        <f t="shared" si="14"/>
        <v>2645</v>
      </c>
      <c r="AO22" s="13">
        <v>4050</v>
      </c>
      <c r="AP22" s="14">
        <f t="shared" si="15"/>
        <v>0.83522375747576816</v>
      </c>
      <c r="AQ22" s="12">
        <v>4904</v>
      </c>
      <c r="AR22" s="12">
        <v>1430</v>
      </c>
      <c r="AS22" s="15">
        <f t="shared" si="16"/>
        <v>2643</v>
      </c>
      <c r="AT22" s="13">
        <v>4073</v>
      </c>
      <c r="AU22" s="14">
        <f t="shared" si="17"/>
        <v>0.83054649265905378</v>
      </c>
    </row>
    <row r="23" spans="1:47" x14ac:dyDescent="0.3">
      <c r="A23" s="9">
        <v>14</v>
      </c>
      <c r="B23" s="3" t="s">
        <v>20</v>
      </c>
      <c r="C23" s="12">
        <v>4283</v>
      </c>
      <c r="D23" s="12">
        <v>1431</v>
      </c>
      <c r="E23" s="12">
        <f t="shared" si="0"/>
        <v>2412</v>
      </c>
      <c r="F23" s="13">
        <v>3843</v>
      </c>
      <c r="G23" s="14">
        <f t="shared" si="1"/>
        <v>0.89726826990427266</v>
      </c>
      <c r="H23" s="12">
        <v>5619</v>
      </c>
      <c r="I23" s="12">
        <v>787</v>
      </c>
      <c r="J23" s="15">
        <f t="shared" si="2"/>
        <v>4033</v>
      </c>
      <c r="K23" s="13">
        <v>4820</v>
      </c>
      <c r="L23" s="14">
        <f t="shared" si="3"/>
        <v>0.85780387969389571</v>
      </c>
      <c r="M23" s="12">
        <v>6564</v>
      </c>
      <c r="N23" s="12">
        <v>1211</v>
      </c>
      <c r="O23" s="15">
        <f t="shared" si="4"/>
        <v>4274</v>
      </c>
      <c r="P23" s="13">
        <v>5485</v>
      </c>
      <c r="Q23" s="14">
        <f t="shared" si="5"/>
        <v>0.83561852528945768</v>
      </c>
      <c r="R23" s="12">
        <v>6945</v>
      </c>
      <c r="S23" s="12">
        <v>1425</v>
      </c>
      <c r="T23" s="15">
        <f t="shared" si="6"/>
        <v>4291</v>
      </c>
      <c r="U23" s="13">
        <v>5716</v>
      </c>
      <c r="V23" s="14">
        <f t="shared" si="7"/>
        <v>0.8230381569474442</v>
      </c>
      <c r="W23" s="12">
        <v>7331</v>
      </c>
      <c r="X23" s="12">
        <v>1703</v>
      </c>
      <c r="Y23" s="15">
        <f t="shared" si="8"/>
        <v>4243</v>
      </c>
      <c r="Z23" s="13">
        <v>5946</v>
      </c>
      <c r="AA23" s="14">
        <f t="shared" si="9"/>
        <v>0.81107625153457918</v>
      </c>
      <c r="AB23" s="12">
        <v>7712</v>
      </c>
      <c r="AC23" s="12">
        <v>2101</v>
      </c>
      <c r="AD23" s="15">
        <f t="shared" si="10"/>
        <v>4109</v>
      </c>
      <c r="AE23" s="22">
        <v>6210</v>
      </c>
      <c r="AF23" s="14">
        <f t="shared" si="11"/>
        <v>0.80523858921161828</v>
      </c>
      <c r="AG23" s="12">
        <v>7971</v>
      </c>
      <c r="AH23" s="12">
        <v>2230</v>
      </c>
      <c r="AI23" s="15">
        <f t="shared" si="12"/>
        <v>4145</v>
      </c>
      <c r="AJ23" s="13">
        <v>6375</v>
      </c>
      <c r="AK23" s="14">
        <f t="shared" si="13"/>
        <v>0.79977418140760259</v>
      </c>
      <c r="AL23" s="12">
        <v>8210</v>
      </c>
      <c r="AM23" s="12">
        <v>2382</v>
      </c>
      <c r="AN23" s="15">
        <f t="shared" si="14"/>
        <v>4111</v>
      </c>
      <c r="AO23" s="13">
        <v>6493</v>
      </c>
      <c r="AP23" s="14">
        <f t="shared" si="15"/>
        <v>0.7908647990255786</v>
      </c>
      <c r="AQ23" s="12">
        <v>8603</v>
      </c>
      <c r="AR23" s="12">
        <v>2704</v>
      </c>
      <c r="AS23" s="15">
        <f t="shared" si="16"/>
        <v>4044</v>
      </c>
      <c r="AT23" s="13">
        <v>6748</v>
      </c>
      <c r="AU23" s="14">
        <f t="shared" si="17"/>
        <v>0.78437754271765658</v>
      </c>
    </row>
    <row r="24" spans="1:47" x14ac:dyDescent="0.3">
      <c r="A24" s="9">
        <v>15</v>
      </c>
      <c r="B24" s="3" t="s">
        <v>21</v>
      </c>
      <c r="C24" s="12">
        <v>2451</v>
      </c>
      <c r="D24" s="12">
        <v>796</v>
      </c>
      <c r="E24" s="12">
        <f t="shared" si="0"/>
        <v>1478</v>
      </c>
      <c r="F24" s="13">
        <v>2274</v>
      </c>
      <c r="G24" s="14">
        <f t="shared" si="1"/>
        <v>0.92778457772337819</v>
      </c>
      <c r="H24" s="12">
        <v>2976</v>
      </c>
      <c r="I24" s="12">
        <v>562</v>
      </c>
      <c r="J24" s="15">
        <f t="shared" si="2"/>
        <v>2117</v>
      </c>
      <c r="K24" s="13">
        <v>2679</v>
      </c>
      <c r="L24" s="14">
        <f t="shared" si="3"/>
        <v>0.90020161290322576</v>
      </c>
      <c r="M24" s="12">
        <v>3300</v>
      </c>
      <c r="N24" s="12">
        <v>789</v>
      </c>
      <c r="O24" s="15">
        <f t="shared" si="4"/>
        <v>2133</v>
      </c>
      <c r="P24" s="13">
        <v>2922</v>
      </c>
      <c r="Q24" s="14">
        <f t="shared" si="5"/>
        <v>0.88545454545454549</v>
      </c>
      <c r="R24" s="12">
        <v>3491</v>
      </c>
      <c r="S24" s="12">
        <v>1012</v>
      </c>
      <c r="T24" s="15">
        <f t="shared" si="6"/>
        <v>2044</v>
      </c>
      <c r="U24" s="13">
        <v>3056</v>
      </c>
      <c r="V24" s="14">
        <f t="shared" si="7"/>
        <v>0.87539386995130331</v>
      </c>
      <c r="W24" s="12">
        <v>3656</v>
      </c>
      <c r="X24" s="12">
        <v>1167</v>
      </c>
      <c r="Y24" s="15">
        <f t="shared" si="8"/>
        <v>1982</v>
      </c>
      <c r="Z24" s="13">
        <v>3149</v>
      </c>
      <c r="AA24" s="14">
        <f t="shared" si="9"/>
        <v>0.86132385120350108</v>
      </c>
      <c r="AB24" s="12">
        <v>3748</v>
      </c>
      <c r="AC24" s="12">
        <v>1312</v>
      </c>
      <c r="AD24" s="15">
        <f t="shared" si="10"/>
        <v>1884</v>
      </c>
      <c r="AE24" s="22">
        <v>3196</v>
      </c>
      <c r="AF24" s="14">
        <f t="shared" si="11"/>
        <v>0.85272145144076839</v>
      </c>
      <c r="AG24" s="12">
        <v>3817</v>
      </c>
      <c r="AH24" s="12">
        <v>1558</v>
      </c>
      <c r="AI24" s="15">
        <f t="shared" si="12"/>
        <v>1687</v>
      </c>
      <c r="AJ24" s="13">
        <v>3245</v>
      </c>
      <c r="AK24" s="14">
        <f t="shared" si="13"/>
        <v>0.85014409221902021</v>
      </c>
      <c r="AL24" s="12">
        <v>3954</v>
      </c>
      <c r="AM24" s="12">
        <v>1641</v>
      </c>
      <c r="AN24" s="15">
        <f t="shared" si="14"/>
        <v>1695</v>
      </c>
      <c r="AO24" s="13">
        <v>3336</v>
      </c>
      <c r="AP24" s="14">
        <f t="shared" si="15"/>
        <v>0.8437025796661608</v>
      </c>
      <c r="AQ24" s="12">
        <v>4048</v>
      </c>
      <c r="AR24" s="12">
        <v>1662</v>
      </c>
      <c r="AS24" s="15">
        <f t="shared" si="16"/>
        <v>1724</v>
      </c>
      <c r="AT24" s="13">
        <v>3386</v>
      </c>
      <c r="AU24" s="14">
        <f t="shared" si="17"/>
        <v>0.83646245059288538</v>
      </c>
    </row>
    <row r="25" spans="1:47" x14ac:dyDescent="0.3">
      <c r="A25" s="9">
        <v>16</v>
      </c>
      <c r="B25" s="3" t="s">
        <v>22</v>
      </c>
      <c r="C25" s="12">
        <v>13528</v>
      </c>
      <c r="D25" s="12">
        <v>5590</v>
      </c>
      <c r="E25" s="12">
        <f t="shared" si="0"/>
        <v>7311</v>
      </c>
      <c r="F25" s="13">
        <v>12901</v>
      </c>
      <c r="G25" s="14">
        <f t="shared" si="1"/>
        <v>0.9536516853932584</v>
      </c>
      <c r="H25" s="12">
        <v>15567</v>
      </c>
      <c r="I25" s="12">
        <v>3316</v>
      </c>
      <c r="J25" s="15">
        <f t="shared" si="2"/>
        <v>11254</v>
      </c>
      <c r="K25" s="13">
        <v>14570</v>
      </c>
      <c r="L25" s="14">
        <f t="shared" si="3"/>
        <v>0.93595426222136568</v>
      </c>
      <c r="M25" s="12">
        <v>16398</v>
      </c>
      <c r="N25" s="12">
        <v>5532</v>
      </c>
      <c r="O25" s="15">
        <f t="shared" si="4"/>
        <v>9799</v>
      </c>
      <c r="P25" s="13">
        <v>15331</v>
      </c>
      <c r="Q25" s="14">
        <f t="shared" si="5"/>
        <v>0.93493108915721435</v>
      </c>
      <c r="R25" s="12">
        <v>16060</v>
      </c>
      <c r="S25" s="12">
        <v>7554</v>
      </c>
      <c r="T25" s="15">
        <f t="shared" si="6"/>
        <v>7352</v>
      </c>
      <c r="U25" s="13">
        <v>14906</v>
      </c>
      <c r="V25" s="14">
        <f t="shared" si="7"/>
        <v>0.92814445828144454</v>
      </c>
      <c r="W25" s="12">
        <v>16663</v>
      </c>
      <c r="X25" s="12">
        <v>8320</v>
      </c>
      <c r="Y25" s="15">
        <f t="shared" si="8"/>
        <v>6881</v>
      </c>
      <c r="Z25" s="13">
        <v>15201</v>
      </c>
      <c r="AA25" s="14">
        <f t="shared" si="9"/>
        <v>0.91226069735341775</v>
      </c>
      <c r="AB25" s="12">
        <v>16864</v>
      </c>
      <c r="AC25" s="12">
        <v>8900</v>
      </c>
      <c r="AD25" s="15">
        <f t="shared" si="10"/>
        <v>6449</v>
      </c>
      <c r="AE25" s="22">
        <v>15349</v>
      </c>
      <c r="AF25" s="14">
        <f t="shared" si="11"/>
        <v>0.91016366223908918</v>
      </c>
      <c r="AG25" s="12">
        <v>17122</v>
      </c>
      <c r="AH25" s="12">
        <v>9277</v>
      </c>
      <c r="AI25" s="15">
        <f t="shared" si="12"/>
        <v>6254</v>
      </c>
      <c r="AJ25" s="13">
        <v>15531</v>
      </c>
      <c r="AK25" s="14">
        <f t="shared" si="13"/>
        <v>0.90707861231164588</v>
      </c>
      <c r="AL25" s="12">
        <v>17347</v>
      </c>
      <c r="AM25" s="12">
        <v>9247</v>
      </c>
      <c r="AN25" s="15">
        <f t="shared" si="14"/>
        <v>6424</v>
      </c>
      <c r="AO25" s="13">
        <v>15671</v>
      </c>
      <c r="AP25" s="14">
        <f t="shared" si="15"/>
        <v>0.90338387040986912</v>
      </c>
      <c r="AQ25" s="12">
        <v>17562</v>
      </c>
      <c r="AR25" s="12">
        <v>8747</v>
      </c>
      <c r="AS25" s="15">
        <f t="shared" si="16"/>
        <v>7077</v>
      </c>
      <c r="AT25" s="13">
        <v>15824</v>
      </c>
      <c r="AU25" s="14">
        <f t="shared" si="17"/>
        <v>0.90103632843639681</v>
      </c>
    </row>
    <row r="26" spans="1:47" x14ac:dyDescent="0.3">
      <c r="A26" s="9">
        <v>17</v>
      </c>
      <c r="B26" s="3" t="s">
        <v>23</v>
      </c>
      <c r="C26" s="12">
        <v>11989</v>
      </c>
      <c r="D26" s="12">
        <v>3931</v>
      </c>
      <c r="E26" s="12">
        <f t="shared" si="0"/>
        <v>7099</v>
      </c>
      <c r="F26" s="13">
        <v>11030</v>
      </c>
      <c r="G26" s="14">
        <f t="shared" si="1"/>
        <v>0.92001000917507714</v>
      </c>
      <c r="H26" s="12">
        <v>13712</v>
      </c>
      <c r="I26" s="12">
        <v>2678</v>
      </c>
      <c r="J26" s="15">
        <f t="shared" si="2"/>
        <v>9608</v>
      </c>
      <c r="K26" s="13">
        <v>12286</v>
      </c>
      <c r="L26" s="14">
        <f t="shared" si="3"/>
        <v>0.89600350058343059</v>
      </c>
      <c r="M26" s="12">
        <v>14696</v>
      </c>
      <c r="N26" s="12">
        <v>3598</v>
      </c>
      <c r="O26" s="15">
        <f t="shared" si="4"/>
        <v>9466</v>
      </c>
      <c r="P26" s="13">
        <v>13064</v>
      </c>
      <c r="Q26" s="14">
        <f t="shared" si="5"/>
        <v>0.88894937397931406</v>
      </c>
      <c r="R26" s="12">
        <v>14641</v>
      </c>
      <c r="S26" s="12">
        <v>5305</v>
      </c>
      <c r="T26" s="15">
        <f t="shared" si="6"/>
        <v>7720</v>
      </c>
      <c r="U26" s="13">
        <v>13025</v>
      </c>
      <c r="V26" s="14">
        <f t="shared" si="7"/>
        <v>0.88962502561300461</v>
      </c>
      <c r="W26" s="12">
        <v>15103</v>
      </c>
      <c r="X26" s="12">
        <v>5702</v>
      </c>
      <c r="Y26" s="15">
        <f t="shared" si="8"/>
        <v>7518</v>
      </c>
      <c r="Z26" s="13">
        <v>13220</v>
      </c>
      <c r="AA26" s="14">
        <f t="shared" si="9"/>
        <v>0.87532278355293647</v>
      </c>
      <c r="AB26" s="12">
        <v>15398</v>
      </c>
      <c r="AC26" s="12">
        <v>6252</v>
      </c>
      <c r="AD26" s="15">
        <f t="shared" si="10"/>
        <v>7131</v>
      </c>
      <c r="AE26" s="22">
        <v>13383</v>
      </c>
      <c r="AF26" s="14">
        <f t="shared" si="11"/>
        <v>0.869138849201195</v>
      </c>
      <c r="AG26" s="12">
        <v>15791</v>
      </c>
      <c r="AH26" s="12">
        <v>6482</v>
      </c>
      <c r="AI26" s="15">
        <f t="shared" si="12"/>
        <v>7140</v>
      </c>
      <c r="AJ26" s="13">
        <v>13622</v>
      </c>
      <c r="AK26" s="14">
        <f t="shared" si="13"/>
        <v>0.86264327781647776</v>
      </c>
      <c r="AL26" s="12">
        <v>15996</v>
      </c>
      <c r="AM26" s="12">
        <v>6623</v>
      </c>
      <c r="AN26" s="15">
        <f t="shared" si="14"/>
        <v>7121</v>
      </c>
      <c r="AO26" s="13">
        <v>13744</v>
      </c>
      <c r="AP26" s="14">
        <f t="shared" si="15"/>
        <v>0.85921480370092518</v>
      </c>
      <c r="AQ26" s="12">
        <v>16327</v>
      </c>
      <c r="AR26" s="12">
        <v>7153</v>
      </c>
      <c r="AS26" s="15">
        <f t="shared" si="16"/>
        <v>6833</v>
      </c>
      <c r="AT26" s="13">
        <v>13986</v>
      </c>
      <c r="AU26" s="14">
        <f t="shared" si="17"/>
        <v>0.85661787223617325</v>
      </c>
    </row>
    <row r="27" spans="1:47" x14ac:dyDescent="0.3">
      <c r="A27" s="9">
        <v>18</v>
      </c>
      <c r="B27" s="3" t="s">
        <v>24</v>
      </c>
      <c r="C27" s="12">
        <v>97283</v>
      </c>
      <c r="D27" s="12">
        <v>37502</v>
      </c>
      <c r="E27" s="12">
        <f t="shared" si="0"/>
        <v>48845</v>
      </c>
      <c r="F27" s="13">
        <v>86347</v>
      </c>
      <c r="G27" s="14">
        <f t="shared" si="1"/>
        <v>0.88758570356588506</v>
      </c>
      <c r="H27" s="12">
        <v>111825</v>
      </c>
      <c r="I27" s="12">
        <v>20779</v>
      </c>
      <c r="J27" s="15">
        <f t="shared" si="2"/>
        <v>74091</v>
      </c>
      <c r="K27" s="13">
        <v>94870</v>
      </c>
      <c r="L27" s="14">
        <f t="shared" si="3"/>
        <v>0.84837916387212164</v>
      </c>
      <c r="M27" s="12">
        <v>114311</v>
      </c>
      <c r="N27" s="12">
        <v>29949</v>
      </c>
      <c r="O27" s="15">
        <f t="shared" si="4"/>
        <v>69271</v>
      </c>
      <c r="P27" s="13">
        <v>99220</v>
      </c>
      <c r="Q27" s="14">
        <f t="shared" si="5"/>
        <v>0.86798295877037202</v>
      </c>
      <c r="R27" s="12">
        <v>110497</v>
      </c>
      <c r="S27" s="12">
        <v>37783</v>
      </c>
      <c r="T27" s="15">
        <f t="shared" si="6"/>
        <v>57623</v>
      </c>
      <c r="U27" s="13">
        <v>95406</v>
      </c>
      <c r="V27" s="14">
        <f t="shared" si="7"/>
        <v>0.86342615636623621</v>
      </c>
      <c r="W27" s="12">
        <v>113702</v>
      </c>
      <c r="X27" s="12">
        <v>42970</v>
      </c>
      <c r="Y27" s="15">
        <f t="shared" si="8"/>
        <v>53895</v>
      </c>
      <c r="Z27" s="13">
        <v>96865</v>
      </c>
      <c r="AA27" s="14">
        <f t="shared" si="9"/>
        <v>0.85191993104782682</v>
      </c>
      <c r="AB27" s="12">
        <v>114563</v>
      </c>
      <c r="AC27" s="12">
        <v>48429</v>
      </c>
      <c r="AD27" s="15">
        <f t="shared" si="10"/>
        <v>48865</v>
      </c>
      <c r="AE27" s="22">
        <v>97294</v>
      </c>
      <c r="AF27" s="14">
        <f t="shared" si="11"/>
        <v>0.8492619781255728</v>
      </c>
      <c r="AG27" s="12">
        <v>116010</v>
      </c>
      <c r="AH27" s="12">
        <v>50569</v>
      </c>
      <c r="AI27" s="15">
        <f t="shared" si="12"/>
        <v>47574</v>
      </c>
      <c r="AJ27" s="13">
        <v>98143</v>
      </c>
      <c r="AK27" s="14">
        <f t="shared" si="13"/>
        <v>0.84598741487802775</v>
      </c>
      <c r="AL27" s="12">
        <v>119071</v>
      </c>
      <c r="AM27" s="12">
        <v>50255</v>
      </c>
      <c r="AN27" s="15">
        <f t="shared" si="14"/>
        <v>49580</v>
      </c>
      <c r="AO27" s="13">
        <v>99835</v>
      </c>
      <c r="AP27" s="14">
        <f t="shared" si="15"/>
        <v>0.83844932855187237</v>
      </c>
      <c r="AQ27" s="12">
        <v>122022</v>
      </c>
      <c r="AR27" s="12">
        <v>44666</v>
      </c>
      <c r="AS27" s="15">
        <f t="shared" si="16"/>
        <v>57318</v>
      </c>
      <c r="AT27" s="13">
        <v>101984</v>
      </c>
      <c r="AU27" s="14">
        <f t="shared" si="17"/>
        <v>0.83578371113405781</v>
      </c>
    </row>
    <row r="28" spans="1:47" x14ac:dyDescent="0.3">
      <c r="A28" s="9">
        <v>19</v>
      </c>
      <c r="B28" s="3" t="s">
        <v>25</v>
      </c>
      <c r="C28" s="12">
        <v>347020</v>
      </c>
      <c r="D28" s="12">
        <v>219688</v>
      </c>
      <c r="E28" s="12">
        <f t="shared" si="0"/>
        <v>106243</v>
      </c>
      <c r="F28" s="13">
        <v>325931</v>
      </c>
      <c r="G28" s="14">
        <f t="shared" si="1"/>
        <v>0.93922828655408908</v>
      </c>
      <c r="H28" s="12">
        <v>405036</v>
      </c>
      <c r="I28" s="12">
        <v>135795</v>
      </c>
      <c r="J28" s="15">
        <f t="shared" si="2"/>
        <v>244809</v>
      </c>
      <c r="K28" s="13">
        <v>380604</v>
      </c>
      <c r="L28" s="14">
        <f t="shared" si="3"/>
        <v>0.93967943590199388</v>
      </c>
      <c r="M28" s="12">
        <v>416031</v>
      </c>
      <c r="N28" s="12">
        <v>206247</v>
      </c>
      <c r="O28" s="15">
        <f t="shared" si="4"/>
        <v>195214</v>
      </c>
      <c r="P28" s="13">
        <v>401461</v>
      </c>
      <c r="Q28" s="14">
        <f t="shared" si="5"/>
        <v>0.96497857130838804</v>
      </c>
      <c r="R28" s="12">
        <v>422302</v>
      </c>
      <c r="S28" s="12">
        <v>243472</v>
      </c>
      <c r="T28" s="15">
        <f t="shared" si="6"/>
        <v>159563</v>
      </c>
      <c r="U28" s="13">
        <v>403035</v>
      </c>
      <c r="V28" s="14">
        <f t="shared" si="7"/>
        <v>0.95437625206605703</v>
      </c>
      <c r="W28" s="12">
        <v>436034</v>
      </c>
      <c r="X28" s="12">
        <v>272747</v>
      </c>
      <c r="Y28" s="15">
        <f t="shared" si="8"/>
        <v>140065</v>
      </c>
      <c r="Z28" s="13">
        <v>412812</v>
      </c>
      <c r="AA28" s="14">
        <f t="shared" si="9"/>
        <v>0.9467426852034474</v>
      </c>
      <c r="AB28" s="12">
        <v>443892</v>
      </c>
      <c r="AC28" s="12">
        <v>294267</v>
      </c>
      <c r="AD28" s="15">
        <f t="shared" si="10"/>
        <v>124930</v>
      </c>
      <c r="AE28" s="22">
        <v>419197</v>
      </c>
      <c r="AF28" s="14">
        <f t="shared" si="11"/>
        <v>0.94436709830319088</v>
      </c>
      <c r="AG28" s="12">
        <v>453793</v>
      </c>
      <c r="AH28" s="12">
        <v>306431</v>
      </c>
      <c r="AI28" s="15">
        <f t="shared" si="12"/>
        <v>120933</v>
      </c>
      <c r="AJ28" s="13">
        <v>427364</v>
      </c>
      <c r="AK28" s="14">
        <f t="shared" si="13"/>
        <v>0.94175978915496716</v>
      </c>
      <c r="AL28" s="12">
        <v>463943</v>
      </c>
      <c r="AM28" s="12">
        <v>310097</v>
      </c>
      <c r="AN28" s="15">
        <f t="shared" si="14"/>
        <v>125915</v>
      </c>
      <c r="AO28" s="13">
        <v>436012</v>
      </c>
      <c r="AP28" s="14">
        <f t="shared" si="15"/>
        <v>0.93979648361975499</v>
      </c>
      <c r="AQ28" s="12">
        <v>472982</v>
      </c>
      <c r="AR28" s="12">
        <v>298307</v>
      </c>
      <c r="AS28" s="15">
        <f t="shared" si="16"/>
        <v>145003</v>
      </c>
      <c r="AT28" s="13">
        <v>443310</v>
      </c>
      <c r="AU28" s="14">
        <f t="shared" si="17"/>
        <v>0.93726611160678419</v>
      </c>
    </row>
    <row r="29" spans="1:47" x14ac:dyDescent="0.3">
      <c r="A29" s="9">
        <v>20</v>
      </c>
      <c r="B29" s="3" t="s">
        <v>26</v>
      </c>
      <c r="C29" s="12">
        <v>82880</v>
      </c>
      <c r="D29" s="12">
        <v>46423</v>
      </c>
      <c r="E29" s="12">
        <f t="shared" si="0"/>
        <v>34152</v>
      </c>
      <c r="F29" s="13">
        <v>80575</v>
      </c>
      <c r="G29" s="14">
        <f t="shared" si="1"/>
        <v>0.97218870656370659</v>
      </c>
      <c r="H29" s="12">
        <v>95439</v>
      </c>
      <c r="I29" s="12">
        <v>33373</v>
      </c>
      <c r="J29" s="15">
        <f t="shared" si="2"/>
        <v>57280</v>
      </c>
      <c r="K29" s="13">
        <v>90653</v>
      </c>
      <c r="L29" s="14">
        <f t="shared" si="3"/>
        <v>0.94985278554888464</v>
      </c>
      <c r="M29" s="12">
        <v>100685</v>
      </c>
      <c r="N29" s="12">
        <v>50897</v>
      </c>
      <c r="O29" s="15">
        <f t="shared" si="4"/>
        <v>45428</v>
      </c>
      <c r="P29" s="13">
        <v>96325</v>
      </c>
      <c r="Q29" s="14">
        <f t="shared" si="5"/>
        <v>0.95669662809753186</v>
      </c>
      <c r="R29" s="12">
        <v>101040</v>
      </c>
      <c r="S29" s="12">
        <v>56454</v>
      </c>
      <c r="T29" s="15">
        <f t="shared" si="6"/>
        <v>39355</v>
      </c>
      <c r="U29" s="13">
        <v>95809</v>
      </c>
      <c r="V29" s="14">
        <f t="shared" si="7"/>
        <v>0.94822842438638166</v>
      </c>
      <c r="W29" s="12">
        <v>104889</v>
      </c>
      <c r="X29" s="12">
        <v>63541</v>
      </c>
      <c r="Y29" s="15">
        <f t="shared" si="8"/>
        <v>34886</v>
      </c>
      <c r="Z29" s="13">
        <v>98427</v>
      </c>
      <c r="AA29" s="14">
        <f t="shared" si="9"/>
        <v>0.93839201441523901</v>
      </c>
      <c r="AB29" s="12">
        <v>108087</v>
      </c>
      <c r="AC29" s="12">
        <v>70612</v>
      </c>
      <c r="AD29" s="15">
        <f t="shared" si="10"/>
        <v>30336</v>
      </c>
      <c r="AE29" s="22">
        <v>100948</v>
      </c>
      <c r="AF29" s="14">
        <f t="shared" si="11"/>
        <v>0.93395135400186891</v>
      </c>
      <c r="AG29" s="12">
        <v>111749</v>
      </c>
      <c r="AH29" s="12">
        <v>72363</v>
      </c>
      <c r="AI29" s="15">
        <f t="shared" si="12"/>
        <v>31388</v>
      </c>
      <c r="AJ29" s="13">
        <v>103751</v>
      </c>
      <c r="AK29" s="14">
        <f t="shared" si="13"/>
        <v>0.92842888974397986</v>
      </c>
      <c r="AL29" s="12">
        <v>115174</v>
      </c>
      <c r="AM29" s="12">
        <v>70747</v>
      </c>
      <c r="AN29" s="15">
        <f t="shared" si="14"/>
        <v>35856</v>
      </c>
      <c r="AO29" s="13">
        <v>106603</v>
      </c>
      <c r="AP29" s="14">
        <f t="shared" si="15"/>
        <v>0.92558216264087378</v>
      </c>
      <c r="AQ29" s="12">
        <v>117217</v>
      </c>
      <c r="AR29" s="12">
        <v>66374</v>
      </c>
      <c r="AS29" s="15">
        <f t="shared" si="16"/>
        <v>41903</v>
      </c>
      <c r="AT29" s="13">
        <v>108277</v>
      </c>
      <c r="AU29" s="14">
        <f t="shared" si="17"/>
        <v>0.92373119939940451</v>
      </c>
    </row>
    <row r="30" spans="1:47" x14ac:dyDescent="0.3">
      <c r="A30" s="9">
        <v>21</v>
      </c>
      <c r="B30" s="3" t="s">
        <v>27</v>
      </c>
      <c r="C30" s="12">
        <v>139875</v>
      </c>
      <c r="D30" s="12">
        <v>45509</v>
      </c>
      <c r="E30" s="12">
        <f t="shared" si="0"/>
        <v>89527</v>
      </c>
      <c r="F30" s="13">
        <v>135036</v>
      </c>
      <c r="G30" s="14">
        <f t="shared" si="1"/>
        <v>0.96540482573726538</v>
      </c>
      <c r="H30" s="12">
        <v>154796</v>
      </c>
      <c r="I30" s="12">
        <v>43923</v>
      </c>
      <c r="J30" s="15">
        <f t="shared" si="2"/>
        <v>101820</v>
      </c>
      <c r="K30" s="13">
        <v>145743</v>
      </c>
      <c r="L30" s="14">
        <f t="shared" si="3"/>
        <v>0.94151657665572752</v>
      </c>
      <c r="M30" s="12">
        <v>162133</v>
      </c>
      <c r="N30" s="12">
        <v>64338</v>
      </c>
      <c r="O30" s="15">
        <f t="shared" si="4"/>
        <v>87670</v>
      </c>
      <c r="P30" s="13">
        <v>152008</v>
      </c>
      <c r="Q30" s="14">
        <f t="shared" si="5"/>
        <v>0.93755126963665636</v>
      </c>
      <c r="R30" s="12">
        <v>159167</v>
      </c>
      <c r="S30" s="12">
        <v>75101</v>
      </c>
      <c r="T30" s="15">
        <f t="shared" si="6"/>
        <v>71292</v>
      </c>
      <c r="U30" s="13">
        <v>146393</v>
      </c>
      <c r="V30" s="14">
        <f t="shared" si="7"/>
        <v>0.91974467069178911</v>
      </c>
      <c r="W30" s="12">
        <v>164732</v>
      </c>
      <c r="X30" s="12">
        <v>86492</v>
      </c>
      <c r="Y30" s="15">
        <f t="shared" si="8"/>
        <v>62454</v>
      </c>
      <c r="Z30" s="13">
        <v>148946</v>
      </c>
      <c r="AA30" s="14">
        <f t="shared" si="9"/>
        <v>0.90417162421387465</v>
      </c>
      <c r="AB30" s="12">
        <v>168723</v>
      </c>
      <c r="AC30" s="12">
        <v>97072</v>
      </c>
      <c r="AD30" s="15">
        <f t="shared" si="10"/>
        <v>54506</v>
      </c>
      <c r="AE30" s="22">
        <v>151578</v>
      </c>
      <c r="AF30" s="14">
        <f t="shared" si="11"/>
        <v>0.89838374139862376</v>
      </c>
      <c r="AG30" s="12">
        <v>174193</v>
      </c>
      <c r="AH30" s="12">
        <v>100133</v>
      </c>
      <c r="AI30" s="15">
        <f t="shared" si="12"/>
        <v>55407</v>
      </c>
      <c r="AJ30" s="13">
        <v>155540</v>
      </c>
      <c r="AK30" s="14">
        <f t="shared" si="13"/>
        <v>0.89291762585178514</v>
      </c>
      <c r="AL30" s="12">
        <v>178748</v>
      </c>
      <c r="AM30" s="12">
        <v>101524</v>
      </c>
      <c r="AN30" s="15">
        <f t="shared" si="14"/>
        <v>57517</v>
      </c>
      <c r="AO30" s="13">
        <v>159041</v>
      </c>
      <c r="AP30" s="14">
        <f t="shared" si="15"/>
        <v>0.88974981538254971</v>
      </c>
      <c r="AQ30" s="12">
        <v>183516</v>
      </c>
      <c r="AR30" s="12">
        <v>96060</v>
      </c>
      <c r="AS30" s="15">
        <f t="shared" si="16"/>
        <v>66219</v>
      </c>
      <c r="AT30" s="13">
        <v>162279</v>
      </c>
      <c r="AU30" s="14">
        <f t="shared" si="17"/>
        <v>0.88427712025109528</v>
      </c>
    </row>
    <row r="31" spans="1:47" x14ac:dyDescent="0.3">
      <c r="A31" s="9">
        <v>22</v>
      </c>
      <c r="B31" s="3" t="s">
        <v>46</v>
      </c>
      <c r="C31" s="12">
        <v>83399</v>
      </c>
      <c r="D31" s="12">
        <v>34671</v>
      </c>
      <c r="E31" s="12">
        <f t="shared" si="0"/>
        <v>44573</v>
      </c>
      <c r="F31" s="13">
        <v>79244</v>
      </c>
      <c r="G31" s="14">
        <f t="shared" si="1"/>
        <v>0.95017925874410969</v>
      </c>
      <c r="H31" s="12">
        <v>90219</v>
      </c>
      <c r="I31" s="12">
        <v>26288</v>
      </c>
      <c r="J31" s="15">
        <f t="shared" si="2"/>
        <v>58791</v>
      </c>
      <c r="K31" s="13">
        <v>85079</v>
      </c>
      <c r="L31" s="14">
        <f t="shared" si="3"/>
        <v>0.94302752191888628</v>
      </c>
      <c r="M31" s="12">
        <v>93983</v>
      </c>
      <c r="N31" s="12">
        <v>30665</v>
      </c>
      <c r="O31" s="15">
        <f t="shared" si="4"/>
        <v>57711</v>
      </c>
      <c r="P31" s="13">
        <v>88376</v>
      </c>
      <c r="Q31" s="14">
        <f t="shared" si="5"/>
        <v>0.9403402743049275</v>
      </c>
      <c r="R31" s="12">
        <v>87850</v>
      </c>
      <c r="S31" s="12">
        <v>34199</v>
      </c>
      <c r="T31" s="15">
        <f t="shared" si="6"/>
        <v>47663</v>
      </c>
      <c r="U31" s="13">
        <v>81862</v>
      </c>
      <c r="V31" s="14">
        <f t="shared" si="7"/>
        <v>0.93183836084234495</v>
      </c>
      <c r="W31" s="12">
        <v>90015</v>
      </c>
      <c r="X31" s="12">
        <v>41022</v>
      </c>
      <c r="Y31" s="15">
        <f t="shared" si="8"/>
        <v>41540</v>
      </c>
      <c r="Z31" s="13">
        <v>82562</v>
      </c>
      <c r="AA31" s="14">
        <f t="shared" si="9"/>
        <v>0.91720268844081543</v>
      </c>
      <c r="AB31" s="12">
        <v>90937</v>
      </c>
      <c r="AC31" s="12">
        <v>48492</v>
      </c>
      <c r="AD31" s="15">
        <f t="shared" si="10"/>
        <v>34623</v>
      </c>
      <c r="AE31" s="22">
        <v>83115</v>
      </c>
      <c r="AF31" s="14">
        <f t="shared" si="11"/>
        <v>0.91398440678711634</v>
      </c>
      <c r="AG31" s="12">
        <v>92590</v>
      </c>
      <c r="AH31" s="12">
        <v>49384</v>
      </c>
      <c r="AI31" s="15">
        <f t="shared" si="12"/>
        <v>34713</v>
      </c>
      <c r="AJ31" s="13">
        <v>84097</v>
      </c>
      <c r="AK31" s="14">
        <f t="shared" si="13"/>
        <v>0.90827303164488604</v>
      </c>
      <c r="AL31" s="12">
        <v>93525</v>
      </c>
      <c r="AM31" s="12">
        <v>49195</v>
      </c>
      <c r="AN31" s="15">
        <f t="shared" si="14"/>
        <v>35722</v>
      </c>
      <c r="AO31" s="13">
        <v>84917</v>
      </c>
      <c r="AP31" s="14">
        <f t="shared" si="15"/>
        <v>0.90796043838545848</v>
      </c>
      <c r="AQ31" s="12">
        <v>94349</v>
      </c>
      <c r="AR31" s="12">
        <v>43008</v>
      </c>
      <c r="AS31" s="15">
        <f t="shared" si="16"/>
        <v>42501</v>
      </c>
      <c r="AT31" s="13">
        <v>85509</v>
      </c>
      <c r="AU31" s="14">
        <f t="shared" si="17"/>
        <v>0.90630531325186281</v>
      </c>
    </row>
    <row r="32" spans="1:47" x14ac:dyDescent="0.3">
      <c r="A32" s="9">
        <v>23</v>
      </c>
      <c r="B32" s="3" t="s">
        <v>28</v>
      </c>
      <c r="C32" s="12">
        <v>257308</v>
      </c>
      <c r="D32" s="12">
        <v>106142</v>
      </c>
      <c r="E32" s="12">
        <f t="shared" si="0"/>
        <v>148974</v>
      </c>
      <c r="F32" s="13">
        <v>255116</v>
      </c>
      <c r="G32" s="14">
        <f t="shared" si="1"/>
        <v>0.99148102662956461</v>
      </c>
      <c r="H32" s="12">
        <v>276943</v>
      </c>
      <c r="I32" s="12">
        <v>72970</v>
      </c>
      <c r="J32" s="15">
        <f t="shared" si="2"/>
        <v>197079</v>
      </c>
      <c r="K32" s="13">
        <v>270049</v>
      </c>
      <c r="L32" s="14">
        <f t="shared" si="3"/>
        <v>0.97510679092809716</v>
      </c>
      <c r="M32" s="12">
        <v>290350</v>
      </c>
      <c r="N32" s="12">
        <v>114822</v>
      </c>
      <c r="O32" s="15">
        <f t="shared" si="4"/>
        <v>166102</v>
      </c>
      <c r="P32" s="13">
        <v>280924</v>
      </c>
      <c r="Q32" s="14">
        <f t="shared" si="5"/>
        <v>0.96753573273635263</v>
      </c>
      <c r="R32" s="12">
        <v>274212</v>
      </c>
      <c r="S32" s="12">
        <v>135768</v>
      </c>
      <c r="T32" s="15">
        <f t="shared" si="6"/>
        <v>126731</v>
      </c>
      <c r="U32" s="13">
        <v>262499</v>
      </c>
      <c r="V32" s="14">
        <f t="shared" si="7"/>
        <v>0.95728487447668231</v>
      </c>
      <c r="W32" s="12">
        <v>281366</v>
      </c>
      <c r="X32" s="12">
        <v>163840</v>
      </c>
      <c r="Y32" s="15">
        <f t="shared" si="8"/>
        <v>101595</v>
      </c>
      <c r="Z32" s="13">
        <v>265435</v>
      </c>
      <c r="AA32" s="14">
        <f t="shared" si="9"/>
        <v>0.94337979713256048</v>
      </c>
      <c r="AB32" s="12">
        <v>286853</v>
      </c>
      <c r="AC32" s="12">
        <v>186782</v>
      </c>
      <c r="AD32" s="15">
        <f t="shared" si="10"/>
        <v>82135</v>
      </c>
      <c r="AE32" s="22">
        <v>268917</v>
      </c>
      <c r="AF32" s="14">
        <f t="shared" si="11"/>
        <v>0.93747320055917138</v>
      </c>
      <c r="AG32" s="12">
        <v>294248</v>
      </c>
      <c r="AH32" s="12">
        <v>185757</v>
      </c>
      <c r="AI32" s="15">
        <f t="shared" si="12"/>
        <v>88655</v>
      </c>
      <c r="AJ32" s="13">
        <v>274412</v>
      </c>
      <c r="AK32" s="14">
        <f t="shared" si="13"/>
        <v>0.93258747723009161</v>
      </c>
      <c r="AL32" s="12">
        <v>299740</v>
      </c>
      <c r="AM32" s="12">
        <v>183727</v>
      </c>
      <c r="AN32" s="15">
        <f t="shared" si="14"/>
        <v>95000</v>
      </c>
      <c r="AO32" s="13">
        <v>278727</v>
      </c>
      <c r="AP32" s="14">
        <f t="shared" si="15"/>
        <v>0.92989590978848335</v>
      </c>
      <c r="AQ32" s="12">
        <v>304929</v>
      </c>
      <c r="AR32" s="12">
        <v>168076</v>
      </c>
      <c r="AS32" s="15">
        <f t="shared" si="16"/>
        <v>114424</v>
      </c>
      <c r="AT32" s="13">
        <v>282500</v>
      </c>
      <c r="AU32" s="14">
        <f t="shared" si="17"/>
        <v>0.92644517248277469</v>
      </c>
    </row>
    <row r="33" spans="1:47" x14ac:dyDescent="0.3">
      <c r="A33" s="9">
        <v>24</v>
      </c>
      <c r="B33" s="3" t="s">
        <v>47</v>
      </c>
      <c r="C33" s="12">
        <v>564539</v>
      </c>
      <c r="D33" s="12">
        <v>311664</v>
      </c>
      <c r="E33" s="12">
        <f t="shared" si="0"/>
        <v>244052</v>
      </c>
      <c r="F33" s="13">
        <v>555716</v>
      </c>
      <c r="G33" s="14">
        <f t="shared" si="1"/>
        <v>0.9843713188991372</v>
      </c>
      <c r="H33" s="12">
        <v>641658</v>
      </c>
      <c r="I33" s="12">
        <v>248716</v>
      </c>
      <c r="J33" s="15">
        <f t="shared" si="2"/>
        <v>381818</v>
      </c>
      <c r="K33" s="13">
        <v>630534</v>
      </c>
      <c r="L33" s="14">
        <f t="shared" si="3"/>
        <v>0.98266366195075883</v>
      </c>
      <c r="M33" s="12">
        <v>682019</v>
      </c>
      <c r="N33" s="12">
        <v>348917</v>
      </c>
      <c r="O33" s="15">
        <f t="shared" si="4"/>
        <v>322826</v>
      </c>
      <c r="P33" s="13">
        <v>671743</v>
      </c>
      <c r="Q33" s="14">
        <f t="shared" si="5"/>
        <v>0.98493297107558586</v>
      </c>
      <c r="R33" s="12">
        <v>673475</v>
      </c>
      <c r="S33" s="12">
        <v>390745</v>
      </c>
      <c r="T33" s="15">
        <f t="shared" si="6"/>
        <v>271309</v>
      </c>
      <c r="U33" s="13">
        <v>662054</v>
      </c>
      <c r="V33" s="14">
        <f t="shared" si="7"/>
        <v>0.98304168677382231</v>
      </c>
      <c r="W33" s="12">
        <v>688205</v>
      </c>
      <c r="X33" s="12">
        <v>467824</v>
      </c>
      <c r="Y33" s="15">
        <f t="shared" si="8"/>
        <v>206627</v>
      </c>
      <c r="Z33" s="13">
        <v>674451</v>
      </c>
      <c r="AA33" s="14">
        <f t="shared" si="9"/>
        <v>0.98001467585966395</v>
      </c>
      <c r="AB33" s="12">
        <v>698869</v>
      </c>
      <c r="AC33" s="12">
        <v>524420</v>
      </c>
      <c r="AD33" s="15">
        <f t="shared" si="10"/>
        <v>160029</v>
      </c>
      <c r="AE33" s="22">
        <v>684449</v>
      </c>
      <c r="AF33" s="14">
        <f t="shared" si="11"/>
        <v>0.97936666242171277</v>
      </c>
      <c r="AG33" s="12">
        <v>712579</v>
      </c>
      <c r="AH33" s="12">
        <v>520899</v>
      </c>
      <c r="AI33" s="15">
        <f t="shared" si="12"/>
        <v>175974</v>
      </c>
      <c r="AJ33" s="13">
        <v>696873</v>
      </c>
      <c r="AK33" s="14">
        <f t="shared" si="13"/>
        <v>0.97795893507947895</v>
      </c>
      <c r="AL33" s="12">
        <v>723682</v>
      </c>
      <c r="AM33" s="12">
        <v>531204</v>
      </c>
      <c r="AN33" s="15">
        <f t="shared" si="14"/>
        <v>176024</v>
      </c>
      <c r="AO33" s="13">
        <v>707228</v>
      </c>
      <c r="AP33" s="14">
        <f t="shared" si="15"/>
        <v>0.97726349418667313</v>
      </c>
      <c r="AQ33" s="12">
        <v>733311</v>
      </c>
      <c r="AR33" s="12">
        <v>516484</v>
      </c>
      <c r="AS33" s="15">
        <f t="shared" si="16"/>
        <v>199526</v>
      </c>
      <c r="AT33" s="13">
        <v>716010</v>
      </c>
      <c r="AU33" s="14">
        <f t="shared" si="17"/>
        <v>0.97640700875890307</v>
      </c>
    </row>
    <row r="34" spans="1:47" x14ac:dyDescent="0.3">
      <c r="A34" s="9">
        <v>25</v>
      </c>
      <c r="B34" s="3" t="s">
        <v>29</v>
      </c>
      <c r="C34" s="12">
        <v>4349</v>
      </c>
      <c r="D34" s="12">
        <v>2952</v>
      </c>
      <c r="E34" s="12">
        <f t="shared" si="0"/>
        <v>1375</v>
      </c>
      <c r="F34" s="13">
        <v>4327</v>
      </c>
      <c r="G34" s="14">
        <f t="shared" si="1"/>
        <v>0.99494136583122561</v>
      </c>
      <c r="H34" s="12">
        <v>4781</v>
      </c>
      <c r="I34" s="12">
        <v>2112</v>
      </c>
      <c r="J34" s="15">
        <f t="shared" si="2"/>
        <v>2597</v>
      </c>
      <c r="K34" s="13">
        <v>4709</v>
      </c>
      <c r="L34" s="14">
        <f t="shared" si="3"/>
        <v>0.98494038903994985</v>
      </c>
      <c r="M34" s="12">
        <v>5056</v>
      </c>
      <c r="N34" s="12">
        <v>2739</v>
      </c>
      <c r="O34" s="15">
        <f t="shared" si="4"/>
        <v>2212</v>
      </c>
      <c r="P34" s="13">
        <v>4951</v>
      </c>
      <c r="Q34" s="14">
        <f t="shared" si="5"/>
        <v>0.97923259493670889</v>
      </c>
      <c r="R34" s="12">
        <v>5091</v>
      </c>
      <c r="S34" s="12">
        <v>2853</v>
      </c>
      <c r="T34" s="15">
        <f t="shared" si="6"/>
        <v>2098</v>
      </c>
      <c r="U34" s="13">
        <v>4951</v>
      </c>
      <c r="V34" s="14">
        <f t="shared" si="7"/>
        <v>0.97250049106265957</v>
      </c>
      <c r="W34" s="12">
        <v>5195</v>
      </c>
      <c r="X34" s="12">
        <v>3065</v>
      </c>
      <c r="Y34" s="15">
        <f t="shared" si="8"/>
        <v>1951</v>
      </c>
      <c r="Z34" s="13">
        <v>5016</v>
      </c>
      <c r="AA34" s="14">
        <f t="shared" si="9"/>
        <v>0.96554379210779595</v>
      </c>
      <c r="AB34" s="12">
        <v>5254</v>
      </c>
      <c r="AC34" s="12">
        <v>3438</v>
      </c>
      <c r="AD34" s="15">
        <f t="shared" si="10"/>
        <v>1611</v>
      </c>
      <c r="AE34" s="22">
        <v>5049</v>
      </c>
      <c r="AF34" s="14">
        <f t="shared" si="11"/>
        <v>0.96098210886943281</v>
      </c>
      <c r="AG34" s="12">
        <v>5330</v>
      </c>
      <c r="AH34" s="12">
        <v>3334</v>
      </c>
      <c r="AI34" s="15">
        <f t="shared" si="12"/>
        <v>1759</v>
      </c>
      <c r="AJ34" s="13">
        <v>5093</v>
      </c>
      <c r="AK34" s="14">
        <f t="shared" si="13"/>
        <v>0.95553470919324579</v>
      </c>
      <c r="AL34" s="12">
        <v>5406</v>
      </c>
      <c r="AM34" s="12">
        <v>3462</v>
      </c>
      <c r="AN34" s="15">
        <f t="shared" si="14"/>
        <v>1702</v>
      </c>
      <c r="AO34" s="13">
        <v>5164</v>
      </c>
      <c r="AP34" s="14">
        <f t="shared" si="15"/>
        <v>0.95523492415834255</v>
      </c>
      <c r="AQ34" s="12">
        <v>5460</v>
      </c>
      <c r="AR34" s="12">
        <v>3309</v>
      </c>
      <c r="AS34" s="15">
        <f t="shared" si="16"/>
        <v>1895</v>
      </c>
      <c r="AT34" s="13">
        <v>5204</v>
      </c>
      <c r="AU34" s="14">
        <f t="shared" si="17"/>
        <v>0.95311355311355306</v>
      </c>
    </row>
    <row r="35" spans="1:47" x14ac:dyDescent="0.3">
      <c r="A35" s="9">
        <v>26</v>
      </c>
      <c r="B35" s="3" t="s">
        <v>30</v>
      </c>
      <c r="C35" s="12">
        <v>5291</v>
      </c>
      <c r="D35" s="12">
        <v>3187</v>
      </c>
      <c r="E35" s="12">
        <f t="shared" si="0"/>
        <v>1996</v>
      </c>
      <c r="F35" s="13">
        <v>5183</v>
      </c>
      <c r="G35" s="14">
        <f t="shared" si="1"/>
        <v>0.97958797958797961</v>
      </c>
      <c r="H35" s="12">
        <v>6053</v>
      </c>
      <c r="I35" s="12">
        <v>2491</v>
      </c>
      <c r="J35" s="15">
        <f t="shared" si="2"/>
        <v>3354</v>
      </c>
      <c r="K35" s="13">
        <v>5845</v>
      </c>
      <c r="L35" s="14">
        <f t="shared" si="3"/>
        <v>0.96563687427721789</v>
      </c>
      <c r="M35" s="12">
        <v>6403</v>
      </c>
      <c r="N35" s="12">
        <v>3363</v>
      </c>
      <c r="O35" s="15">
        <f t="shared" si="4"/>
        <v>2827</v>
      </c>
      <c r="P35" s="13">
        <v>6190</v>
      </c>
      <c r="Q35" s="14">
        <f t="shared" si="5"/>
        <v>0.96673434327658914</v>
      </c>
      <c r="R35" s="12">
        <v>6534</v>
      </c>
      <c r="S35" s="12">
        <v>3614</v>
      </c>
      <c r="T35" s="15">
        <f t="shared" si="6"/>
        <v>2644</v>
      </c>
      <c r="U35" s="13">
        <v>6258</v>
      </c>
      <c r="V35" s="14">
        <f t="shared" si="7"/>
        <v>0.95775941230486683</v>
      </c>
      <c r="W35" s="12">
        <v>6703</v>
      </c>
      <c r="X35" s="12">
        <v>4003</v>
      </c>
      <c r="Y35" s="15">
        <f t="shared" si="8"/>
        <v>2353</v>
      </c>
      <c r="Z35" s="13">
        <v>6356</v>
      </c>
      <c r="AA35" s="14">
        <f t="shared" si="9"/>
        <v>0.94823213486498581</v>
      </c>
      <c r="AB35" s="12">
        <v>6809</v>
      </c>
      <c r="AC35" s="12">
        <v>4527</v>
      </c>
      <c r="AD35" s="15">
        <f t="shared" si="10"/>
        <v>1919</v>
      </c>
      <c r="AE35" s="22">
        <v>6446</v>
      </c>
      <c r="AF35" s="14">
        <f t="shared" si="11"/>
        <v>0.94668820678513732</v>
      </c>
      <c r="AG35" s="12">
        <v>6964</v>
      </c>
      <c r="AH35" s="12">
        <v>4365</v>
      </c>
      <c r="AI35" s="15">
        <f t="shared" si="12"/>
        <v>2203</v>
      </c>
      <c r="AJ35" s="13">
        <v>6568</v>
      </c>
      <c r="AK35" s="14">
        <f t="shared" si="13"/>
        <v>0.94313612866168872</v>
      </c>
      <c r="AL35" s="12">
        <v>7075</v>
      </c>
      <c r="AM35" s="12">
        <v>4517</v>
      </c>
      <c r="AN35" s="15">
        <f t="shared" si="14"/>
        <v>2137</v>
      </c>
      <c r="AO35" s="13">
        <v>6654</v>
      </c>
      <c r="AP35" s="14">
        <f t="shared" si="15"/>
        <v>0.94049469964664312</v>
      </c>
      <c r="AQ35" s="12">
        <v>7150</v>
      </c>
      <c r="AR35" s="12">
        <v>4294</v>
      </c>
      <c r="AS35" s="15">
        <f t="shared" si="16"/>
        <v>2418</v>
      </c>
      <c r="AT35" s="13">
        <v>6712</v>
      </c>
      <c r="AU35" s="14">
        <f t="shared" si="17"/>
        <v>0.93874125874125869</v>
      </c>
    </row>
    <row r="36" spans="1:47" x14ac:dyDescent="0.3">
      <c r="A36" s="9">
        <v>27</v>
      </c>
      <c r="B36" s="3" t="s">
        <v>48</v>
      </c>
      <c r="C36" s="12">
        <v>914892</v>
      </c>
      <c r="D36" s="12">
        <v>582682</v>
      </c>
      <c r="E36" s="12">
        <f t="shared" si="0"/>
        <v>319692</v>
      </c>
      <c r="F36" s="13">
        <v>902374</v>
      </c>
      <c r="G36" s="14">
        <f t="shared" si="1"/>
        <v>0.9863175107007166</v>
      </c>
      <c r="H36" s="12">
        <v>1006222</v>
      </c>
      <c r="I36" s="12">
        <v>420286</v>
      </c>
      <c r="J36" s="15">
        <f t="shared" si="2"/>
        <v>566774</v>
      </c>
      <c r="K36" s="13">
        <v>987060</v>
      </c>
      <c r="L36" s="14">
        <f t="shared" si="3"/>
        <v>0.9809564887271397</v>
      </c>
      <c r="M36" s="12">
        <v>1060520</v>
      </c>
      <c r="N36" s="12">
        <v>557237</v>
      </c>
      <c r="O36" s="15">
        <f t="shared" si="4"/>
        <v>484936</v>
      </c>
      <c r="P36" s="13">
        <v>1042173</v>
      </c>
      <c r="Q36" s="14">
        <f t="shared" si="5"/>
        <v>0.98269999622826543</v>
      </c>
      <c r="R36" s="12">
        <v>1054857</v>
      </c>
      <c r="S36" s="12">
        <v>585598</v>
      </c>
      <c r="T36" s="15">
        <f t="shared" si="6"/>
        <v>445771</v>
      </c>
      <c r="U36" s="13">
        <v>1031369</v>
      </c>
      <c r="V36" s="14">
        <f t="shared" si="7"/>
        <v>0.97773347477430594</v>
      </c>
      <c r="W36" s="12">
        <v>1076657</v>
      </c>
      <c r="X36" s="12">
        <v>666974</v>
      </c>
      <c r="Y36" s="15">
        <f t="shared" si="8"/>
        <v>379776</v>
      </c>
      <c r="Z36" s="13">
        <v>1046750</v>
      </c>
      <c r="AA36" s="14">
        <f t="shared" si="9"/>
        <v>0.97222235122234846</v>
      </c>
      <c r="AB36" s="12">
        <v>1094504</v>
      </c>
      <c r="AC36" s="12">
        <v>742207</v>
      </c>
      <c r="AD36" s="15">
        <f t="shared" si="10"/>
        <v>319160</v>
      </c>
      <c r="AE36" s="22">
        <v>1061367</v>
      </c>
      <c r="AF36" s="14">
        <f t="shared" si="11"/>
        <v>0.969724185567161</v>
      </c>
      <c r="AG36" s="12">
        <v>1114066</v>
      </c>
      <c r="AH36" s="12">
        <v>724962</v>
      </c>
      <c r="AI36" s="15">
        <f t="shared" si="12"/>
        <v>353174</v>
      </c>
      <c r="AJ36" s="13">
        <v>1078136</v>
      </c>
      <c r="AK36" s="14">
        <f t="shared" si="13"/>
        <v>0.9677487689239237</v>
      </c>
      <c r="AL36" s="12">
        <v>1133258</v>
      </c>
      <c r="AM36" s="12">
        <v>741702</v>
      </c>
      <c r="AN36" s="15">
        <f t="shared" si="14"/>
        <v>353302</v>
      </c>
      <c r="AO36" s="13">
        <v>1095004</v>
      </c>
      <c r="AP36" s="14">
        <f t="shared" si="15"/>
        <v>0.96624422682213584</v>
      </c>
      <c r="AQ36" s="12">
        <v>1148243</v>
      </c>
      <c r="AR36" s="12">
        <v>730896</v>
      </c>
      <c r="AS36" s="15">
        <f t="shared" si="16"/>
        <v>377893</v>
      </c>
      <c r="AT36" s="13">
        <v>1108789</v>
      </c>
      <c r="AU36" s="14">
        <f t="shared" si="17"/>
        <v>0.96563967731569011</v>
      </c>
    </row>
    <row r="37" spans="1:47" x14ac:dyDescent="0.3">
      <c r="A37" s="9">
        <v>29</v>
      </c>
      <c r="B37" s="3" t="s">
        <v>31</v>
      </c>
      <c r="C37" s="12">
        <v>503407</v>
      </c>
      <c r="D37" s="12">
        <v>264970</v>
      </c>
      <c r="E37" s="12">
        <f t="shared" si="0"/>
        <v>234917</v>
      </c>
      <c r="F37" s="13">
        <v>499887</v>
      </c>
      <c r="G37" s="14">
        <f t="shared" si="1"/>
        <v>0.99300764590083168</v>
      </c>
      <c r="H37" s="12">
        <v>530355</v>
      </c>
      <c r="I37" s="12">
        <v>209672</v>
      </c>
      <c r="J37" s="15">
        <f t="shared" si="2"/>
        <v>309555</v>
      </c>
      <c r="K37" s="13">
        <v>519227</v>
      </c>
      <c r="L37" s="14">
        <f t="shared" si="3"/>
        <v>0.97901782768145862</v>
      </c>
      <c r="M37" s="12">
        <v>553919</v>
      </c>
      <c r="N37" s="12">
        <v>285816</v>
      </c>
      <c r="O37" s="15">
        <f t="shared" si="4"/>
        <v>252343</v>
      </c>
      <c r="P37" s="13">
        <v>538159</v>
      </c>
      <c r="Q37" s="14">
        <f t="shared" si="5"/>
        <v>0.9715481866482284</v>
      </c>
      <c r="R37" s="12">
        <v>537199</v>
      </c>
      <c r="S37" s="12">
        <v>317680</v>
      </c>
      <c r="T37" s="15">
        <f t="shared" si="6"/>
        <v>196454</v>
      </c>
      <c r="U37" s="13">
        <v>514134</v>
      </c>
      <c r="V37" s="14">
        <f t="shared" si="7"/>
        <v>0.95706432811676867</v>
      </c>
      <c r="W37" s="12">
        <v>549345</v>
      </c>
      <c r="X37" s="12">
        <v>347652</v>
      </c>
      <c r="Y37" s="15">
        <f t="shared" si="8"/>
        <v>170963</v>
      </c>
      <c r="Z37" s="13">
        <v>518615</v>
      </c>
      <c r="AA37" s="14">
        <f t="shared" si="9"/>
        <v>0.9440606540516433</v>
      </c>
      <c r="AB37" s="12">
        <v>556414</v>
      </c>
      <c r="AC37" s="12">
        <v>380553</v>
      </c>
      <c r="AD37" s="15">
        <f t="shared" si="10"/>
        <v>142530</v>
      </c>
      <c r="AE37" s="22">
        <v>523083</v>
      </c>
      <c r="AF37" s="14">
        <f t="shared" si="11"/>
        <v>0.94009676248261187</v>
      </c>
      <c r="AG37" s="12">
        <v>568190</v>
      </c>
      <c r="AH37" s="12">
        <v>380462</v>
      </c>
      <c r="AI37" s="15">
        <f t="shared" si="12"/>
        <v>151243</v>
      </c>
      <c r="AJ37" s="13">
        <v>531705</v>
      </c>
      <c r="AK37" s="14">
        <f t="shared" si="13"/>
        <v>0.9357873246625249</v>
      </c>
      <c r="AL37" s="12">
        <v>579378</v>
      </c>
      <c r="AM37" s="12">
        <v>380599</v>
      </c>
      <c r="AN37" s="15">
        <f t="shared" si="14"/>
        <v>159384</v>
      </c>
      <c r="AO37" s="13">
        <v>539983</v>
      </c>
      <c r="AP37" s="14">
        <f t="shared" si="15"/>
        <v>0.93200466707400009</v>
      </c>
      <c r="AQ37" s="12">
        <v>590015</v>
      </c>
      <c r="AR37" s="12">
        <v>372103</v>
      </c>
      <c r="AS37" s="15">
        <f t="shared" si="16"/>
        <v>175713</v>
      </c>
      <c r="AT37" s="13">
        <v>547816</v>
      </c>
      <c r="AU37" s="14">
        <f t="shared" si="17"/>
        <v>0.92847808954009647</v>
      </c>
    </row>
    <row r="38" spans="1:47" x14ac:dyDescent="0.3">
      <c r="A38" s="9">
        <v>30</v>
      </c>
      <c r="B38" s="3" t="s">
        <v>32</v>
      </c>
      <c r="C38" s="12">
        <v>22196</v>
      </c>
      <c r="D38" s="12">
        <v>10043</v>
      </c>
      <c r="E38" s="12">
        <f t="shared" si="0"/>
        <v>11690</v>
      </c>
      <c r="F38" s="13">
        <v>21733</v>
      </c>
      <c r="G38" s="14">
        <f t="shared" si="1"/>
        <v>0.979140385655073</v>
      </c>
      <c r="H38" s="12">
        <v>23786</v>
      </c>
      <c r="I38" s="12">
        <v>8001</v>
      </c>
      <c r="J38" s="15">
        <f t="shared" si="2"/>
        <v>15170</v>
      </c>
      <c r="K38" s="13">
        <v>23171</v>
      </c>
      <c r="L38" s="14">
        <f t="shared" si="3"/>
        <v>0.97414445472126465</v>
      </c>
      <c r="M38" s="12">
        <v>25339</v>
      </c>
      <c r="N38" s="12">
        <v>11312</v>
      </c>
      <c r="O38" s="15">
        <f t="shared" si="4"/>
        <v>13116</v>
      </c>
      <c r="P38" s="13">
        <v>24428</v>
      </c>
      <c r="Q38" s="14">
        <f t="shared" si="5"/>
        <v>0.96404751568728053</v>
      </c>
      <c r="R38" s="12">
        <v>25168</v>
      </c>
      <c r="S38" s="12">
        <v>12599</v>
      </c>
      <c r="T38" s="15">
        <f t="shared" si="6"/>
        <v>11388</v>
      </c>
      <c r="U38" s="13">
        <v>23987</v>
      </c>
      <c r="V38" s="14">
        <f t="shared" si="7"/>
        <v>0.95307533375715192</v>
      </c>
      <c r="W38" s="12">
        <v>25951</v>
      </c>
      <c r="X38" s="12">
        <v>13476</v>
      </c>
      <c r="Y38" s="15">
        <f t="shared" si="8"/>
        <v>11010</v>
      </c>
      <c r="Z38" s="13">
        <v>24486</v>
      </c>
      <c r="AA38" s="14">
        <f t="shared" si="9"/>
        <v>0.94354745481869673</v>
      </c>
      <c r="AB38" s="12">
        <v>26231</v>
      </c>
      <c r="AC38" s="12">
        <v>15466</v>
      </c>
      <c r="AD38" s="15">
        <f t="shared" si="10"/>
        <v>9226</v>
      </c>
      <c r="AE38" s="22">
        <v>24692</v>
      </c>
      <c r="AF38" s="14">
        <f t="shared" si="11"/>
        <v>0.94132896191529103</v>
      </c>
      <c r="AG38" s="12">
        <v>26753</v>
      </c>
      <c r="AH38" s="12">
        <v>15607</v>
      </c>
      <c r="AI38" s="15">
        <f t="shared" si="12"/>
        <v>9480</v>
      </c>
      <c r="AJ38" s="13">
        <v>25087</v>
      </c>
      <c r="AK38" s="14">
        <f t="shared" si="13"/>
        <v>0.93772661009980185</v>
      </c>
      <c r="AL38" s="12">
        <v>27195</v>
      </c>
      <c r="AM38" s="12">
        <v>15535</v>
      </c>
      <c r="AN38" s="15">
        <f t="shared" si="14"/>
        <v>9891</v>
      </c>
      <c r="AO38" s="13">
        <v>25426</v>
      </c>
      <c r="AP38" s="14">
        <f t="shared" si="15"/>
        <v>0.93495127780842069</v>
      </c>
      <c r="AQ38" s="12">
        <v>27578</v>
      </c>
      <c r="AR38" s="12">
        <v>15496</v>
      </c>
      <c r="AS38" s="15">
        <f t="shared" si="16"/>
        <v>10225</v>
      </c>
      <c r="AT38" s="13">
        <v>25721</v>
      </c>
      <c r="AU38" s="14">
        <f t="shared" si="17"/>
        <v>0.93266371745594312</v>
      </c>
    </row>
    <row r="39" spans="1:47" x14ac:dyDescent="0.3">
      <c r="A39" s="9">
        <v>31</v>
      </c>
      <c r="B39" s="3" t="s">
        <v>33</v>
      </c>
      <c r="C39" s="12">
        <v>90</v>
      </c>
      <c r="D39" s="12">
        <v>25</v>
      </c>
      <c r="E39" s="12">
        <f t="shared" si="0"/>
        <v>49</v>
      </c>
      <c r="F39" s="13">
        <v>74</v>
      </c>
      <c r="G39" s="14">
        <f t="shared" si="1"/>
        <v>0.82222222222222219</v>
      </c>
      <c r="H39" s="12">
        <v>220</v>
      </c>
      <c r="I39" s="12">
        <v>56</v>
      </c>
      <c r="J39" s="15">
        <f t="shared" si="2"/>
        <v>115</v>
      </c>
      <c r="K39" s="13">
        <v>171</v>
      </c>
      <c r="L39" s="14">
        <f t="shared" si="3"/>
        <v>0.77727272727272723</v>
      </c>
      <c r="M39" s="12">
        <v>258</v>
      </c>
      <c r="N39" s="12">
        <v>64</v>
      </c>
      <c r="O39" s="15">
        <f t="shared" si="4"/>
        <v>121</v>
      </c>
      <c r="P39" s="13">
        <v>185</v>
      </c>
      <c r="Q39" s="14">
        <f t="shared" si="5"/>
        <v>0.71705426356589153</v>
      </c>
      <c r="R39" s="12">
        <v>250</v>
      </c>
      <c r="S39" s="12">
        <v>69</v>
      </c>
      <c r="T39" s="15">
        <f t="shared" si="6"/>
        <v>107</v>
      </c>
      <c r="U39" s="13">
        <v>176</v>
      </c>
      <c r="V39" s="14">
        <f t="shared" si="7"/>
        <v>0.70399999999999996</v>
      </c>
      <c r="W39" s="12">
        <v>254</v>
      </c>
      <c r="X39" s="12">
        <v>61</v>
      </c>
      <c r="Y39" s="15">
        <f t="shared" si="8"/>
        <v>113</v>
      </c>
      <c r="Z39" s="13">
        <v>174</v>
      </c>
      <c r="AA39" s="14">
        <f t="shared" si="9"/>
        <v>0.68503937007874016</v>
      </c>
      <c r="AB39" s="12">
        <v>253</v>
      </c>
      <c r="AC39" s="12">
        <v>67</v>
      </c>
      <c r="AD39" s="15">
        <f t="shared" si="10"/>
        <v>100</v>
      </c>
      <c r="AE39" s="22">
        <v>167</v>
      </c>
      <c r="AF39" s="14">
        <f t="shared" si="11"/>
        <v>0.66007905138339917</v>
      </c>
      <c r="AG39" s="12">
        <v>257</v>
      </c>
      <c r="AH39" s="12">
        <v>73</v>
      </c>
      <c r="AI39" s="15">
        <f t="shared" si="12"/>
        <v>96</v>
      </c>
      <c r="AJ39" s="13">
        <v>169</v>
      </c>
      <c r="AK39" s="14">
        <f t="shared" si="13"/>
        <v>0.65758754863813229</v>
      </c>
      <c r="AL39" s="12">
        <v>260</v>
      </c>
      <c r="AM39" s="12">
        <v>64</v>
      </c>
      <c r="AN39" s="15">
        <f t="shared" si="14"/>
        <v>101</v>
      </c>
      <c r="AO39" s="13">
        <v>165</v>
      </c>
      <c r="AP39" s="14">
        <f t="shared" si="15"/>
        <v>0.63461538461538458</v>
      </c>
      <c r="AQ39" s="12">
        <v>265</v>
      </c>
      <c r="AR39" s="12">
        <v>63</v>
      </c>
      <c r="AS39" s="15">
        <f t="shared" si="16"/>
        <v>109</v>
      </c>
      <c r="AT39" s="13">
        <v>172</v>
      </c>
      <c r="AU39" s="14">
        <f t="shared" si="17"/>
        <v>0.64905660377358487</v>
      </c>
    </row>
    <row r="40" spans="1:47" x14ac:dyDescent="0.3">
      <c r="A40" s="9">
        <v>32</v>
      </c>
      <c r="B40" s="3" t="s">
        <v>34</v>
      </c>
      <c r="C40" s="12">
        <v>215930</v>
      </c>
      <c r="D40" s="12">
        <v>113438</v>
      </c>
      <c r="E40" s="12">
        <f t="shared" si="0"/>
        <v>101729</v>
      </c>
      <c r="F40" s="13">
        <v>215167</v>
      </c>
      <c r="G40" s="14">
        <f t="shared" si="1"/>
        <v>0.99646644745982493</v>
      </c>
      <c r="H40" s="12">
        <v>227531</v>
      </c>
      <c r="I40" s="12">
        <v>52149</v>
      </c>
      <c r="J40" s="15">
        <f t="shared" si="2"/>
        <v>173195</v>
      </c>
      <c r="K40" s="13">
        <v>225344</v>
      </c>
      <c r="L40" s="14">
        <f t="shared" si="3"/>
        <v>0.99038812293709433</v>
      </c>
      <c r="M40" s="12">
        <v>233233</v>
      </c>
      <c r="N40" s="12">
        <v>117016</v>
      </c>
      <c r="O40" s="15">
        <f t="shared" si="4"/>
        <v>114219</v>
      </c>
      <c r="P40" s="13">
        <v>231235</v>
      </c>
      <c r="Q40" s="14">
        <f t="shared" si="5"/>
        <v>0.99143345924461801</v>
      </c>
      <c r="R40" s="12">
        <v>227665</v>
      </c>
      <c r="S40" s="12">
        <v>131417</v>
      </c>
      <c r="T40" s="15">
        <f t="shared" si="6"/>
        <v>92192</v>
      </c>
      <c r="U40" s="13">
        <v>223609</v>
      </c>
      <c r="V40" s="14">
        <f t="shared" si="7"/>
        <v>0.98218434981222413</v>
      </c>
      <c r="W40" s="12">
        <v>232586</v>
      </c>
      <c r="X40" s="12">
        <v>139038</v>
      </c>
      <c r="Y40" s="15">
        <f t="shared" si="8"/>
        <v>87871</v>
      </c>
      <c r="Z40" s="13">
        <v>226909</v>
      </c>
      <c r="AA40" s="14">
        <f t="shared" si="9"/>
        <v>0.97559182409947287</v>
      </c>
      <c r="AB40" s="12">
        <v>234754</v>
      </c>
      <c r="AC40" s="12">
        <v>150254</v>
      </c>
      <c r="AD40" s="15">
        <f t="shared" si="10"/>
        <v>78437</v>
      </c>
      <c r="AE40" s="22">
        <v>228691</v>
      </c>
      <c r="AF40" s="14">
        <f t="shared" si="11"/>
        <v>0.97417296403895137</v>
      </c>
      <c r="AG40" s="12">
        <v>238699</v>
      </c>
      <c r="AH40" s="12">
        <v>142300</v>
      </c>
      <c r="AI40" s="15">
        <f t="shared" si="12"/>
        <v>89762</v>
      </c>
      <c r="AJ40" s="13">
        <v>232062</v>
      </c>
      <c r="AK40" s="14">
        <f t="shared" si="13"/>
        <v>0.97219510764603123</v>
      </c>
      <c r="AL40" s="12">
        <v>242006</v>
      </c>
      <c r="AM40" s="12">
        <v>140239</v>
      </c>
      <c r="AN40" s="15">
        <f t="shared" si="14"/>
        <v>94833</v>
      </c>
      <c r="AO40" s="13">
        <v>235072</v>
      </c>
      <c r="AP40" s="14">
        <f t="shared" si="15"/>
        <v>0.97134781782269863</v>
      </c>
      <c r="AQ40" s="12">
        <v>245761</v>
      </c>
      <c r="AR40" s="12">
        <v>130090</v>
      </c>
      <c r="AS40" s="15">
        <f t="shared" si="16"/>
        <v>108297</v>
      </c>
      <c r="AT40" s="13">
        <v>238387</v>
      </c>
      <c r="AU40" s="14">
        <f t="shared" si="17"/>
        <v>0.9699952392771839</v>
      </c>
    </row>
    <row r="41" spans="1:47" x14ac:dyDescent="0.3">
      <c r="A41" s="9">
        <v>33</v>
      </c>
      <c r="B41" s="3" t="s">
        <v>35</v>
      </c>
      <c r="C41" s="12">
        <v>624866</v>
      </c>
      <c r="D41" s="12">
        <v>312517</v>
      </c>
      <c r="E41" s="12">
        <f t="shared" si="0"/>
        <v>291304</v>
      </c>
      <c r="F41" s="13">
        <v>603821</v>
      </c>
      <c r="G41" s="14">
        <f t="shared" si="1"/>
        <v>0.9663207791750551</v>
      </c>
      <c r="H41" s="12">
        <v>673862</v>
      </c>
      <c r="I41" s="12">
        <v>202444</v>
      </c>
      <c r="J41" s="15">
        <f t="shared" si="2"/>
        <v>440811</v>
      </c>
      <c r="K41" s="13">
        <v>643255</v>
      </c>
      <c r="L41" s="14">
        <f t="shared" si="3"/>
        <v>0.95457972107048628</v>
      </c>
      <c r="M41" s="12">
        <v>700632</v>
      </c>
      <c r="N41" s="12">
        <v>324032</v>
      </c>
      <c r="O41" s="15">
        <f t="shared" si="4"/>
        <v>341604</v>
      </c>
      <c r="P41" s="13">
        <v>665636</v>
      </c>
      <c r="Q41" s="14">
        <f t="shared" si="5"/>
        <v>0.95005081126754132</v>
      </c>
      <c r="R41" s="12">
        <v>688720</v>
      </c>
      <c r="S41" s="12">
        <v>395873</v>
      </c>
      <c r="T41" s="15">
        <f t="shared" si="6"/>
        <v>252621</v>
      </c>
      <c r="U41" s="13">
        <v>648494</v>
      </c>
      <c r="V41" s="14">
        <f t="shared" si="7"/>
        <v>0.94159310024393073</v>
      </c>
      <c r="W41" s="12">
        <v>702649</v>
      </c>
      <c r="X41" s="12">
        <v>428565</v>
      </c>
      <c r="Y41" s="15">
        <f t="shared" si="8"/>
        <v>224617</v>
      </c>
      <c r="Z41" s="13">
        <v>653182</v>
      </c>
      <c r="AA41" s="14">
        <f t="shared" si="9"/>
        <v>0.92959927360602523</v>
      </c>
      <c r="AB41" s="12">
        <v>712131</v>
      </c>
      <c r="AC41" s="12">
        <v>453712</v>
      </c>
      <c r="AD41" s="15">
        <f t="shared" si="10"/>
        <v>204667</v>
      </c>
      <c r="AE41" s="22">
        <v>658379</v>
      </c>
      <c r="AF41" s="14">
        <f t="shared" si="11"/>
        <v>0.92451950554041318</v>
      </c>
      <c r="AG41" s="12">
        <v>722496</v>
      </c>
      <c r="AH41" s="12">
        <v>458744</v>
      </c>
      <c r="AI41" s="15">
        <f t="shared" si="12"/>
        <v>206312</v>
      </c>
      <c r="AJ41" s="13">
        <v>665056</v>
      </c>
      <c r="AK41" s="14">
        <f t="shared" si="13"/>
        <v>0.92049782974577021</v>
      </c>
      <c r="AL41" s="12">
        <v>737038</v>
      </c>
      <c r="AM41" s="12">
        <v>461515</v>
      </c>
      <c r="AN41" s="15">
        <f t="shared" si="14"/>
        <v>213616</v>
      </c>
      <c r="AO41" s="13">
        <v>675131</v>
      </c>
      <c r="AP41" s="14">
        <f t="shared" si="15"/>
        <v>0.91600568763075985</v>
      </c>
      <c r="AQ41" s="12">
        <v>750910</v>
      </c>
      <c r="AR41" s="12">
        <v>453857</v>
      </c>
      <c r="AS41" s="15">
        <f t="shared" si="16"/>
        <v>230895</v>
      </c>
      <c r="AT41" s="13">
        <v>684752</v>
      </c>
      <c r="AU41" s="14">
        <f t="shared" si="17"/>
        <v>0.91189623257114705</v>
      </c>
    </row>
    <row r="42" spans="1:47" x14ac:dyDescent="0.3">
      <c r="A42" s="9">
        <v>34</v>
      </c>
      <c r="B42" s="3" t="s">
        <v>36</v>
      </c>
      <c r="C42" s="12">
        <v>14080</v>
      </c>
      <c r="D42" s="12">
        <v>7676</v>
      </c>
      <c r="E42" s="12">
        <f t="shared" si="0"/>
        <v>6293</v>
      </c>
      <c r="F42" s="13">
        <v>13969</v>
      </c>
      <c r="G42" s="14">
        <f t="shared" si="1"/>
        <v>0.99211647727272723</v>
      </c>
      <c r="H42" s="12">
        <v>15013</v>
      </c>
      <c r="I42" s="12">
        <v>5280</v>
      </c>
      <c r="J42" s="15">
        <f t="shared" si="2"/>
        <v>9599</v>
      </c>
      <c r="K42" s="13">
        <v>14879</v>
      </c>
      <c r="L42" s="14">
        <f t="shared" si="3"/>
        <v>0.99107440218477316</v>
      </c>
      <c r="M42" s="12">
        <v>15568</v>
      </c>
      <c r="N42" s="12">
        <v>8023</v>
      </c>
      <c r="O42" s="15">
        <f t="shared" si="4"/>
        <v>7402</v>
      </c>
      <c r="P42" s="13">
        <v>15425</v>
      </c>
      <c r="Q42" s="14">
        <f t="shared" si="5"/>
        <v>0.99081449126413157</v>
      </c>
      <c r="R42" s="12">
        <v>15548</v>
      </c>
      <c r="S42" s="12">
        <v>9073</v>
      </c>
      <c r="T42" s="15">
        <f t="shared" si="6"/>
        <v>6092</v>
      </c>
      <c r="U42" s="13">
        <v>15165</v>
      </c>
      <c r="V42" s="14">
        <f t="shared" si="7"/>
        <v>0.97536660663750963</v>
      </c>
      <c r="W42" s="12">
        <v>15726</v>
      </c>
      <c r="X42" s="12">
        <v>9554</v>
      </c>
      <c r="Y42" s="15">
        <f t="shared" si="8"/>
        <v>5748</v>
      </c>
      <c r="Z42" s="13">
        <v>15302</v>
      </c>
      <c r="AA42" s="14">
        <f t="shared" si="9"/>
        <v>0.9730382805544957</v>
      </c>
      <c r="AB42" s="12">
        <v>15975</v>
      </c>
      <c r="AC42" s="12">
        <v>9994</v>
      </c>
      <c r="AD42" s="15">
        <f t="shared" si="10"/>
        <v>5477</v>
      </c>
      <c r="AE42" s="22">
        <v>15471</v>
      </c>
      <c r="AF42" s="14">
        <f t="shared" si="11"/>
        <v>0.96845070422535207</v>
      </c>
      <c r="AG42" s="12">
        <v>16258</v>
      </c>
      <c r="AH42" s="12">
        <v>10082</v>
      </c>
      <c r="AI42" s="15">
        <f t="shared" si="12"/>
        <v>5606</v>
      </c>
      <c r="AJ42" s="13">
        <v>15688</v>
      </c>
      <c r="AK42" s="14">
        <f t="shared" si="13"/>
        <v>0.96494033706482962</v>
      </c>
      <c r="AL42" s="12">
        <v>16534</v>
      </c>
      <c r="AM42" s="12">
        <v>10324</v>
      </c>
      <c r="AN42" s="15">
        <f t="shared" si="14"/>
        <v>5629</v>
      </c>
      <c r="AO42" s="13">
        <v>15953</v>
      </c>
      <c r="AP42" s="14">
        <f t="shared" si="15"/>
        <v>0.96486028789161726</v>
      </c>
      <c r="AQ42" s="12">
        <v>16887</v>
      </c>
      <c r="AR42" s="12">
        <v>10322</v>
      </c>
      <c r="AS42" s="15">
        <f t="shared" si="16"/>
        <v>5921</v>
      </c>
      <c r="AT42" s="13">
        <v>16243</v>
      </c>
      <c r="AU42" s="14">
        <f t="shared" si="17"/>
        <v>0.96186415585953688</v>
      </c>
    </row>
    <row r="43" spans="1:47" x14ac:dyDescent="0.3">
      <c r="A43" s="9">
        <v>35</v>
      </c>
      <c r="B43" s="3" t="s">
        <v>49</v>
      </c>
      <c r="C43" s="12">
        <v>2489</v>
      </c>
      <c r="D43" s="12">
        <v>703</v>
      </c>
      <c r="E43" s="12">
        <f t="shared" si="0"/>
        <v>1472</v>
      </c>
      <c r="F43" s="13">
        <v>2175</v>
      </c>
      <c r="G43" s="14">
        <f t="shared" si="1"/>
        <v>0.87384491763760541</v>
      </c>
      <c r="H43" s="12">
        <v>3574</v>
      </c>
      <c r="I43" s="12">
        <v>347</v>
      </c>
      <c r="J43" s="15">
        <f t="shared" si="2"/>
        <v>2624</v>
      </c>
      <c r="K43" s="13">
        <v>2971</v>
      </c>
      <c r="L43" s="14">
        <f t="shared" si="3"/>
        <v>0.83128147733631785</v>
      </c>
      <c r="M43" s="12">
        <v>3908</v>
      </c>
      <c r="N43" s="12">
        <v>416</v>
      </c>
      <c r="O43" s="15">
        <f t="shared" si="4"/>
        <v>2820</v>
      </c>
      <c r="P43" s="13">
        <v>3236</v>
      </c>
      <c r="Q43" s="14">
        <f t="shared" si="5"/>
        <v>0.82804503582395084</v>
      </c>
      <c r="R43" s="12">
        <v>3837</v>
      </c>
      <c r="S43" s="12">
        <v>606</v>
      </c>
      <c r="T43" s="15">
        <f t="shared" si="6"/>
        <v>2565</v>
      </c>
      <c r="U43" s="13">
        <v>3171</v>
      </c>
      <c r="V43" s="14">
        <f t="shared" si="7"/>
        <v>0.82642689601250974</v>
      </c>
      <c r="W43" s="12">
        <v>3971</v>
      </c>
      <c r="X43" s="12">
        <v>676</v>
      </c>
      <c r="Y43" s="15">
        <f t="shared" si="8"/>
        <v>2553</v>
      </c>
      <c r="Z43" s="13">
        <v>3229</v>
      </c>
      <c r="AA43" s="14">
        <f t="shared" si="9"/>
        <v>0.81314530345001257</v>
      </c>
      <c r="AB43" s="12">
        <v>4016</v>
      </c>
      <c r="AC43" s="12">
        <v>882</v>
      </c>
      <c r="AD43" s="15">
        <f t="shared" si="10"/>
        <v>2361</v>
      </c>
      <c r="AE43" s="22">
        <v>3243</v>
      </c>
      <c r="AF43" s="14">
        <f t="shared" si="11"/>
        <v>0.8075199203187251</v>
      </c>
      <c r="AG43" s="12">
        <v>4109</v>
      </c>
      <c r="AH43" s="12">
        <v>919</v>
      </c>
      <c r="AI43" s="15">
        <f t="shared" si="12"/>
        <v>2381</v>
      </c>
      <c r="AJ43" s="13">
        <v>3300</v>
      </c>
      <c r="AK43" s="14">
        <f t="shared" si="13"/>
        <v>0.80311511316622053</v>
      </c>
      <c r="AL43" s="12">
        <v>4182</v>
      </c>
      <c r="AM43" s="12">
        <v>911</v>
      </c>
      <c r="AN43" s="15">
        <f t="shared" si="14"/>
        <v>2428</v>
      </c>
      <c r="AO43" s="13">
        <v>3339</v>
      </c>
      <c r="AP43" s="14">
        <f t="shared" si="15"/>
        <v>0.79842180774748928</v>
      </c>
      <c r="AQ43" s="12">
        <v>4246</v>
      </c>
      <c r="AR43" s="12">
        <v>953</v>
      </c>
      <c r="AS43" s="15">
        <f t="shared" si="16"/>
        <v>2420</v>
      </c>
      <c r="AT43" s="13">
        <v>3373</v>
      </c>
      <c r="AU43" s="14">
        <f t="shared" si="17"/>
        <v>0.79439472444653791</v>
      </c>
    </row>
    <row r="44" spans="1:47" x14ac:dyDescent="0.3">
      <c r="A44" s="9">
        <v>36</v>
      </c>
      <c r="B44" s="3" t="s">
        <v>37</v>
      </c>
      <c r="C44" s="12">
        <v>201614</v>
      </c>
      <c r="D44" s="12">
        <v>82109</v>
      </c>
      <c r="E44" s="12">
        <f t="shared" si="0"/>
        <v>111988</v>
      </c>
      <c r="F44" s="13">
        <v>194097</v>
      </c>
      <c r="G44" s="14">
        <f t="shared" si="1"/>
        <v>0.96271588282559739</v>
      </c>
      <c r="H44" s="12">
        <v>223860</v>
      </c>
      <c r="I44" s="12">
        <v>63297</v>
      </c>
      <c r="J44" s="15">
        <f t="shared" si="2"/>
        <v>148224</v>
      </c>
      <c r="K44" s="13">
        <v>211521</v>
      </c>
      <c r="L44" s="14">
        <f t="shared" si="3"/>
        <v>0.94488072902707054</v>
      </c>
      <c r="M44" s="12">
        <v>234895</v>
      </c>
      <c r="N44" s="12">
        <v>90635</v>
      </c>
      <c r="O44" s="15">
        <f t="shared" si="4"/>
        <v>131886</v>
      </c>
      <c r="P44" s="13">
        <v>222521</v>
      </c>
      <c r="Q44" s="14">
        <f t="shared" si="5"/>
        <v>0.94732114348964436</v>
      </c>
      <c r="R44" s="12">
        <v>230496</v>
      </c>
      <c r="S44" s="12">
        <v>111055</v>
      </c>
      <c r="T44" s="15">
        <f t="shared" si="6"/>
        <v>105125</v>
      </c>
      <c r="U44" s="13">
        <v>216180</v>
      </c>
      <c r="V44" s="14">
        <f t="shared" si="7"/>
        <v>0.93789046230737194</v>
      </c>
      <c r="W44" s="12">
        <v>237791</v>
      </c>
      <c r="X44" s="12">
        <v>123033</v>
      </c>
      <c r="Y44" s="15">
        <f t="shared" si="8"/>
        <v>96010</v>
      </c>
      <c r="Z44" s="13">
        <v>219043</v>
      </c>
      <c r="AA44" s="14">
        <f t="shared" si="9"/>
        <v>0.92115765525188087</v>
      </c>
      <c r="AB44" s="12">
        <v>241225</v>
      </c>
      <c r="AC44" s="12">
        <v>137227</v>
      </c>
      <c r="AD44" s="15">
        <f t="shared" si="10"/>
        <v>83976</v>
      </c>
      <c r="AE44" s="22">
        <v>221203</v>
      </c>
      <c r="AF44" s="14">
        <f t="shared" si="11"/>
        <v>0.91699865271012537</v>
      </c>
      <c r="AG44" s="12">
        <v>247652</v>
      </c>
      <c r="AH44" s="12">
        <v>137576</v>
      </c>
      <c r="AI44" s="15">
        <f t="shared" si="12"/>
        <v>88227</v>
      </c>
      <c r="AJ44" s="13">
        <v>225803</v>
      </c>
      <c r="AK44" s="14">
        <f t="shared" si="13"/>
        <v>0.91177539450519274</v>
      </c>
      <c r="AL44" s="12">
        <v>253873</v>
      </c>
      <c r="AM44" s="12">
        <v>142081</v>
      </c>
      <c r="AN44" s="15">
        <f t="shared" si="14"/>
        <v>88360</v>
      </c>
      <c r="AO44" s="13">
        <v>230441</v>
      </c>
      <c r="AP44" s="14">
        <f t="shared" si="15"/>
        <v>0.90770188243728167</v>
      </c>
      <c r="AQ44" s="12">
        <v>259182</v>
      </c>
      <c r="AR44" s="12">
        <v>140387</v>
      </c>
      <c r="AS44" s="15">
        <f t="shared" si="16"/>
        <v>94053</v>
      </c>
      <c r="AT44" s="13">
        <v>234440</v>
      </c>
      <c r="AU44" s="14">
        <f t="shared" si="17"/>
        <v>0.90453812378946064</v>
      </c>
    </row>
    <row r="45" spans="1:47" x14ac:dyDescent="0.3">
      <c r="A45" s="9">
        <v>37</v>
      </c>
      <c r="B45" s="3" t="s">
        <v>38</v>
      </c>
      <c r="C45" s="12">
        <v>198028</v>
      </c>
      <c r="D45" s="12">
        <v>105432</v>
      </c>
      <c r="E45" s="12">
        <f t="shared" si="0"/>
        <v>84087</v>
      </c>
      <c r="F45" s="13">
        <v>189519</v>
      </c>
      <c r="G45" s="14">
        <f t="shared" si="1"/>
        <v>0.95703132890298337</v>
      </c>
      <c r="H45" s="12">
        <v>209596</v>
      </c>
      <c r="I45" s="12">
        <v>72423</v>
      </c>
      <c r="J45" s="15">
        <f t="shared" si="2"/>
        <v>128975</v>
      </c>
      <c r="K45" s="13">
        <v>201398</v>
      </c>
      <c r="L45" s="14">
        <f t="shared" si="3"/>
        <v>0.96088665814233098</v>
      </c>
      <c r="M45" s="12">
        <v>216950</v>
      </c>
      <c r="N45" s="12">
        <v>109070</v>
      </c>
      <c r="O45" s="15">
        <f t="shared" si="4"/>
        <v>100011</v>
      </c>
      <c r="P45" s="13">
        <v>209081</v>
      </c>
      <c r="Q45" s="14">
        <f t="shared" si="5"/>
        <v>0.9637289698087117</v>
      </c>
      <c r="R45" s="12">
        <v>208658</v>
      </c>
      <c r="S45" s="12">
        <v>118928</v>
      </c>
      <c r="T45" s="15">
        <f t="shared" si="6"/>
        <v>79306</v>
      </c>
      <c r="U45" s="13">
        <v>198234</v>
      </c>
      <c r="V45" s="14">
        <f t="shared" si="7"/>
        <v>0.95004265352874084</v>
      </c>
      <c r="W45" s="12">
        <v>214751</v>
      </c>
      <c r="X45" s="12">
        <v>129425</v>
      </c>
      <c r="Y45" s="15">
        <f t="shared" si="8"/>
        <v>70885</v>
      </c>
      <c r="Z45" s="13">
        <v>200310</v>
      </c>
      <c r="AA45" s="14">
        <f t="shared" si="9"/>
        <v>0.93275467867437167</v>
      </c>
      <c r="AB45" s="12">
        <v>215764</v>
      </c>
      <c r="AC45" s="12">
        <v>140154</v>
      </c>
      <c r="AD45" s="15">
        <f t="shared" si="10"/>
        <v>61336</v>
      </c>
      <c r="AE45" s="22">
        <v>201490</v>
      </c>
      <c r="AF45" s="14">
        <f t="shared" si="11"/>
        <v>0.93384438553234084</v>
      </c>
      <c r="AG45" s="12">
        <v>219257</v>
      </c>
      <c r="AH45" s="12">
        <v>141222</v>
      </c>
      <c r="AI45" s="15">
        <f t="shared" si="12"/>
        <v>62906</v>
      </c>
      <c r="AJ45" s="13">
        <v>204128</v>
      </c>
      <c r="AK45" s="14">
        <f t="shared" si="13"/>
        <v>0.93099878225096577</v>
      </c>
      <c r="AL45" s="12">
        <v>223004</v>
      </c>
      <c r="AM45" s="12">
        <v>138121</v>
      </c>
      <c r="AN45" s="15">
        <f t="shared" si="14"/>
        <v>68859</v>
      </c>
      <c r="AO45" s="13">
        <v>206980</v>
      </c>
      <c r="AP45" s="14">
        <f t="shared" si="15"/>
        <v>0.92814478664059841</v>
      </c>
      <c r="AQ45" s="12">
        <v>226630</v>
      </c>
      <c r="AR45" s="12">
        <v>128969</v>
      </c>
      <c r="AS45" s="15">
        <f t="shared" si="16"/>
        <v>81551</v>
      </c>
      <c r="AT45" s="13">
        <v>210520</v>
      </c>
      <c r="AU45" s="14">
        <f t="shared" si="17"/>
        <v>0.92891497153951375</v>
      </c>
    </row>
    <row r="46" spans="1:47" x14ac:dyDescent="0.3">
      <c r="A46" s="9">
        <v>38</v>
      </c>
      <c r="B46" s="3" t="s">
        <v>42</v>
      </c>
      <c r="C46" s="16" t="s">
        <v>44</v>
      </c>
      <c r="D46" s="16" t="s">
        <v>44</v>
      </c>
      <c r="E46" s="12" t="s">
        <v>44</v>
      </c>
      <c r="F46" s="13">
        <v>0</v>
      </c>
      <c r="G46" s="16" t="s">
        <v>44</v>
      </c>
      <c r="H46" s="16" t="s">
        <v>44</v>
      </c>
      <c r="I46" s="16" t="s">
        <v>44</v>
      </c>
      <c r="J46" s="16" t="s">
        <v>44</v>
      </c>
      <c r="K46" s="13">
        <v>0</v>
      </c>
      <c r="L46" s="16" t="s">
        <v>44</v>
      </c>
      <c r="M46" s="16" t="s">
        <v>44</v>
      </c>
      <c r="N46" s="16" t="s">
        <v>44</v>
      </c>
      <c r="O46" s="16" t="s">
        <v>44</v>
      </c>
      <c r="P46" s="13">
        <v>0</v>
      </c>
      <c r="Q46" s="16" t="s">
        <v>44</v>
      </c>
      <c r="R46" s="16" t="s">
        <v>44</v>
      </c>
      <c r="S46" s="16" t="s">
        <v>44</v>
      </c>
      <c r="T46" s="16" t="s">
        <v>44</v>
      </c>
      <c r="U46" s="13">
        <v>0</v>
      </c>
      <c r="V46" s="16" t="s">
        <v>44</v>
      </c>
      <c r="W46" s="16" t="s">
        <v>44</v>
      </c>
      <c r="X46" s="16" t="s">
        <v>44</v>
      </c>
      <c r="Y46" s="16" t="s">
        <v>44</v>
      </c>
      <c r="Z46" s="13">
        <v>0</v>
      </c>
      <c r="AA46" s="16" t="s">
        <v>44</v>
      </c>
      <c r="AB46" s="16" t="s">
        <v>44</v>
      </c>
      <c r="AC46" s="16" t="s">
        <v>44</v>
      </c>
      <c r="AD46" s="16" t="s">
        <v>44</v>
      </c>
      <c r="AE46" s="22">
        <v>0</v>
      </c>
      <c r="AF46" s="16" t="s">
        <v>44</v>
      </c>
      <c r="AG46" s="16" t="s">
        <v>44</v>
      </c>
      <c r="AH46" s="16" t="s">
        <v>44</v>
      </c>
      <c r="AI46" s="16" t="s">
        <v>44</v>
      </c>
      <c r="AJ46" s="13">
        <v>0</v>
      </c>
      <c r="AK46" s="16" t="s">
        <v>44</v>
      </c>
      <c r="AL46" s="16" t="s">
        <v>44</v>
      </c>
      <c r="AM46" s="16" t="s">
        <v>44</v>
      </c>
      <c r="AN46" s="16" t="s">
        <v>44</v>
      </c>
      <c r="AO46" s="13">
        <v>0</v>
      </c>
      <c r="AP46" s="16" t="s">
        <v>44</v>
      </c>
      <c r="AQ46" s="16" t="s">
        <v>44</v>
      </c>
      <c r="AR46" s="16" t="s">
        <v>44</v>
      </c>
      <c r="AS46" s="16" t="s">
        <v>44</v>
      </c>
      <c r="AT46" s="13">
        <v>0</v>
      </c>
      <c r="AU46" s="16" t="s">
        <v>44</v>
      </c>
    </row>
    <row r="47" spans="1:47" x14ac:dyDescent="0.3">
      <c r="A47" s="9">
        <v>97</v>
      </c>
      <c r="B47" s="3" t="s">
        <v>39</v>
      </c>
      <c r="C47" s="16" t="s">
        <v>44</v>
      </c>
      <c r="D47" s="16" t="s">
        <v>44</v>
      </c>
      <c r="E47" s="12" t="s">
        <v>44</v>
      </c>
      <c r="F47" s="13">
        <v>0</v>
      </c>
      <c r="G47" s="16" t="s">
        <v>44</v>
      </c>
      <c r="H47" s="16">
        <v>21</v>
      </c>
      <c r="I47" s="16">
        <v>0</v>
      </c>
      <c r="J47" s="15">
        <f t="shared" si="2"/>
        <v>20</v>
      </c>
      <c r="K47" s="13">
        <v>20</v>
      </c>
      <c r="L47" s="14">
        <f t="shared" si="3"/>
        <v>0.95238095238095233</v>
      </c>
      <c r="M47" s="16">
        <v>25</v>
      </c>
      <c r="N47" s="16">
        <v>0</v>
      </c>
      <c r="O47" s="15">
        <f t="shared" si="4"/>
        <v>24</v>
      </c>
      <c r="P47" s="13">
        <v>24</v>
      </c>
      <c r="Q47" s="14">
        <f t="shared" si="5"/>
        <v>0.96</v>
      </c>
      <c r="R47" s="16">
        <v>31</v>
      </c>
      <c r="S47" s="16">
        <v>10</v>
      </c>
      <c r="T47" s="15">
        <f t="shared" si="6"/>
        <v>18</v>
      </c>
      <c r="U47" s="13">
        <v>28</v>
      </c>
      <c r="V47" s="14">
        <f t="shared" si="7"/>
        <v>0.90322580645161288</v>
      </c>
      <c r="W47" s="16">
        <v>35</v>
      </c>
      <c r="X47" s="16">
        <v>13</v>
      </c>
      <c r="Y47" s="15">
        <f t="shared" si="8"/>
        <v>20</v>
      </c>
      <c r="Z47" s="13">
        <v>33</v>
      </c>
      <c r="AA47" s="14">
        <f t="shared" si="9"/>
        <v>0.94285714285714284</v>
      </c>
      <c r="AB47" s="16">
        <v>36</v>
      </c>
      <c r="AC47" s="16">
        <v>22</v>
      </c>
      <c r="AD47" s="15">
        <f t="shared" si="10"/>
        <v>13</v>
      </c>
      <c r="AE47" s="22">
        <v>35</v>
      </c>
      <c r="AF47" s="14">
        <f t="shared" si="11"/>
        <v>0.97222222222222221</v>
      </c>
      <c r="AG47" s="16">
        <v>43</v>
      </c>
      <c r="AH47" s="16">
        <v>27</v>
      </c>
      <c r="AI47" s="15">
        <f t="shared" si="12"/>
        <v>13</v>
      </c>
      <c r="AJ47" s="13">
        <v>40</v>
      </c>
      <c r="AK47" s="14">
        <f t="shared" si="13"/>
        <v>0.93023255813953487</v>
      </c>
      <c r="AL47" s="16">
        <v>49</v>
      </c>
      <c r="AM47" s="16">
        <v>29</v>
      </c>
      <c r="AN47" s="15">
        <f t="shared" si="14"/>
        <v>14</v>
      </c>
      <c r="AO47" s="13">
        <v>43</v>
      </c>
      <c r="AP47" s="14">
        <f t="shared" si="15"/>
        <v>0.87755102040816324</v>
      </c>
      <c r="AQ47" s="16">
        <v>49</v>
      </c>
      <c r="AR47" s="16">
        <v>26</v>
      </c>
      <c r="AS47" s="15">
        <f t="shared" si="16"/>
        <v>17</v>
      </c>
      <c r="AT47" s="13">
        <v>43</v>
      </c>
      <c r="AU47" s="14">
        <f t="shared" si="17"/>
        <v>0.87755102040816324</v>
      </c>
    </row>
    <row r="48" spans="1:47" x14ac:dyDescent="0.3">
      <c r="A48" s="20" t="s">
        <v>40</v>
      </c>
      <c r="B48" s="21"/>
      <c r="C48" s="17">
        <f>SUM(C10:C47)</f>
        <v>6783589</v>
      </c>
      <c r="D48" s="17">
        <f>SUM(D10:D47)</f>
        <v>3766263</v>
      </c>
      <c r="E48" s="18">
        <f t="shared" si="0"/>
        <v>2850835</v>
      </c>
      <c r="F48" s="10">
        <f>SUM(F10:F47)</f>
        <v>6617098</v>
      </c>
      <c r="G48" s="19">
        <f t="shared" ref="G48" si="18">F48/C48</f>
        <v>0.97545679727943424</v>
      </c>
      <c r="H48" s="17">
        <f>SUM(H10:H47)</f>
        <v>7477242</v>
      </c>
      <c r="I48" s="17">
        <f>SUM(I10:I47)</f>
        <v>2793759</v>
      </c>
      <c r="J48" s="18">
        <f t="shared" si="2"/>
        <v>4422342</v>
      </c>
      <c r="K48" s="10">
        <f>SUM(K10:K47)</f>
        <v>7216101</v>
      </c>
      <c r="L48" s="19">
        <f t="shared" si="3"/>
        <v>0.96507522426049608</v>
      </c>
      <c r="M48" s="17">
        <f>SUM(M10:M47)</f>
        <v>7837037</v>
      </c>
      <c r="N48" s="17">
        <f>SUM(N10:N47)</f>
        <v>3867783</v>
      </c>
      <c r="O48" s="18">
        <f t="shared" si="4"/>
        <v>3706450</v>
      </c>
      <c r="P48" s="10">
        <f>SUM(P10:P47)</f>
        <v>7574233</v>
      </c>
      <c r="Q48" s="19">
        <f t="shared" si="5"/>
        <v>0.96646640815910401</v>
      </c>
      <c r="R48" s="17">
        <f>SUM(R10:R47)</f>
        <v>7647671</v>
      </c>
      <c r="S48" s="17">
        <f>SUM(S10:S47)</f>
        <v>4327724</v>
      </c>
      <c r="T48" s="18">
        <f t="shared" si="6"/>
        <v>2999236</v>
      </c>
      <c r="U48" s="10">
        <f>SUM(U10:U47)</f>
        <v>7326960</v>
      </c>
      <c r="V48" s="19">
        <f t="shared" si="7"/>
        <v>0.95806422635074129</v>
      </c>
      <c r="W48" s="17">
        <f>SUM(W10:W47)</f>
        <v>7842330</v>
      </c>
      <c r="X48" s="17">
        <f>SUM(X10:X47)</f>
        <v>4884436</v>
      </c>
      <c r="Y48" s="18">
        <f t="shared" si="8"/>
        <v>2552786</v>
      </c>
      <c r="Z48" s="10">
        <f>SUM(Z10:Z47)</f>
        <v>7437222</v>
      </c>
      <c r="AA48" s="19">
        <f t="shared" si="9"/>
        <v>0.94834341324580829</v>
      </c>
      <c r="AB48" s="17">
        <f>SUM(AB10:AB47)</f>
        <v>7970876</v>
      </c>
      <c r="AC48" s="17">
        <f>SUM(AC10:AC47)</f>
        <v>5405749</v>
      </c>
      <c r="AD48" s="18">
        <f t="shared" si="10"/>
        <v>2124179</v>
      </c>
      <c r="AE48" s="10">
        <f>SUM(AE10:AE47)</f>
        <v>7529928</v>
      </c>
      <c r="AF48" s="19">
        <f t="shared" si="11"/>
        <v>0.94468010793292978</v>
      </c>
      <c r="AG48" s="17">
        <f>SUM(AG10:AG47)</f>
        <v>8143302</v>
      </c>
      <c r="AH48" s="17">
        <f>SUM(AH10:AH47)</f>
        <v>5380574</v>
      </c>
      <c r="AI48" s="18">
        <f t="shared" si="12"/>
        <v>2280273</v>
      </c>
      <c r="AJ48" s="10">
        <f>SUM(AJ10:AJ47)</f>
        <v>7660847</v>
      </c>
      <c r="AK48" s="19">
        <f t="shared" si="13"/>
        <v>0.94075437703280562</v>
      </c>
      <c r="AL48" s="17">
        <f>SUM(AL10:AL47)</f>
        <v>8311696</v>
      </c>
      <c r="AM48" s="17">
        <f>SUM(AM10:AM47)</f>
        <v>5435800</v>
      </c>
      <c r="AN48" s="18">
        <f t="shared" si="14"/>
        <v>2359999</v>
      </c>
      <c r="AO48" s="10">
        <f>SUM(AO10:AO47)</f>
        <v>7795799</v>
      </c>
      <c r="AP48" s="19">
        <f t="shared" si="15"/>
        <v>0.93793119960114035</v>
      </c>
      <c r="AQ48" s="17">
        <f>SUM(AQ10:AQ47)</f>
        <v>8455633</v>
      </c>
      <c r="AR48" s="17">
        <f>SUM(AR10:AR47)</f>
        <v>5259909</v>
      </c>
      <c r="AS48" s="18">
        <f t="shared" si="16"/>
        <v>2655180</v>
      </c>
      <c r="AT48" s="10">
        <f>SUM(AT10:AT47)</f>
        <v>7915089</v>
      </c>
      <c r="AU48" s="19">
        <f t="shared" si="17"/>
        <v>0.93607291139527937</v>
      </c>
    </row>
    <row r="55" spans="1:49" x14ac:dyDescent="0.3">
      <c r="A55" s="26" t="s">
        <v>41</v>
      </c>
      <c r="B55" s="26"/>
      <c r="C55" s="26"/>
      <c r="D55" s="26"/>
      <c r="E55" s="26"/>
      <c r="F55" s="4"/>
    </row>
    <row r="56" spans="1:49" x14ac:dyDescent="0.3">
      <c r="AV56">
        <v>24985627</v>
      </c>
      <c r="AW56">
        <v>66107624</v>
      </c>
    </row>
  </sheetData>
  <mergeCells count="15">
    <mergeCell ref="H8:L8"/>
    <mergeCell ref="A1:E1"/>
    <mergeCell ref="AQ8:AU8"/>
    <mergeCell ref="A55:E55"/>
    <mergeCell ref="M8:Q8"/>
    <mergeCell ref="R8:V8"/>
    <mergeCell ref="W8:AA8"/>
    <mergeCell ref="AB8:AF8"/>
    <mergeCell ref="AG8:AK8"/>
    <mergeCell ref="AL8:AP8"/>
    <mergeCell ref="A3:B3"/>
    <mergeCell ref="A5:C5"/>
    <mergeCell ref="A8:A9"/>
    <mergeCell ref="B8:B9"/>
    <mergeCell ref="C8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Krishan Pal Singh</cp:lastModifiedBy>
  <dcterms:created xsi:type="dcterms:W3CDTF">2020-04-06T02:58:44Z</dcterms:created>
  <dcterms:modified xsi:type="dcterms:W3CDTF">2026-09-09T11:44:26Z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2022-09-01T03:59:01Z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f366f4d4-e267-4289-a700-447449dd25a2</vt:lpwstr>
  </property>
  <property fmtid="{D5CDD505-2E9C-101B-9397-08002B2CF9AE}" pid="8" name="MSIP_Label_a0819fa7-4367-4500-ba88-dd630d977609_ContentBits">
    <vt:lpwstr>0</vt:lpwstr>
  </property>
</Properties>
</file>