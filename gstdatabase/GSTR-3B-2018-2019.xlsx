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C77D962C-57BE-4627-8226-13CBF92D3E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 3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2" l="1"/>
  <c r="J10" i="2" l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7" i="2"/>
  <c r="BD48" i="2" l="1"/>
  <c r="AY48" i="2"/>
  <c r="AT48" i="2"/>
  <c r="AO48" i="2"/>
  <c r="AJ48" i="2"/>
  <c r="AE48" i="2"/>
  <c r="Z48" i="2"/>
  <c r="U48" i="2"/>
  <c r="P48" i="2"/>
  <c r="K48" i="2"/>
  <c r="F48" i="2"/>
  <c r="D48" i="2" l="1"/>
  <c r="C48" i="2"/>
  <c r="I48" i="2"/>
  <c r="H48" i="2"/>
  <c r="N48" i="2"/>
  <c r="M48" i="2"/>
  <c r="S48" i="2"/>
  <c r="R48" i="2"/>
  <c r="X48" i="2"/>
  <c r="W48" i="2"/>
  <c r="AC48" i="2"/>
  <c r="AB48" i="2"/>
  <c r="AH48" i="2"/>
  <c r="AG48" i="2"/>
  <c r="AM48" i="2"/>
  <c r="AL48" i="2"/>
  <c r="AR48" i="2"/>
  <c r="AQ48" i="2"/>
  <c r="AW48" i="2"/>
  <c r="AV48" i="2"/>
  <c r="BB48" i="2"/>
  <c r="BA48" i="2"/>
  <c r="BG48" i="2"/>
  <c r="BF48" i="2"/>
  <c r="BJ48" i="2" l="1"/>
  <c r="AK48" i="2"/>
  <c r="O48" i="2"/>
  <c r="L48" i="2"/>
  <c r="AX48" i="2"/>
  <c r="AD48" i="2"/>
  <c r="J48" i="2"/>
  <c r="AN48" i="2"/>
  <c r="AZ48" i="2"/>
  <c r="AU48" i="2"/>
  <c r="AA48" i="2"/>
  <c r="G48" i="2"/>
  <c r="T48" i="2"/>
  <c r="BC48" i="2"/>
  <c r="Y48" i="2"/>
  <c r="E48" i="2"/>
  <c r="Q48" i="2"/>
  <c r="V48" i="2"/>
  <c r="AF48" i="2"/>
  <c r="BE48" i="2"/>
  <c r="AI48" i="2"/>
  <c r="AP48" i="2"/>
  <c r="AS48" i="2"/>
  <c r="BH48" i="2"/>
  <c r="BJ11" i="2" l="1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7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7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7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7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7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7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7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7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7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7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7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7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7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7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7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7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7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7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7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7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7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7" i="2"/>
  <c r="E10" i="2"/>
  <c r="O10" i="2"/>
  <c r="T10" i="2"/>
  <c r="Y10" i="2"/>
  <c r="AD10" i="2"/>
  <c r="AI10" i="2"/>
  <c r="AN10" i="2"/>
  <c r="AS10" i="2"/>
  <c r="AX10" i="2"/>
  <c r="BC10" i="2"/>
  <c r="G10" i="2"/>
  <c r="L10" i="2"/>
  <c r="Q10" i="2"/>
  <c r="V10" i="2"/>
  <c r="AA10" i="2"/>
  <c r="AF10" i="2"/>
  <c r="AK10" i="2"/>
  <c r="AP10" i="2"/>
  <c r="AU10" i="2"/>
  <c r="AZ10" i="2"/>
  <c r="BE10" i="2"/>
  <c r="BH10" i="2"/>
  <c r="BJ10" i="2"/>
</calcChain>
</file>

<file path=xl/sharedStrings.xml><?xml version="1.0" encoding="utf-8"?>
<sst xmlns="http://schemas.openxmlformats.org/spreadsheetml/2006/main" count="153" uniqueCount="51">
  <si>
    <t>FINANCIAL YEAR 2018-2019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</si>
  <si>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</si>
  <si>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</si>
  <si>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</si>
  <si>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</si>
  <si>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</si>
  <si>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</si>
  <si>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</si>
  <si>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</si>
  <si>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</si>
  <si>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</si>
  <si>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</si>
  <si>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</si>
  <si>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</si>
  <si>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</si>
  <si>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</si>
  <si>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</si>
  <si>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</si>
  <si>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</si>
  <si>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</si>
  <si>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</si>
  <si>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</si>
  <si>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</si>
  <si>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</si>
  <si>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</si>
  <si>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</si>
  <si>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</si>
  <si>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</si>
  <si>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</si>
  <si>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</si>
  <si>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</si>
  <si>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</si>
  <si>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</si>
  <si>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</si>
  <si>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</si>
  <si>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</si>
  <si>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</si>
  <si>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</si>
  <si>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</si>
  <si>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</si>
  <si>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Grand Total</t>
  </si>
  <si>
    <t>*  State Code 97 represents  territories other than States/UTs</t>
  </si>
  <si>
    <t>Ladakh</t>
  </si>
  <si>
    <t>-</t>
  </si>
  <si>
    <t>STATE WISE RETURN PERIOD WISE GSTR-3B FILING SUMMARY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</si>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</sst>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  <numFmt numFmtId="167" formatCode="[&gt;=10000000]##\,##\,##\,##0;[&gt;=100000]\ ##\,##\,##0;#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166" fontId="1" fillId="0" borderId="1" xfId="5" applyNumberFormat="1" applyFill="1" applyBorder="1" applyAlignment="1">
      <alignment vertical="center" wrapText="1"/>
    </xf>
    <xf numFmtId="166" fontId="0" fillId="0" borderId="1" xfId="5" applyNumberFormat="1" applyFont="1" applyFill="1" applyBorder="1"/>
    <xf numFmtId="166" fontId="0" fillId="0" borderId="1" xfId="5" applyNumberFormat="1" applyFont="1" applyFill="1" applyBorder="1" applyAlignment="1">
      <alignment vertical="center" wrapText="1"/>
    </xf>
    <xf numFmtId="167" fontId="0" fillId="0" borderId="1" xfId="0" applyNumberFormat="1" applyBorder="1" applyAlignment="1">
      <alignment horizontal="right" vertical="top"/>
    </xf>
    <xf numFmtId="166" fontId="0" fillId="0" borderId="1" xfId="5" applyNumberFormat="1" applyFont="1" applyFill="1" applyBorder="1" applyAlignment="1">
      <alignment horizontal="right" vertical="center" wrapText="1"/>
    </xf>
    <xf numFmtId="10" fontId="4" fillId="3" borderId="1" xfId="1" applyNumberFormat="1" applyFont="1" applyFill="1" applyBorder="1"/>
    <xf numFmtId="165" fontId="4" fillId="3" borderId="1" xfId="0" applyNumberFormat="1" applyFont="1" applyFill="1" applyBorder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6" fontId="6" fillId="2" borderId="1" xfId="5" applyNumberFormat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6" fillId="2" borderId="3" xfId="5" applyNumberFormat="1" applyFont="1" applyFill="1" applyBorder="1" applyAlignment="1">
      <alignment horizontal="center" vertical="center" wrapText="1"/>
    </xf>
    <xf numFmtId="166" fontId="6" fillId="2" borderId="4" xfId="5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</cellXfs>
  <cellStyles count="6">
    <cellStyle name="Comma" xfId="5" builtinId="3"/>
    <cellStyle name="Comma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4"/>
  <sheetViews>
    <sheetView tabSelected="1" zoomScale="56" zoomScaleNormal="56" workbookViewId="0">
      <selection activeCell="A47" sqref="A47"/>
    </sheetView>
  </sheetViews>
  <sheetFormatPr defaultColWidth="8.77734375" defaultRowHeight="14.4" x14ac:dyDescent="0.3"/>
  <cols>
    <col min="1" max="1" width="11.21875" customWidth="1"/>
    <col min="2" max="2" width="23" bestFit="1" customWidth="1"/>
    <col min="3" max="4" width="18.21875" customWidth="1"/>
    <col min="5" max="6" width="18.77734375" customWidth="1"/>
    <col min="7" max="7" width="13.21875" customWidth="1"/>
    <col min="8" max="8" width="18.21875" customWidth="1"/>
    <col min="9" max="9" width="18.77734375" customWidth="1"/>
    <col min="10" max="10" width="18.21875" customWidth="1"/>
    <col min="11" max="11" width="17.77734375" customWidth="1"/>
    <col min="12" max="12" width="13.21875" customWidth="1"/>
    <col min="13" max="13" width="17.77734375" customWidth="1"/>
    <col min="14" max="16" width="18.77734375" customWidth="1"/>
    <col min="17" max="17" width="13.21875" customWidth="1"/>
    <col min="18" max="20" width="18.77734375" customWidth="1"/>
    <col min="21" max="21" width="17.77734375" customWidth="1"/>
    <col min="22" max="22" width="13.21875" customWidth="1"/>
    <col min="23" max="23" width="18.21875" customWidth="1"/>
    <col min="24" max="24" width="18.77734375" customWidth="1"/>
    <col min="25" max="25" width="18.21875" customWidth="1"/>
    <col min="26" max="26" width="17.77734375" customWidth="1"/>
    <col min="27" max="27" width="13.21875" customWidth="1"/>
    <col min="28" max="30" width="18.77734375" customWidth="1"/>
    <col min="31" max="31" width="17.77734375" customWidth="1"/>
    <col min="32" max="32" width="13.21875" customWidth="1"/>
    <col min="33" max="34" width="18.77734375" customWidth="1"/>
    <col min="35" max="36" width="18.21875" customWidth="1"/>
    <col min="37" max="37" width="13.21875" customWidth="1"/>
    <col min="38" max="38" width="18.77734375" customWidth="1"/>
    <col min="39" max="39" width="18.21875" customWidth="1"/>
    <col min="40" max="40" width="18.77734375" customWidth="1"/>
    <col min="41" max="41" width="17.77734375" customWidth="1"/>
    <col min="42" max="42" width="13.21875" customWidth="1"/>
    <col min="43" max="45" width="18.21875" customWidth="1"/>
    <col min="46" max="46" width="18.77734375" customWidth="1"/>
    <col min="47" max="47" width="13.21875" customWidth="1"/>
    <col min="48" max="48" width="18.77734375" customWidth="1"/>
    <col min="49" max="50" width="18.21875" customWidth="1"/>
    <col min="51" max="51" width="18.77734375" customWidth="1"/>
    <col min="52" max="52" width="13.21875" customWidth="1"/>
    <col min="53" max="53" width="21.21875" customWidth="1"/>
    <col min="54" max="54" width="18.77734375" customWidth="1"/>
    <col min="55" max="56" width="18.21875" customWidth="1"/>
    <col min="57" max="57" width="12.5546875" customWidth="1"/>
    <col min="58" max="58" width="20.77734375" customWidth="1"/>
    <col min="59" max="59" width="18.21875" customWidth="1"/>
    <col min="60" max="60" width="18.77734375" customWidth="1"/>
    <col min="61" max="61" width="18.21875" customWidth="1"/>
    <col min="62" max="62" width="13.21875" customWidth="1"/>
  </cols>
  <sheetData>
    <row r="1" spans="1:62" ht="15.6" customHeight="1" x14ac:dyDescent="0.3">
      <c r="A1" s="17" t="s">
        <v>44</v>
      </c>
      <c r="B1" s="17"/>
      <c r="C1" s="17"/>
      <c r="D1" s="17"/>
    </row>
    <row r="2" spans="1:62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62" ht="15.6" x14ac:dyDescent="0.3">
      <c r="A3" s="22" t="s">
        <v>0</v>
      </c>
      <c r="B3" s="22"/>
      <c r="C3" s="22"/>
      <c r="D3" s="1"/>
      <c r="E3" s="1"/>
      <c r="F3" s="1"/>
      <c r="G3" s="1"/>
      <c r="H3" s="1"/>
      <c r="I3" s="1"/>
      <c r="J3" s="1"/>
      <c r="K3" s="1"/>
      <c r="L3" s="1"/>
    </row>
    <row r="4" spans="1:6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62" ht="15.6" x14ac:dyDescent="0.3">
      <c r="A5" s="24" t="s">
        <v>49</v>
      </c>
      <c r="B5" s="24"/>
      <c r="C5" s="24"/>
    </row>
    <row r="8" spans="1:62" s="11" customFormat="1" ht="15.6" x14ac:dyDescent="0.3">
      <c r="A8" s="25" t="s">
        <v>1</v>
      </c>
      <c r="B8" s="19" t="s">
        <v>2</v>
      </c>
      <c r="C8" s="18">
        <v>43191</v>
      </c>
      <c r="D8" s="19"/>
      <c r="E8" s="19"/>
      <c r="F8" s="19"/>
      <c r="G8" s="19"/>
      <c r="H8" s="18">
        <v>43221</v>
      </c>
      <c r="I8" s="19"/>
      <c r="J8" s="19"/>
      <c r="K8" s="19"/>
      <c r="L8" s="19"/>
      <c r="M8" s="18">
        <v>43252</v>
      </c>
      <c r="N8" s="19"/>
      <c r="O8" s="19"/>
      <c r="P8" s="19"/>
      <c r="Q8" s="19"/>
      <c r="R8" s="18">
        <v>43282</v>
      </c>
      <c r="S8" s="19"/>
      <c r="T8" s="19"/>
      <c r="U8" s="19"/>
      <c r="V8" s="19"/>
      <c r="W8" s="18">
        <v>43313</v>
      </c>
      <c r="X8" s="19"/>
      <c r="Y8" s="19"/>
      <c r="Z8" s="19"/>
      <c r="AA8" s="19"/>
      <c r="AB8" s="18">
        <v>43344</v>
      </c>
      <c r="AC8" s="19"/>
      <c r="AD8" s="19"/>
      <c r="AE8" s="19"/>
      <c r="AF8" s="19"/>
      <c r="AG8" s="18">
        <v>43374</v>
      </c>
      <c r="AH8" s="19"/>
      <c r="AI8" s="19"/>
      <c r="AJ8" s="19"/>
      <c r="AK8" s="19"/>
      <c r="AL8" s="18">
        <v>43405</v>
      </c>
      <c r="AM8" s="19"/>
      <c r="AN8" s="19"/>
      <c r="AO8" s="19"/>
      <c r="AP8" s="19"/>
      <c r="AQ8" s="18">
        <v>43435</v>
      </c>
      <c r="AR8" s="19"/>
      <c r="AS8" s="19"/>
      <c r="AT8" s="19"/>
      <c r="AU8" s="19"/>
      <c r="AV8" s="18">
        <v>43466</v>
      </c>
      <c r="AW8" s="19"/>
      <c r="AX8" s="19"/>
      <c r="AY8" s="19"/>
      <c r="AZ8" s="19"/>
      <c r="BA8" s="18">
        <v>43497</v>
      </c>
      <c r="BB8" s="19"/>
      <c r="BC8" s="19"/>
      <c r="BD8" s="19"/>
      <c r="BE8" s="19"/>
      <c r="BF8" s="18">
        <v>43525</v>
      </c>
      <c r="BG8" s="19"/>
      <c r="BH8" s="19"/>
      <c r="BI8" s="19"/>
      <c r="BJ8" s="19"/>
    </row>
    <row r="9" spans="1:62" s="11" customFormat="1" ht="46.8" x14ac:dyDescent="0.3">
      <c r="A9" s="25"/>
      <c r="B9" s="19"/>
      <c r="C9" s="12" t="s">
        <v>3</v>
      </c>
      <c r="D9" s="12" t="s">
        <v>4</v>
      </c>
      <c r="E9" s="12" t="s">
        <v>5</v>
      </c>
      <c r="F9" s="12" t="s">
        <v>6</v>
      </c>
      <c r="G9" s="12" t="s">
        <v>50</v>
      </c>
      <c r="H9" s="12" t="s">
        <v>3</v>
      </c>
      <c r="I9" s="12" t="s">
        <v>4</v>
      </c>
      <c r="J9" s="12" t="s">
        <v>5</v>
      </c>
      <c r="K9" s="12" t="s">
        <v>6</v>
      </c>
      <c r="L9" s="12" t="s">
        <v>50</v>
      </c>
      <c r="M9" s="12" t="s">
        <v>3</v>
      </c>
      <c r="N9" s="12" t="s">
        <v>4</v>
      </c>
      <c r="O9" s="12" t="s">
        <v>5</v>
      </c>
      <c r="P9" s="12" t="s">
        <v>6</v>
      </c>
      <c r="Q9" s="12" t="s">
        <v>50</v>
      </c>
      <c r="R9" s="12" t="s">
        <v>3</v>
      </c>
      <c r="S9" s="12" t="s">
        <v>4</v>
      </c>
      <c r="T9" s="12" t="s">
        <v>5</v>
      </c>
      <c r="U9" s="12" t="s">
        <v>6</v>
      </c>
      <c r="V9" s="12" t="s">
        <v>50</v>
      </c>
      <c r="W9" s="12" t="s">
        <v>3</v>
      </c>
      <c r="X9" s="12" t="s">
        <v>4</v>
      </c>
      <c r="Y9" s="12" t="s">
        <v>5</v>
      </c>
      <c r="Z9" s="12" t="s">
        <v>6</v>
      </c>
      <c r="AA9" s="12" t="s">
        <v>50</v>
      </c>
      <c r="AB9" s="12" t="s">
        <v>3</v>
      </c>
      <c r="AC9" s="12" t="s">
        <v>4</v>
      </c>
      <c r="AD9" s="12" t="s">
        <v>5</v>
      </c>
      <c r="AE9" s="12" t="s">
        <v>6</v>
      </c>
      <c r="AF9" s="12" t="s">
        <v>50</v>
      </c>
      <c r="AG9" s="12" t="s">
        <v>3</v>
      </c>
      <c r="AH9" s="12" t="s">
        <v>4</v>
      </c>
      <c r="AI9" s="12" t="s">
        <v>5</v>
      </c>
      <c r="AJ9" s="12" t="s">
        <v>6</v>
      </c>
      <c r="AK9" s="12" t="s">
        <v>50</v>
      </c>
      <c r="AL9" s="12" t="s">
        <v>3</v>
      </c>
      <c r="AM9" s="12" t="s">
        <v>4</v>
      </c>
      <c r="AN9" s="12" t="s">
        <v>5</v>
      </c>
      <c r="AO9" s="12" t="s">
        <v>6</v>
      </c>
      <c r="AP9" s="12" t="s">
        <v>50</v>
      </c>
      <c r="AQ9" s="12" t="s">
        <v>3</v>
      </c>
      <c r="AR9" s="12" t="s">
        <v>4</v>
      </c>
      <c r="AS9" s="12" t="s">
        <v>5</v>
      </c>
      <c r="AT9" s="12" t="s">
        <v>6</v>
      </c>
      <c r="AU9" s="12" t="s">
        <v>50</v>
      </c>
      <c r="AV9" s="12" t="s">
        <v>3</v>
      </c>
      <c r="AW9" s="12" t="s">
        <v>4</v>
      </c>
      <c r="AX9" s="12" t="s">
        <v>5</v>
      </c>
      <c r="AY9" s="12" t="s">
        <v>6</v>
      </c>
      <c r="AZ9" s="12" t="s">
        <v>50</v>
      </c>
      <c r="BA9" s="12" t="s">
        <v>3</v>
      </c>
      <c r="BB9" s="12" t="s">
        <v>4</v>
      </c>
      <c r="BC9" s="12" t="s">
        <v>5</v>
      </c>
      <c r="BD9" s="12" t="s">
        <v>6</v>
      </c>
      <c r="BE9" s="12" t="s">
        <v>50</v>
      </c>
      <c r="BF9" s="12" t="s">
        <v>3</v>
      </c>
      <c r="BG9" s="12" t="s">
        <v>4</v>
      </c>
      <c r="BH9" s="12" t="s">
        <v>5</v>
      </c>
      <c r="BI9" s="12" t="s">
        <v>6</v>
      </c>
      <c r="BJ9" s="12" t="s">
        <v>50</v>
      </c>
    </row>
    <row r="10" spans="1:62" x14ac:dyDescent="0.3">
      <c r="A10" s="15">
        <v>1</v>
      </c>
      <c r="B10" s="2" t="s">
        <v>7</v>
      </c>
      <c r="C10" s="4">
        <v>72923</v>
      </c>
      <c r="D10" s="5">
        <v>25835</v>
      </c>
      <c r="E10" s="10">
        <f>F10-D10</f>
        <v>41990</v>
      </c>
      <c r="F10" s="7">
        <v>67825</v>
      </c>
      <c r="G10" s="9">
        <f>F10/C10</f>
        <v>0.93009064355553117</v>
      </c>
      <c r="H10" s="4">
        <v>75470</v>
      </c>
      <c r="I10" s="5">
        <v>44513</v>
      </c>
      <c r="J10" s="10">
        <f>K10-I10</f>
        <v>24982</v>
      </c>
      <c r="K10" s="7">
        <v>69495</v>
      </c>
      <c r="L10" s="9">
        <f>K10/H10</f>
        <v>0.92082946866304494</v>
      </c>
      <c r="M10" s="4">
        <v>77492</v>
      </c>
      <c r="N10" s="5">
        <v>45901</v>
      </c>
      <c r="O10" s="10">
        <f>P10-N10</f>
        <v>24673</v>
      </c>
      <c r="P10" s="7">
        <v>70574</v>
      </c>
      <c r="Q10" s="9">
        <f>P10/M10</f>
        <v>0.91072626851804062</v>
      </c>
      <c r="R10" s="4">
        <v>78995</v>
      </c>
      <c r="S10" s="5">
        <v>49998</v>
      </c>
      <c r="T10" s="10">
        <f>U10-S10</f>
        <v>21810</v>
      </c>
      <c r="U10" s="7">
        <v>71808</v>
      </c>
      <c r="V10" s="9">
        <f>U10/R10</f>
        <v>0.90901955819988611</v>
      </c>
      <c r="W10" s="4">
        <v>80214</v>
      </c>
      <c r="X10" s="5">
        <v>47009</v>
      </c>
      <c r="Y10" s="10">
        <f>Z10-X10</f>
        <v>25860</v>
      </c>
      <c r="Z10" s="7">
        <v>72869</v>
      </c>
      <c r="AA10" s="9">
        <f>Z10/W10</f>
        <v>0.90843244321440153</v>
      </c>
      <c r="AB10" s="4">
        <v>81069</v>
      </c>
      <c r="AC10" s="5">
        <v>50507</v>
      </c>
      <c r="AD10" s="10">
        <f>AE10-AC10</f>
        <v>23193</v>
      </c>
      <c r="AE10" s="7">
        <v>73700</v>
      </c>
      <c r="AF10" s="9">
        <f>AE10/AB10</f>
        <v>0.9091021228829762</v>
      </c>
      <c r="AG10" s="4">
        <v>82347</v>
      </c>
      <c r="AH10" s="5">
        <v>48213</v>
      </c>
      <c r="AI10" s="10">
        <f>AJ10-AH10</f>
        <v>26443</v>
      </c>
      <c r="AJ10" s="7">
        <v>74656</v>
      </c>
      <c r="AK10" s="9">
        <f>AJ10/AG10</f>
        <v>0.90660254775523086</v>
      </c>
      <c r="AL10" s="4">
        <v>83494</v>
      </c>
      <c r="AM10" s="5">
        <v>50329</v>
      </c>
      <c r="AN10" s="10">
        <f>AO10-AM10</f>
        <v>24511</v>
      </c>
      <c r="AO10" s="7">
        <v>74840</v>
      </c>
      <c r="AP10" s="9">
        <f>AO10/AL10</f>
        <v>0.89635183366469451</v>
      </c>
      <c r="AQ10" s="4">
        <v>84692</v>
      </c>
      <c r="AR10" s="5">
        <v>52012</v>
      </c>
      <c r="AS10" s="10">
        <f>AT10-AR10</f>
        <v>23679</v>
      </c>
      <c r="AT10" s="7">
        <v>75691</v>
      </c>
      <c r="AU10" s="9">
        <f>AT10/AQ10</f>
        <v>0.89372077646058656</v>
      </c>
      <c r="AV10" s="6">
        <v>86258</v>
      </c>
      <c r="AW10" s="5">
        <v>38272</v>
      </c>
      <c r="AX10" s="10">
        <f>AY10-AW10</f>
        <v>38524</v>
      </c>
      <c r="AY10" s="7">
        <v>76796</v>
      </c>
      <c r="AZ10" s="9">
        <f>AY10/AV10</f>
        <v>0.89030582670592873</v>
      </c>
      <c r="BA10" s="6">
        <v>87367</v>
      </c>
      <c r="BB10" s="5">
        <v>58457</v>
      </c>
      <c r="BC10" s="10">
        <f>BD10-BB10</f>
        <v>19109</v>
      </c>
      <c r="BD10" s="7">
        <v>77566</v>
      </c>
      <c r="BE10" s="9">
        <f>BD10/BA10</f>
        <v>0.88781805487197685</v>
      </c>
      <c r="BF10" s="6">
        <v>88878</v>
      </c>
      <c r="BG10" s="5">
        <v>42179</v>
      </c>
      <c r="BH10" s="10">
        <f>BI10-BG10</f>
        <v>36327</v>
      </c>
      <c r="BI10" s="7">
        <v>78506</v>
      </c>
      <c r="BJ10" s="9">
        <f>BI10/BF10</f>
        <v>0.88330070433628116</v>
      </c>
    </row>
    <row r="11" spans="1:62" x14ac:dyDescent="0.3">
      <c r="A11" s="15">
        <v>2</v>
      </c>
      <c r="B11" s="2" t="s">
        <v>8</v>
      </c>
      <c r="C11" s="4">
        <v>69050</v>
      </c>
      <c r="D11" s="5">
        <v>31904</v>
      </c>
      <c r="E11" s="10">
        <f t="shared" ref="E11:E48" si="0">F11-D11</f>
        <v>33357</v>
      </c>
      <c r="F11" s="7">
        <v>65261</v>
      </c>
      <c r="G11" s="9">
        <f t="shared" ref="G11:G48" si="1">F11/C11</f>
        <v>0.94512671976828388</v>
      </c>
      <c r="H11" s="4">
        <v>72862</v>
      </c>
      <c r="I11" s="5">
        <v>48591</v>
      </c>
      <c r="J11" s="10">
        <f t="shared" ref="J11:J48" si="2">K11-I11</f>
        <v>18816</v>
      </c>
      <c r="K11" s="7">
        <v>67407</v>
      </c>
      <c r="L11" s="9">
        <f t="shared" ref="L11:L48" si="3">K11/H11</f>
        <v>0.92513244215091539</v>
      </c>
      <c r="M11" s="4">
        <v>75206</v>
      </c>
      <c r="N11" s="5">
        <v>48706</v>
      </c>
      <c r="O11" s="10">
        <f t="shared" ref="O11:O48" si="4">P11-N11</f>
        <v>20110</v>
      </c>
      <c r="P11" s="7">
        <v>68816</v>
      </c>
      <c r="Q11" s="9">
        <f t="shared" ref="Q11:Q48" si="5">P11/M11</f>
        <v>0.91503337499667581</v>
      </c>
      <c r="R11" s="4">
        <v>76985</v>
      </c>
      <c r="S11" s="5">
        <v>54820</v>
      </c>
      <c r="T11" s="10">
        <f t="shared" ref="T11:T48" si="6">U11-S11</f>
        <v>15479</v>
      </c>
      <c r="U11" s="7">
        <v>70299</v>
      </c>
      <c r="V11" s="9">
        <f t="shared" ref="V11:V48" si="7">U11/R11</f>
        <v>0.91315191271026819</v>
      </c>
      <c r="W11" s="4">
        <v>78385</v>
      </c>
      <c r="X11" s="5">
        <v>48848</v>
      </c>
      <c r="Y11" s="10">
        <f t="shared" ref="Y11:Y48" si="8">Z11-X11</f>
        <v>22527</v>
      </c>
      <c r="Z11" s="7">
        <v>71375</v>
      </c>
      <c r="AA11" s="9">
        <f t="shared" ref="AA11:AA48" si="9">Z11/W11</f>
        <v>0.9105696242903617</v>
      </c>
      <c r="AB11" s="4">
        <v>79070</v>
      </c>
      <c r="AC11" s="5">
        <v>54882</v>
      </c>
      <c r="AD11" s="10">
        <f t="shared" ref="AD11:AD48" si="10">AE11-AC11</f>
        <v>17329</v>
      </c>
      <c r="AE11" s="7">
        <v>72211</v>
      </c>
      <c r="AF11" s="9">
        <f t="shared" ref="AF11:AF48" si="11">AE11/AB11</f>
        <v>0.9132540786644745</v>
      </c>
      <c r="AG11" s="4">
        <v>80106</v>
      </c>
      <c r="AH11" s="5">
        <v>52335</v>
      </c>
      <c r="AI11" s="10">
        <f t="shared" ref="AI11:AI48" si="12">AJ11-AH11</f>
        <v>21084</v>
      </c>
      <c r="AJ11" s="7">
        <v>73419</v>
      </c>
      <c r="AK11" s="9">
        <f t="shared" ref="AK11:AK48" si="13">AJ11/AG11</f>
        <v>0.91652310688337957</v>
      </c>
      <c r="AL11" s="4">
        <v>81318</v>
      </c>
      <c r="AM11" s="5">
        <v>54809</v>
      </c>
      <c r="AN11" s="10">
        <f t="shared" ref="AN11:AN48" si="14">AO11-AM11</f>
        <v>18870</v>
      </c>
      <c r="AO11" s="7">
        <v>73679</v>
      </c>
      <c r="AP11" s="9">
        <f t="shared" ref="AP11:AP48" si="15">AO11/AL11</f>
        <v>0.9060601588824122</v>
      </c>
      <c r="AQ11" s="4">
        <v>82700</v>
      </c>
      <c r="AR11" s="5">
        <v>54247</v>
      </c>
      <c r="AS11" s="10">
        <f t="shared" ref="AS11:AS48" si="16">AT11-AR11</f>
        <v>20478</v>
      </c>
      <c r="AT11" s="7">
        <v>74725</v>
      </c>
      <c r="AU11" s="9">
        <f t="shared" ref="AU11:AU48" si="17">AT11/AQ11</f>
        <v>0.90356711003627566</v>
      </c>
      <c r="AV11" s="6">
        <v>84114</v>
      </c>
      <c r="AW11" s="5">
        <v>50257</v>
      </c>
      <c r="AX11" s="10">
        <f t="shared" ref="AX11:AX48" si="18">AY11-AW11</f>
        <v>25447</v>
      </c>
      <c r="AY11" s="7">
        <v>75704</v>
      </c>
      <c r="AZ11" s="9">
        <f t="shared" ref="AZ11:AZ48" si="19">AY11/AV11</f>
        <v>0.90001664407827475</v>
      </c>
      <c r="BA11" s="6">
        <v>85293</v>
      </c>
      <c r="BB11" s="5">
        <v>61666</v>
      </c>
      <c r="BC11" s="10">
        <f t="shared" ref="BC11:BC48" si="20">BD11-BB11</f>
        <v>14918</v>
      </c>
      <c r="BD11" s="7">
        <v>76584</v>
      </c>
      <c r="BE11" s="9">
        <f t="shared" ref="BE11:BE48" si="21">BD11/BA11</f>
        <v>0.89789314480672511</v>
      </c>
      <c r="BF11" s="6">
        <v>86666</v>
      </c>
      <c r="BG11" s="5">
        <v>47265</v>
      </c>
      <c r="BH11" s="10">
        <f t="shared" ref="BH11:BH48" si="22">BI11-BG11</f>
        <v>30236</v>
      </c>
      <c r="BI11" s="7">
        <v>77501</v>
      </c>
      <c r="BJ11" s="9">
        <f t="shared" ref="BJ11:BJ48" si="23">BI11/BF11</f>
        <v>0.89424918653220409</v>
      </c>
    </row>
    <row r="12" spans="1:62" x14ac:dyDescent="0.3">
      <c r="A12" s="15">
        <v>3</v>
      </c>
      <c r="B12" s="2" t="s">
        <v>9</v>
      </c>
      <c r="C12" s="4">
        <v>272274</v>
      </c>
      <c r="D12" s="5">
        <v>114352</v>
      </c>
      <c r="E12" s="10">
        <f t="shared" si="0"/>
        <v>142861</v>
      </c>
      <c r="F12" s="7">
        <v>257213</v>
      </c>
      <c r="G12" s="9">
        <f t="shared" si="1"/>
        <v>0.94468439880414579</v>
      </c>
      <c r="H12" s="4">
        <v>280783</v>
      </c>
      <c r="I12" s="5">
        <v>217583</v>
      </c>
      <c r="J12" s="10">
        <f t="shared" si="2"/>
        <v>43645</v>
      </c>
      <c r="K12" s="7">
        <v>261228</v>
      </c>
      <c r="L12" s="9">
        <f t="shared" si="3"/>
        <v>0.93035547023858278</v>
      </c>
      <c r="M12" s="4">
        <v>284602</v>
      </c>
      <c r="N12" s="5">
        <v>215329</v>
      </c>
      <c r="O12" s="10">
        <f t="shared" si="4"/>
        <v>48753</v>
      </c>
      <c r="P12" s="7">
        <v>264082</v>
      </c>
      <c r="Q12" s="9">
        <f t="shared" si="5"/>
        <v>0.92789931202170051</v>
      </c>
      <c r="R12" s="4">
        <v>287287</v>
      </c>
      <c r="S12" s="5">
        <v>232762</v>
      </c>
      <c r="T12" s="10">
        <f t="shared" si="6"/>
        <v>33920</v>
      </c>
      <c r="U12" s="7">
        <v>266682</v>
      </c>
      <c r="V12" s="9">
        <f t="shared" si="7"/>
        <v>0.92827729761527666</v>
      </c>
      <c r="W12" s="4">
        <v>289432</v>
      </c>
      <c r="X12" s="5">
        <v>212773</v>
      </c>
      <c r="Y12" s="10">
        <f t="shared" si="8"/>
        <v>56374</v>
      </c>
      <c r="Z12" s="7">
        <v>269147</v>
      </c>
      <c r="AA12" s="9">
        <f t="shared" si="9"/>
        <v>0.92991445313579701</v>
      </c>
      <c r="AB12" s="4">
        <v>289976</v>
      </c>
      <c r="AC12" s="5">
        <v>228333</v>
      </c>
      <c r="AD12" s="10">
        <f t="shared" si="10"/>
        <v>42498</v>
      </c>
      <c r="AE12" s="7">
        <v>270831</v>
      </c>
      <c r="AF12" s="9">
        <f t="shared" si="11"/>
        <v>0.93397729467266255</v>
      </c>
      <c r="AG12" s="4">
        <v>291913</v>
      </c>
      <c r="AH12" s="5">
        <v>216623</v>
      </c>
      <c r="AI12" s="10">
        <f t="shared" si="12"/>
        <v>56468</v>
      </c>
      <c r="AJ12" s="7">
        <v>273091</v>
      </c>
      <c r="AK12" s="9">
        <f t="shared" si="13"/>
        <v>0.93552188494517197</v>
      </c>
      <c r="AL12" s="4">
        <v>293460</v>
      </c>
      <c r="AM12" s="5">
        <v>222370</v>
      </c>
      <c r="AN12" s="10">
        <f t="shared" si="14"/>
        <v>51078</v>
      </c>
      <c r="AO12" s="7">
        <v>273448</v>
      </c>
      <c r="AP12" s="9">
        <f t="shared" si="15"/>
        <v>0.93180671982552987</v>
      </c>
      <c r="AQ12" s="4">
        <v>294776</v>
      </c>
      <c r="AR12" s="5">
        <v>221141</v>
      </c>
      <c r="AS12" s="10">
        <f t="shared" si="16"/>
        <v>54283</v>
      </c>
      <c r="AT12" s="7">
        <v>275424</v>
      </c>
      <c r="AU12" s="9">
        <f t="shared" si="17"/>
        <v>0.93435015062284588</v>
      </c>
      <c r="AV12" s="6">
        <v>297867</v>
      </c>
      <c r="AW12" s="5">
        <v>194747</v>
      </c>
      <c r="AX12" s="10">
        <f t="shared" si="18"/>
        <v>82340</v>
      </c>
      <c r="AY12" s="7">
        <v>277087</v>
      </c>
      <c r="AZ12" s="9">
        <f t="shared" si="19"/>
        <v>0.93023732068339227</v>
      </c>
      <c r="BA12" s="6">
        <v>300089</v>
      </c>
      <c r="BB12" s="5">
        <v>243210</v>
      </c>
      <c r="BC12" s="10">
        <f t="shared" si="20"/>
        <v>35513</v>
      </c>
      <c r="BD12" s="7">
        <v>278723</v>
      </c>
      <c r="BE12" s="9">
        <f t="shared" si="21"/>
        <v>0.92880112233370771</v>
      </c>
      <c r="BF12" s="6">
        <v>302783</v>
      </c>
      <c r="BG12" s="5">
        <v>180946</v>
      </c>
      <c r="BH12" s="10">
        <f t="shared" si="22"/>
        <v>99765</v>
      </c>
      <c r="BI12" s="7">
        <v>280711</v>
      </c>
      <c r="BJ12" s="9">
        <f t="shared" si="23"/>
        <v>0.92710290868377687</v>
      </c>
    </row>
    <row r="13" spans="1:62" x14ac:dyDescent="0.3">
      <c r="A13" s="15">
        <v>4</v>
      </c>
      <c r="B13" s="2" t="s">
        <v>10</v>
      </c>
      <c r="C13" s="4">
        <v>26258</v>
      </c>
      <c r="D13" s="5">
        <v>11339</v>
      </c>
      <c r="E13" s="10">
        <f t="shared" si="0"/>
        <v>12984</v>
      </c>
      <c r="F13" s="7">
        <v>24323</v>
      </c>
      <c r="G13" s="9">
        <f t="shared" si="1"/>
        <v>0.92630817274735322</v>
      </c>
      <c r="H13" s="4">
        <v>27036</v>
      </c>
      <c r="I13" s="5">
        <v>19415</v>
      </c>
      <c r="J13" s="10">
        <f t="shared" si="2"/>
        <v>5287</v>
      </c>
      <c r="K13" s="7">
        <v>24702</v>
      </c>
      <c r="L13" s="9">
        <f t="shared" si="3"/>
        <v>0.91367066134043495</v>
      </c>
      <c r="M13" s="4">
        <v>27243</v>
      </c>
      <c r="N13" s="5">
        <v>19508</v>
      </c>
      <c r="O13" s="10">
        <f t="shared" si="4"/>
        <v>5465</v>
      </c>
      <c r="P13" s="7">
        <v>24973</v>
      </c>
      <c r="Q13" s="9">
        <f t="shared" si="5"/>
        <v>0.9166758433359028</v>
      </c>
      <c r="R13" s="4">
        <v>27105</v>
      </c>
      <c r="S13" s="5">
        <v>21142</v>
      </c>
      <c r="T13" s="10">
        <f t="shared" si="6"/>
        <v>3990</v>
      </c>
      <c r="U13" s="7">
        <v>25132</v>
      </c>
      <c r="V13" s="9">
        <f t="shared" si="7"/>
        <v>0.92720900202914591</v>
      </c>
      <c r="W13" s="4">
        <v>27027</v>
      </c>
      <c r="X13" s="5">
        <v>18479</v>
      </c>
      <c r="Y13" s="10">
        <f t="shared" si="8"/>
        <v>6798</v>
      </c>
      <c r="Z13" s="7">
        <v>25277</v>
      </c>
      <c r="AA13" s="9">
        <f t="shared" si="9"/>
        <v>0.93524993524993527</v>
      </c>
      <c r="AB13" s="4">
        <v>27051</v>
      </c>
      <c r="AC13" s="5">
        <v>20876</v>
      </c>
      <c r="AD13" s="10">
        <f t="shared" si="10"/>
        <v>4559</v>
      </c>
      <c r="AE13" s="7">
        <v>25435</v>
      </c>
      <c r="AF13" s="9">
        <f t="shared" si="11"/>
        <v>0.94026098850319761</v>
      </c>
      <c r="AG13" s="4">
        <v>27070</v>
      </c>
      <c r="AH13" s="5">
        <v>19409</v>
      </c>
      <c r="AI13" s="10">
        <f t="shared" si="12"/>
        <v>6281</v>
      </c>
      <c r="AJ13" s="7">
        <v>25690</v>
      </c>
      <c r="AK13" s="9">
        <f t="shared" si="13"/>
        <v>0.94902105652013302</v>
      </c>
      <c r="AL13" s="4">
        <v>27088</v>
      </c>
      <c r="AM13" s="5">
        <v>20036</v>
      </c>
      <c r="AN13" s="10">
        <f t="shared" si="14"/>
        <v>5624</v>
      </c>
      <c r="AO13" s="7">
        <v>25660</v>
      </c>
      <c r="AP13" s="9">
        <f t="shared" si="15"/>
        <v>0.94728292971057293</v>
      </c>
      <c r="AQ13" s="4">
        <v>27347</v>
      </c>
      <c r="AR13" s="5">
        <v>19856</v>
      </c>
      <c r="AS13" s="10">
        <f t="shared" si="16"/>
        <v>6006</v>
      </c>
      <c r="AT13" s="7">
        <v>25862</v>
      </c>
      <c r="AU13" s="9">
        <f t="shared" si="17"/>
        <v>0.94569788276593414</v>
      </c>
      <c r="AV13" s="6">
        <v>27519</v>
      </c>
      <c r="AW13" s="5">
        <v>17279</v>
      </c>
      <c r="AX13" s="10">
        <f t="shared" si="18"/>
        <v>8638</v>
      </c>
      <c r="AY13" s="7">
        <v>25917</v>
      </c>
      <c r="AZ13" s="9">
        <f t="shared" si="19"/>
        <v>0.94178567535157531</v>
      </c>
      <c r="BA13" s="6">
        <v>27639</v>
      </c>
      <c r="BB13" s="5">
        <v>21889</v>
      </c>
      <c r="BC13" s="10">
        <f t="shared" si="20"/>
        <v>4114</v>
      </c>
      <c r="BD13" s="7">
        <v>26003</v>
      </c>
      <c r="BE13" s="9">
        <f t="shared" si="21"/>
        <v>0.94080827815767576</v>
      </c>
      <c r="BF13" s="6">
        <v>27600</v>
      </c>
      <c r="BG13" s="5">
        <v>16890</v>
      </c>
      <c r="BH13" s="10">
        <f t="shared" si="22"/>
        <v>9196</v>
      </c>
      <c r="BI13" s="7">
        <v>26086</v>
      </c>
      <c r="BJ13" s="9">
        <f t="shared" si="23"/>
        <v>0.94514492753623192</v>
      </c>
    </row>
    <row r="14" spans="1:62" x14ac:dyDescent="0.3">
      <c r="A14" s="15">
        <v>5</v>
      </c>
      <c r="B14" s="2" t="s">
        <v>11</v>
      </c>
      <c r="C14" s="4">
        <v>111971</v>
      </c>
      <c r="D14" s="5">
        <v>43545</v>
      </c>
      <c r="E14" s="10">
        <f t="shared" si="0"/>
        <v>54920</v>
      </c>
      <c r="F14" s="7">
        <v>98465</v>
      </c>
      <c r="G14" s="9">
        <f t="shared" si="1"/>
        <v>0.87937948218735207</v>
      </c>
      <c r="H14" s="4">
        <v>115537</v>
      </c>
      <c r="I14" s="5">
        <v>66131</v>
      </c>
      <c r="J14" s="10">
        <f t="shared" si="2"/>
        <v>34580</v>
      </c>
      <c r="K14" s="7">
        <v>100711</v>
      </c>
      <c r="L14" s="9">
        <f t="shared" si="3"/>
        <v>0.87167747128625461</v>
      </c>
      <c r="M14" s="4">
        <v>118806</v>
      </c>
      <c r="N14" s="5">
        <v>67038</v>
      </c>
      <c r="O14" s="10">
        <f t="shared" si="4"/>
        <v>35442</v>
      </c>
      <c r="P14" s="7">
        <v>102480</v>
      </c>
      <c r="Q14" s="9">
        <f t="shared" si="5"/>
        <v>0.86258269784354324</v>
      </c>
      <c r="R14" s="4">
        <v>120793</v>
      </c>
      <c r="S14" s="5">
        <v>75202</v>
      </c>
      <c r="T14" s="10">
        <f t="shared" si="6"/>
        <v>28776</v>
      </c>
      <c r="U14" s="7">
        <v>103978</v>
      </c>
      <c r="V14" s="9">
        <f t="shared" si="7"/>
        <v>0.86079491361254379</v>
      </c>
      <c r="W14" s="4">
        <v>122691</v>
      </c>
      <c r="X14" s="5">
        <v>68074</v>
      </c>
      <c r="Y14" s="10">
        <f t="shared" si="8"/>
        <v>37332</v>
      </c>
      <c r="Z14" s="7">
        <v>105406</v>
      </c>
      <c r="AA14" s="9">
        <f t="shared" si="9"/>
        <v>0.85911762068937414</v>
      </c>
      <c r="AB14" s="4">
        <v>122477</v>
      </c>
      <c r="AC14" s="5">
        <v>76925</v>
      </c>
      <c r="AD14" s="10">
        <f t="shared" si="10"/>
        <v>29753</v>
      </c>
      <c r="AE14" s="7">
        <v>106678</v>
      </c>
      <c r="AF14" s="9">
        <f t="shared" si="11"/>
        <v>0.87100435183748781</v>
      </c>
      <c r="AG14" s="4">
        <v>123042</v>
      </c>
      <c r="AH14" s="5">
        <v>69251</v>
      </c>
      <c r="AI14" s="10">
        <f t="shared" si="12"/>
        <v>38759</v>
      </c>
      <c r="AJ14" s="7">
        <v>108010</v>
      </c>
      <c r="AK14" s="9">
        <f t="shared" si="13"/>
        <v>0.8778303343573739</v>
      </c>
      <c r="AL14" s="4">
        <v>123517</v>
      </c>
      <c r="AM14" s="5">
        <v>74326</v>
      </c>
      <c r="AN14" s="10">
        <f t="shared" si="14"/>
        <v>33137</v>
      </c>
      <c r="AO14" s="7">
        <v>107463</v>
      </c>
      <c r="AP14" s="9">
        <f t="shared" si="15"/>
        <v>0.8700259883254936</v>
      </c>
      <c r="AQ14" s="4">
        <v>123658</v>
      </c>
      <c r="AR14" s="5">
        <v>74438</v>
      </c>
      <c r="AS14" s="10">
        <f t="shared" si="16"/>
        <v>34409</v>
      </c>
      <c r="AT14" s="7">
        <v>108847</v>
      </c>
      <c r="AU14" s="9">
        <f t="shared" si="17"/>
        <v>0.88022610749001273</v>
      </c>
      <c r="AV14" s="6">
        <v>124350</v>
      </c>
      <c r="AW14" s="5">
        <v>68508</v>
      </c>
      <c r="AX14" s="10">
        <f t="shared" si="18"/>
        <v>41635</v>
      </c>
      <c r="AY14" s="7">
        <v>110143</v>
      </c>
      <c r="AZ14" s="9">
        <f t="shared" si="19"/>
        <v>0.88574989947728189</v>
      </c>
      <c r="BA14" s="6">
        <v>126171</v>
      </c>
      <c r="BB14" s="5">
        <v>82580</v>
      </c>
      <c r="BC14" s="10">
        <f t="shared" si="20"/>
        <v>28917</v>
      </c>
      <c r="BD14" s="7">
        <v>111497</v>
      </c>
      <c r="BE14" s="9">
        <f t="shared" si="21"/>
        <v>0.88369752161748738</v>
      </c>
      <c r="BF14" s="6">
        <v>128280</v>
      </c>
      <c r="BG14" s="5">
        <v>65668</v>
      </c>
      <c r="BH14" s="10">
        <f t="shared" si="22"/>
        <v>47282</v>
      </c>
      <c r="BI14" s="7">
        <v>112950</v>
      </c>
      <c r="BJ14" s="9">
        <f t="shared" si="23"/>
        <v>0.88049579045837234</v>
      </c>
    </row>
    <row r="15" spans="1:62" x14ac:dyDescent="0.3">
      <c r="A15" s="15">
        <v>6</v>
      </c>
      <c r="B15" s="2" t="s">
        <v>12</v>
      </c>
      <c r="C15" s="4">
        <v>360761</v>
      </c>
      <c r="D15" s="5">
        <v>154097</v>
      </c>
      <c r="E15" s="10">
        <f t="shared" si="0"/>
        <v>177456</v>
      </c>
      <c r="F15" s="7">
        <v>331553</v>
      </c>
      <c r="G15" s="9">
        <f t="shared" si="1"/>
        <v>0.91903781173685628</v>
      </c>
      <c r="H15" s="4">
        <v>372922</v>
      </c>
      <c r="I15" s="5">
        <v>254189</v>
      </c>
      <c r="J15" s="10">
        <f t="shared" si="2"/>
        <v>84737</v>
      </c>
      <c r="K15" s="7">
        <v>338926</v>
      </c>
      <c r="L15" s="9">
        <f t="shared" si="3"/>
        <v>0.90883884565673245</v>
      </c>
      <c r="M15" s="4">
        <v>381930</v>
      </c>
      <c r="N15" s="5">
        <v>254451</v>
      </c>
      <c r="O15" s="10">
        <f t="shared" si="4"/>
        <v>89756</v>
      </c>
      <c r="P15" s="7">
        <v>344207</v>
      </c>
      <c r="Q15" s="9">
        <f t="shared" si="5"/>
        <v>0.90123059199329725</v>
      </c>
      <c r="R15" s="4">
        <v>389114</v>
      </c>
      <c r="S15" s="5">
        <v>280221</v>
      </c>
      <c r="T15" s="10">
        <f t="shared" si="6"/>
        <v>68341</v>
      </c>
      <c r="U15" s="7">
        <v>348562</v>
      </c>
      <c r="V15" s="9">
        <f t="shared" si="7"/>
        <v>0.89578375488931261</v>
      </c>
      <c r="W15" s="4">
        <v>396878</v>
      </c>
      <c r="X15" s="5">
        <v>244035</v>
      </c>
      <c r="Y15" s="10">
        <f t="shared" si="8"/>
        <v>109794</v>
      </c>
      <c r="Z15" s="7">
        <v>353829</v>
      </c>
      <c r="AA15" s="9">
        <f t="shared" si="9"/>
        <v>0.89153089866407309</v>
      </c>
      <c r="AB15" s="4">
        <v>399083</v>
      </c>
      <c r="AC15" s="5">
        <v>278671</v>
      </c>
      <c r="AD15" s="10">
        <f t="shared" si="10"/>
        <v>79600</v>
      </c>
      <c r="AE15" s="7">
        <v>358271</v>
      </c>
      <c r="AF15" s="9">
        <f t="shared" si="11"/>
        <v>0.89773555876847677</v>
      </c>
      <c r="AG15" s="4">
        <v>405863</v>
      </c>
      <c r="AH15" s="5">
        <v>255866</v>
      </c>
      <c r="AI15" s="10">
        <f t="shared" si="12"/>
        <v>106415</v>
      </c>
      <c r="AJ15" s="7">
        <v>362281</v>
      </c>
      <c r="AK15" s="9">
        <f t="shared" si="13"/>
        <v>0.8926189379174746</v>
      </c>
      <c r="AL15" s="4">
        <v>411169</v>
      </c>
      <c r="AM15" s="5">
        <v>269657</v>
      </c>
      <c r="AN15" s="10">
        <f t="shared" si="14"/>
        <v>93552</v>
      </c>
      <c r="AO15" s="7">
        <v>363209</v>
      </c>
      <c r="AP15" s="9">
        <f t="shared" si="15"/>
        <v>0.88335696514085449</v>
      </c>
      <c r="AQ15" s="4">
        <v>416803</v>
      </c>
      <c r="AR15" s="5">
        <v>268109</v>
      </c>
      <c r="AS15" s="10">
        <f t="shared" si="16"/>
        <v>99520</v>
      </c>
      <c r="AT15" s="7">
        <v>367629</v>
      </c>
      <c r="AU15" s="9">
        <f t="shared" si="17"/>
        <v>0.8820210027279074</v>
      </c>
      <c r="AV15" s="6">
        <v>418669</v>
      </c>
      <c r="AW15" s="5">
        <v>238314</v>
      </c>
      <c r="AX15" s="10">
        <f t="shared" si="18"/>
        <v>131231</v>
      </c>
      <c r="AY15" s="7">
        <v>369545</v>
      </c>
      <c r="AZ15" s="9">
        <f t="shared" si="19"/>
        <v>0.88266625902562645</v>
      </c>
      <c r="BA15" s="6">
        <v>419885</v>
      </c>
      <c r="BB15" s="5">
        <v>295280</v>
      </c>
      <c r="BC15" s="10">
        <f t="shared" si="20"/>
        <v>76791</v>
      </c>
      <c r="BD15" s="7">
        <v>372071</v>
      </c>
      <c r="BE15" s="9">
        <f t="shared" si="21"/>
        <v>0.88612596306131441</v>
      </c>
      <c r="BF15" s="6">
        <v>421476</v>
      </c>
      <c r="BG15" s="5">
        <v>227071</v>
      </c>
      <c r="BH15" s="10">
        <f t="shared" si="22"/>
        <v>147802</v>
      </c>
      <c r="BI15" s="7">
        <v>374873</v>
      </c>
      <c r="BJ15" s="9">
        <f t="shared" si="23"/>
        <v>0.88942905408611639</v>
      </c>
    </row>
    <row r="16" spans="1:62" x14ac:dyDescent="0.3">
      <c r="A16" s="15">
        <v>7</v>
      </c>
      <c r="B16" s="2" t="s">
        <v>13</v>
      </c>
      <c r="C16" s="4">
        <v>623319</v>
      </c>
      <c r="D16" s="5">
        <v>217422</v>
      </c>
      <c r="E16" s="10">
        <f t="shared" si="0"/>
        <v>345212</v>
      </c>
      <c r="F16" s="7">
        <v>562634</v>
      </c>
      <c r="G16" s="9">
        <f t="shared" si="1"/>
        <v>0.90264214631673345</v>
      </c>
      <c r="H16" s="4">
        <v>639783</v>
      </c>
      <c r="I16" s="5">
        <v>403765</v>
      </c>
      <c r="J16" s="10">
        <f t="shared" si="2"/>
        <v>167940</v>
      </c>
      <c r="K16" s="7">
        <v>571705</v>
      </c>
      <c r="L16" s="9">
        <f t="shared" si="3"/>
        <v>0.89359204605311493</v>
      </c>
      <c r="M16" s="4">
        <v>653936</v>
      </c>
      <c r="N16" s="5">
        <v>404902</v>
      </c>
      <c r="O16" s="10">
        <f t="shared" si="4"/>
        <v>174499</v>
      </c>
      <c r="P16" s="7">
        <v>579401</v>
      </c>
      <c r="Q16" s="9">
        <f t="shared" si="5"/>
        <v>0.88602095617919796</v>
      </c>
      <c r="R16" s="4">
        <v>665507</v>
      </c>
      <c r="S16" s="5">
        <v>446459</v>
      </c>
      <c r="T16" s="10">
        <f t="shared" si="6"/>
        <v>138749</v>
      </c>
      <c r="U16" s="7">
        <v>585208</v>
      </c>
      <c r="V16" s="9">
        <f t="shared" si="7"/>
        <v>0.87934161473883821</v>
      </c>
      <c r="W16" s="4">
        <v>676767</v>
      </c>
      <c r="X16" s="5">
        <v>394582</v>
      </c>
      <c r="Y16" s="10">
        <f t="shared" si="8"/>
        <v>197147</v>
      </c>
      <c r="Z16" s="7">
        <v>591729</v>
      </c>
      <c r="AA16" s="9">
        <f t="shared" si="9"/>
        <v>0.87434671016760568</v>
      </c>
      <c r="AB16" s="4">
        <v>674957</v>
      </c>
      <c r="AC16" s="5">
        <v>441412</v>
      </c>
      <c r="AD16" s="10">
        <f t="shared" si="10"/>
        <v>155667</v>
      </c>
      <c r="AE16" s="7">
        <v>597079</v>
      </c>
      <c r="AF16" s="9">
        <f t="shared" si="11"/>
        <v>0.88461783491392787</v>
      </c>
      <c r="AG16" s="4">
        <v>682591</v>
      </c>
      <c r="AH16" s="5">
        <v>400791</v>
      </c>
      <c r="AI16" s="10">
        <f t="shared" si="12"/>
        <v>200960</v>
      </c>
      <c r="AJ16" s="7">
        <v>601751</v>
      </c>
      <c r="AK16" s="9">
        <f t="shared" si="13"/>
        <v>0.88156890436586477</v>
      </c>
      <c r="AL16" s="4">
        <v>691377</v>
      </c>
      <c r="AM16" s="5">
        <v>426402</v>
      </c>
      <c r="AN16" s="10">
        <f t="shared" si="14"/>
        <v>173130</v>
      </c>
      <c r="AO16" s="7">
        <v>599532</v>
      </c>
      <c r="AP16" s="9">
        <f t="shared" si="15"/>
        <v>0.86715641393913889</v>
      </c>
      <c r="AQ16" s="4">
        <v>700345</v>
      </c>
      <c r="AR16" s="5">
        <v>422173</v>
      </c>
      <c r="AS16" s="10">
        <f t="shared" si="16"/>
        <v>181894</v>
      </c>
      <c r="AT16" s="7">
        <v>604067</v>
      </c>
      <c r="AU16" s="9">
        <f t="shared" si="17"/>
        <v>0.86252775417829786</v>
      </c>
      <c r="AV16" s="6">
        <v>710945</v>
      </c>
      <c r="AW16" s="5">
        <v>378344</v>
      </c>
      <c r="AX16" s="10">
        <f t="shared" si="18"/>
        <v>229717</v>
      </c>
      <c r="AY16" s="7">
        <v>608061</v>
      </c>
      <c r="AZ16" s="9">
        <f t="shared" si="19"/>
        <v>0.85528557061376054</v>
      </c>
      <c r="BA16" s="6">
        <v>719691</v>
      </c>
      <c r="BB16" s="5">
        <v>466283</v>
      </c>
      <c r="BC16" s="10">
        <f t="shared" si="20"/>
        <v>145972</v>
      </c>
      <c r="BD16" s="7">
        <v>612255</v>
      </c>
      <c r="BE16" s="9">
        <f t="shared" si="21"/>
        <v>0.85071926701876222</v>
      </c>
      <c r="BF16" s="6">
        <v>730364</v>
      </c>
      <c r="BG16" s="5">
        <v>350449</v>
      </c>
      <c r="BH16" s="10">
        <f t="shared" si="22"/>
        <v>266675</v>
      </c>
      <c r="BI16" s="7">
        <v>617124</v>
      </c>
      <c r="BJ16" s="9">
        <f t="shared" si="23"/>
        <v>0.84495402292555488</v>
      </c>
    </row>
    <row r="17" spans="1:62" x14ac:dyDescent="0.3">
      <c r="A17" s="15">
        <v>8</v>
      </c>
      <c r="B17" s="2" t="s">
        <v>14</v>
      </c>
      <c r="C17" s="4">
        <v>468999</v>
      </c>
      <c r="D17" s="5">
        <v>197238</v>
      </c>
      <c r="E17" s="10">
        <f t="shared" si="0"/>
        <v>242316</v>
      </c>
      <c r="F17" s="7">
        <v>439554</v>
      </c>
      <c r="G17" s="9">
        <f t="shared" si="1"/>
        <v>0.93721735014360374</v>
      </c>
      <c r="H17" s="4">
        <v>489282</v>
      </c>
      <c r="I17" s="5">
        <v>324757</v>
      </c>
      <c r="J17" s="10">
        <f t="shared" si="2"/>
        <v>123101</v>
      </c>
      <c r="K17" s="7">
        <v>447858</v>
      </c>
      <c r="L17" s="9">
        <f t="shared" si="3"/>
        <v>0.91533716752302352</v>
      </c>
      <c r="M17" s="4">
        <v>500417</v>
      </c>
      <c r="N17" s="5">
        <v>323793</v>
      </c>
      <c r="O17" s="10">
        <f t="shared" si="4"/>
        <v>130683</v>
      </c>
      <c r="P17" s="7">
        <v>454476</v>
      </c>
      <c r="Q17" s="9">
        <f t="shared" si="5"/>
        <v>0.90819456573217938</v>
      </c>
      <c r="R17" s="4">
        <v>507666</v>
      </c>
      <c r="S17" s="5">
        <v>359076</v>
      </c>
      <c r="T17" s="10">
        <f t="shared" si="6"/>
        <v>100289</v>
      </c>
      <c r="U17" s="7">
        <v>459365</v>
      </c>
      <c r="V17" s="9">
        <f t="shared" si="7"/>
        <v>0.90485673651574061</v>
      </c>
      <c r="W17" s="4">
        <v>515229</v>
      </c>
      <c r="X17" s="5">
        <v>319734</v>
      </c>
      <c r="Y17" s="10">
        <f t="shared" si="8"/>
        <v>145545</v>
      </c>
      <c r="Z17" s="7">
        <v>465279</v>
      </c>
      <c r="AA17" s="9">
        <f t="shared" si="9"/>
        <v>0.90305281729095221</v>
      </c>
      <c r="AB17" s="4">
        <v>511436</v>
      </c>
      <c r="AC17" s="5">
        <v>360304</v>
      </c>
      <c r="AD17" s="10">
        <f t="shared" si="10"/>
        <v>110370</v>
      </c>
      <c r="AE17" s="7">
        <v>470674</v>
      </c>
      <c r="AF17" s="9">
        <f t="shared" si="11"/>
        <v>0.9202989230324029</v>
      </c>
      <c r="AG17" s="4">
        <v>520284</v>
      </c>
      <c r="AH17" s="5">
        <v>331550</v>
      </c>
      <c r="AI17" s="10">
        <f t="shared" si="12"/>
        <v>143342</v>
      </c>
      <c r="AJ17" s="7">
        <v>474892</v>
      </c>
      <c r="AK17" s="9">
        <f t="shared" si="13"/>
        <v>0.91275534131359026</v>
      </c>
      <c r="AL17" s="4">
        <v>524911</v>
      </c>
      <c r="AM17" s="5">
        <v>355301</v>
      </c>
      <c r="AN17" s="10">
        <f t="shared" si="14"/>
        <v>119148</v>
      </c>
      <c r="AO17" s="7">
        <v>474449</v>
      </c>
      <c r="AP17" s="9">
        <f t="shared" si="15"/>
        <v>0.90386560769349467</v>
      </c>
      <c r="AQ17" s="4">
        <v>530594</v>
      </c>
      <c r="AR17" s="5">
        <v>351397</v>
      </c>
      <c r="AS17" s="10">
        <f t="shared" si="16"/>
        <v>127505</v>
      </c>
      <c r="AT17" s="7">
        <v>478902</v>
      </c>
      <c r="AU17" s="9">
        <f t="shared" si="17"/>
        <v>0.90257711168991739</v>
      </c>
      <c r="AV17" s="6">
        <v>538347</v>
      </c>
      <c r="AW17" s="5">
        <v>321323</v>
      </c>
      <c r="AX17" s="10">
        <f t="shared" si="18"/>
        <v>162552</v>
      </c>
      <c r="AY17" s="7">
        <v>483875</v>
      </c>
      <c r="AZ17" s="9">
        <f t="shared" si="19"/>
        <v>0.8988161910440664</v>
      </c>
      <c r="BA17" s="6">
        <v>545177</v>
      </c>
      <c r="BB17" s="5">
        <v>388285</v>
      </c>
      <c r="BC17" s="10">
        <f t="shared" si="20"/>
        <v>100826</v>
      </c>
      <c r="BD17" s="7">
        <v>489111</v>
      </c>
      <c r="BE17" s="9">
        <f t="shared" si="21"/>
        <v>0.8971600049158347</v>
      </c>
      <c r="BF17" s="6">
        <v>551432</v>
      </c>
      <c r="BG17" s="5">
        <v>283715</v>
      </c>
      <c r="BH17" s="10">
        <f t="shared" si="22"/>
        <v>209691</v>
      </c>
      <c r="BI17" s="7">
        <v>493406</v>
      </c>
      <c r="BJ17" s="9">
        <f t="shared" si="23"/>
        <v>0.8947721568570558</v>
      </c>
    </row>
    <row r="18" spans="1:62" x14ac:dyDescent="0.3">
      <c r="A18" s="15">
        <v>9</v>
      </c>
      <c r="B18" s="2" t="s">
        <v>15</v>
      </c>
      <c r="C18" s="4">
        <v>942586</v>
      </c>
      <c r="D18" s="5">
        <v>450409</v>
      </c>
      <c r="E18" s="10">
        <f t="shared" si="0"/>
        <v>416760</v>
      </c>
      <c r="F18" s="7">
        <v>867169</v>
      </c>
      <c r="G18" s="9">
        <f t="shared" si="1"/>
        <v>0.91998926357913235</v>
      </c>
      <c r="H18" s="4">
        <v>980551</v>
      </c>
      <c r="I18" s="5">
        <v>674423</v>
      </c>
      <c r="J18" s="10">
        <f t="shared" si="2"/>
        <v>214882</v>
      </c>
      <c r="K18" s="7">
        <v>889305</v>
      </c>
      <c r="L18" s="9">
        <f t="shared" si="3"/>
        <v>0.90694415690769781</v>
      </c>
      <c r="M18" s="4">
        <v>1006440</v>
      </c>
      <c r="N18" s="5">
        <v>680700</v>
      </c>
      <c r="O18" s="10">
        <f t="shared" si="4"/>
        <v>222987</v>
      </c>
      <c r="P18" s="7">
        <v>903687</v>
      </c>
      <c r="Q18" s="9">
        <f t="shared" si="5"/>
        <v>0.89790449505186598</v>
      </c>
      <c r="R18" s="4">
        <v>1025384</v>
      </c>
      <c r="S18" s="5">
        <v>742098</v>
      </c>
      <c r="T18" s="10">
        <f t="shared" si="6"/>
        <v>174921</v>
      </c>
      <c r="U18" s="7">
        <v>917019</v>
      </c>
      <c r="V18" s="9">
        <f t="shared" si="7"/>
        <v>0.89431764100083477</v>
      </c>
      <c r="W18" s="4">
        <v>1044299</v>
      </c>
      <c r="X18" s="5">
        <v>676291</v>
      </c>
      <c r="Y18" s="10">
        <f t="shared" si="8"/>
        <v>254597</v>
      </c>
      <c r="Z18" s="7">
        <v>930888</v>
      </c>
      <c r="AA18" s="9">
        <f t="shared" si="9"/>
        <v>0.89139987685519184</v>
      </c>
      <c r="AB18" s="4">
        <v>1050898</v>
      </c>
      <c r="AC18" s="5">
        <v>755637</v>
      </c>
      <c r="AD18" s="10">
        <f t="shared" si="10"/>
        <v>187478</v>
      </c>
      <c r="AE18" s="7">
        <v>943115</v>
      </c>
      <c r="AF18" s="9">
        <f t="shared" si="11"/>
        <v>0.89743723938955067</v>
      </c>
      <c r="AG18" s="4">
        <v>1062525</v>
      </c>
      <c r="AH18" s="5">
        <v>701749</v>
      </c>
      <c r="AI18" s="10">
        <f t="shared" si="12"/>
        <v>256114</v>
      </c>
      <c r="AJ18" s="7">
        <v>957863</v>
      </c>
      <c r="AK18" s="9">
        <f t="shared" si="13"/>
        <v>0.90149690595515397</v>
      </c>
      <c r="AL18" s="4">
        <v>1073550</v>
      </c>
      <c r="AM18" s="5">
        <v>737803</v>
      </c>
      <c r="AN18" s="10">
        <f t="shared" si="14"/>
        <v>218728</v>
      </c>
      <c r="AO18" s="7">
        <v>956531</v>
      </c>
      <c r="AP18" s="9">
        <f t="shared" si="15"/>
        <v>0.89099809044758049</v>
      </c>
      <c r="AQ18" s="4">
        <v>1080975</v>
      </c>
      <c r="AR18" s="5">
        <v>734114</v>
      </c>
      <c r="AS18" s="10">
        <f t="shared" si="16"/>
        <v>233203</v>
      </c>
      <c r="AT18" s="7">
        <v>967317</v>
      </c>
      <c r="AU18" s="9">
        <f t="shared" si="17"/>
        <v>0.89485603274821346</v>
      </c>
      <c r="AV18" s="6">
        <v>1090269</v>
      </c>
      <c r="AW18" s="5">
        <v>654207</v>
      </c>
      <c r="AX18" s="10">
        <f t="shared" si="18"/>
        <v>321390</v>
      </c>
      <c r="AY18" s="7">
        <v>975597</v>
      </c>
      <c r="AZ18" s="9">
        <f t="shared" si="19"/>
        <v>0.89482228697688371</v>
      </c>
      <c r="BA18" s="6">
        <v>1099973</v>
      </c>
      <c r="BB18" s="5">
        <v>786853</v>
      </c>
      <c r="BC18" s="10">
        <f t="shared" si="20"/>
        <v>196060</v>
      </c>
      <c r="BD18" s="7">
        <v>982913</v>
      </c>
      <c r="BE18" s="9">
        <f t="shared" si="21"/>
        <v>0.89357920603505725</v>
      </c>
      <c r="BF18" s="6">
        <v>1108438</v>
      </c>
      <c r="BG18" s="5">
        <v>611866</v>
      </c>
      <c r="BH18" s="10">
        <f t="shared" si="22"/>
        <v>378212</v>
      </c>
      <c r="BI18" s="7">
        <v>990078</v>
      </c>
      <c r="BJ18" s="9">
        <f t="shared" si="23"/>
        <v>0.8932191065264814</v>
      </c>
    </row>
    <row r="19" spans="1:62" x14ac:dyDescent="0.3">
      <c r="A19" s="16">
        <v>10</v>
      </c>
      <c r="B19" s="2" t="s">
        <v>16</v>
      </c>
      <c r="C19" s="4">
        <v>240037</v>
      </c>
      <c r="D19" s="5">
        <v>80364</v>
      </c>
      <c r="E19" s="10">
        <f t="shared" si="0"/>
        <v>135934</v>
      </c>
      <c r="F19" s="7">
        <v>216298</v>
      </c>
      <c r="G19" s="9">
        <f t="shared" si="1"/>
        <v>0.90110274665988999</v>
      </c>
      <c r="H19" s="4">
        <v>252071</v>
      </c>
      <c r="I19" s="5">
        <v>134502</v>
      </c>
      <c r="J19" s="10">
        <f t="shared" si="2"/>
        <v>87814</v>
      </c>
      <c r="K19" s="7">
        <v>222316</v>
      </c>
      <c r="L19" s="9">
        <f t="shared" si="3"/>
        <v>0.88195786107882301</v>
      </c>
      <c r="M19" s="4">
        <v>260084</v>
      </c>
      <c r="N19" s="5">
        <v>137946</v>
      </c>
      <c r="O19" s="10">
        <f t="shared" si="4"/>
        <v>88633</v>
      </c>
      <c r="P19" s="7">
        <v>226579</v>
      </c>
      <c r="Q19" s="9">
        <f t="shared" si="5"/>
        <v>0.87117623537011124</v>
      </c>
      <c r="R19" s="4">
        <v>266099</v>
      </c>
      <c r="S19" s="5">
        <v>158675</v>
      </c>
      <c r="T19" s="10">
        <f t="shared" si="6"/>
        <v>72501</v>
      </c>
      <c r="U19" s="7">
        <v>231176</v>
      </c>
      <c r="V19" s="9">
        <f t="shared" si="7"/>
        <v>0.86875937151210636</v>
      </c>
      <c r="W19" s="4">
        <v>271330</v>
      </c>
      <c r="X19" s="5">
        <v>144832</v>
      </c>
      <c r="Y19" s="10">
        <f t="shared" si="8"/>
        <v>90221</v>
      </c>
      <c r="Z19" s="7">
        <v>235053</v>
      </c>
      <c r="AA19" s="9">
        <f t="shared" si="9"/>
        <v>0.86629934028673572</v>
      </c>
      <c r="AB19" s="4">
        <v>274935</v>
      </c>
      <c r="AC19" s="5">
        <v>158657</v>
      </c>
      <c r="AD19" s="10">
        <f t="shared" si="10"/>
        <v>80261</v>
      </c>
      <c r="AE19" s="7">
        <v>238918</v>
      </c>
      <c r="AF19" s="9">
        <f t="shared" si="11"/>
        <v>0.86899812682997801</v>
      </c>
      <c r="AG19" s="4">
        <v>280869</v>
      </c>
      <c r="AH19" s="5">
        <v>143889</v>
      </c>
      <c r="AI19" s="10">
        <f t="shared" si="12"/>
        <v>99934</v>
      </c>
      <c r="AJ19" s="7">
        <v>243823</v>
      </c>
      <c r="AK19" s="9">
        <f t="shared" si="13"/>
        <v>0.86810221135119936</v>
      </c>
      <c r="AL19" s="4">
        <v>283871</v>
      </c>
      <c r="AM19" s="5">
        <v>159756</v>
      </c>
      <c r="AN19" s="10">
        <f t="shared" si="14"/>
        <v>83207</v>
      </c>
      <c r="AO19" s="7">
        <v>242963</v>
      </c>
      <c r="AP19" s="9">
        <f t="shared" si="15"/>
        <v>0.85589228910314896</v>
      </c>
      <c r="AQ19" s="4">
        <v>287360</v>
      </c>
      <c r="AR19" s="5">
        <v>164682</v>
      </c>
      <c r="AS19" s="10">
        <f t="shared" si="16"/>
        <v>82624</v>
      </c>
      <c r="AT19" s="7">
        <v>247306</v>
      </c>
      <c r="AU19" s="9">
        <f t="shared" si="17"/>
        <v>0.86061386414253893</v>
      </c>
      <c r="AV19" s="6">
        <v>294065</v>
      </c>
      <c r="AW19" s="5">
        <v>151961</v>
      </c>
      <c r="AX19" s="10">
        <f t="shared" si="18"/>
        <v>100122</v>
      </c>
      <c r="AY19" s="7">
        <v>252083</v>
      </c>
      <c r="AZ19" s="9">
        <f t="shared" si="19"/>
        <v>0.85723564518048734</v>
      </c>
      <c r="BA19" s="6">
        <v>298702</v>
      </c>
      <c r="BB19" s="5">
        <v>180476</v>
      </c>
      <c r="BC19" s="10">
        <f t="shared" si="20"/>
        <v>75484</v>
      </c>
      <c r="BD19" s="7">
        <v>255960</v>
      </c>
      <c r="BE19" s="9">
        <f t="shared" si="21"/>
        <v>0.85690755334748347</v>
      </c>
      <c r="BF19" s="6">
        <v>304255</v>
      </c>
      <c r="BG19" s="5">
        <v>133011</v>
      </c>
      <c r="BH19" s="10">
        <f t="shared" si="22"/>
        <v>125454</v>
      </c>
      <c r="BI19" s="7">
        <v>258465</v>
      </c>
      <c r="BJ19" s="9">
        <f t="shared" si="23"/>
        <v>0.84950124073556721</v>
      </c>
    </row>
    <row r="20" spans="1:62" x14ac:dyDescent="0.3">
      <c r="A20" s="16">
        <v>11</v>
      </c>
      <c r="B20" s="2" t="s">
        <v>17</v>
      </c>
      <c r="C20" s="4">
        <v>4627</v>
      </c>
      <c r="D20" s="5">
        <v>1580</v>
      </c>
      <c r="E20" s="10">
        <f t="shared" si="0"/>
        <v>2746</v>
      </c>
      <c r="F20" s="7">
        <v>4326</v>
      </c>
      <c r="G20" s="9">
        <f t="shared" si="1"/>
        <v>0.93494704992435707</v>
      </c>
      <c r="H20" s="4">
        <v>4804</v>
      </c>
      <c r="I20" s="5">
        <v>2588</v>
      </c>
      <c r="J20" s="10">
        <f t="shared" si="2"/>
        <v>1881</v>
      </c>
      <c r="K20" s="7">
        <v>4469</v>
      </c>
      <c r="L20" s="9">
        <f t="shared" si="3"/>
        <v>0.93026644462947539</v>
      </c>
      <c r="M20" s="4">
        <v>5002</v>
      </c>
      <c r="N20" s="5">
        <v>2697</v>
      </c>
      <c r="O20" s="10">
        <f t="shared" si="4"/>
        <v>1885</v>
      </c>
      <c r="P20" s="7">
        <v>4582</v>
      </c>
      <c r="Q20" s="9">
        <f t="shared" si="5"/>
        <v>0.91603358656537381</v>
      </c>
      <c r="R20" s="4">
        <v>5165</v>
      </c>
      <c r="S20" s="5">
        <v>3182</v>
      </c>
      <c r="T20" s="10">
        <f t="shared" si="6"/>
        <v>1528</v>
      </c>
      <c r="U20" s="7">
        <v>4710</v>
      </c>
      <c r="V20" s="9">
        <f t="shared" si="7"/>
        <v>0.91190706679574052</v>
      </c>
      <c r="W20" s="4">
        <v>5413</v>
      </c>
      <c r="X20" s="5">
        <v>2892</v>
      </c>
      <c r="Y20" s="10">
        <f t="shared" si="8"/>
        <v>2015</v>
      </c>
      <c r="Z20" s="7">
        <v>4907</v>
      </c>
      <c r="AA20" s="9">
        <f t="shared" si="9"/>
        <v>0.90652133752078334</v>
      </c>
      <c r="AB20" s="4">
        <v>5567</v>
      </c>
      <c r="AC20" s="5">
        <v>3198</v>
      </c>
      <c r="AD20" s="10">
        <f t="shared" si="10"/>
        <v>1868</v>
      </c>
      <c r="AE20" s="7">
        <v>5066</v>
      </c>
      <c r="AF20" s="9">
        <f t="shared" si="11"/>
        <v>0.91000538889886828</v>
      </c>
      <c r="AG20" s="4">
        <v>5796</v>
      </c>
      <c r="AH20" s="5">
        <v>3006</v>
      </c>
      <c r="AI20" s="10">
        <f t="shared" si="12"/>
        <v>2249</v>
      </c>
      <c r="AJ20" s="7">
        <v>5255</v>
      </c>
      <c r="AK20" s="9">
        <f t="shared" si="13"/>
        <v>0.90665976535541748</v>
      </c>
      <c r="AL20" s="4">
        <v>6001</v>
      </c>
      <c r="AM20" s="5">
        <v>3269</v>
      </c>
      <c r="AN20" s="10">
        <f t="shared" si="14"/>
        <v>2130</v>
      </c>
      <c r="AO20" s="7">
        <v>5399</v>
      </c>
      <c r="AP20" s="9">
        <f t="shared" si="15"/>
        <v>0.89968338610231624</v>
      </c>
      <c r="AQ20" s="4">
        <v>6197</v>
      </c>
      <c r="AR20" s="5">
        <v>3349</v>
      </c>
      <c r="AS20" s="10">
        <f t="shared" si="16"/>
        <v>2199</v>
      </c>
      <c r="AT20" s="7">
        <v>5548</v>
      </c>
      <c r="AU20" s="9">
        <f t="shared" si="17"/>
        <v>0.89527190576085203</v>
      </c>
      <c r="AV20" s="6">
        <v>6390</v>
      </c>
      <c r="AW20" s="5">
        <v>2998</v>
      </c>
      <c r="AX20" s="10">
        <f t="shared" si="18"/>
        <v>2665</v>
      </c>
      <c r="AY20" s="7">
        <v>5663</v>
      </c>
      <c r="AZ20" s="9">
        <f t="shared" si="19"/>
        <v>0.88622848200312987</v>
      </c>
      <c r="BA20" s="6">
        <v>6600</v>
      </c>
      <c r="BB20" s="5">
        <v>3875</v>
      </c>
      <c r="BC20" s="10">
        <f t="shared" si="20"/>
        <v>1949</v>
      </c>
      <c r="BD20" s="7">
        <v>5824</v>
      </c>
      <c r="BE20" s="9">
        <f t="shared" si="21"/>
        <v>0.88242424242424244</v>
      </c>
      <c r="BF20" s="6">
        <v>6793</v>
      </c>
      <c r="BG20" s="5">
        <v>3009</v>
      </c>
      <c r="BH20" s="10">
        <f t="shared" si="22"/>
        <v>2960</v>
      </c>
      <c r="BI20" s="7">
        <v>5969</v>
      </c>
      <c r="BJ20" s="9">
        <f t="shared" si="23"/>
        <v>0.87869866038569111</v>
      </c>
    </row>
    <row r="21" spans="1:62" x14ac:dyDescent="0.3">
      <c r="A21" s="16">
        <v>12</v>
      </c>
      <c r="B21" s="2" t="s">
        <v>18</v>
      </c>
      <c r="C21" s="4">
        <v>8478</v>
      </c>
      <c r="D21" s="5">
        <v>1756</v>
      </c>
      <c r="E21" s="10">
        <f t="shared" si="0"/>
        <v>5311</v>
      </c>
      <c r="F21" s="7">
        <v>7067</v>
      </c>
      <c r="G21" s="9">
        <f t="shared" si="1"/>
        <v>0.83356923802783678</v>
      </c>
      <c r="H21" s="4">
        <v>8658</v>
      </c>
      <c r="I21" s="5">
        <v>2591</v>
      </c>
      <c r="J21" s="10">
        <f t="shared" si="2"/>
        <v>4658</v>
      </c>
      <c r="K21" s="7">
        <v>7249</v>
      </c>
      <c r="L21" s="9">
        <f t="shared" si="3"/>
        <v>0.83726033726033722</v>
      </c>
      <c r="M21" s="4">
        <v>9000</v>
      </c>
      <c r="N21" s="5">
        <v>2698</v>
      </c>
      <c r="O21" s="10">
        <f t="shared" si="4"/>
        <v>4690</v>
      </c>
      <c r="P21" s="7">
        <v>7388</v>
      </c>
      <c r="Q21" s="9">
        <f t="shared" si="5"/>
        <v>0.82088888888888889</v>
      </c>
      <c r="R21" s="4">
        <v>9200</v>
      </c>
      <c r="S21" s="5">
        <v>3260</v>
      </c>
      <c r="T21" s="10">
        <f t="shared" si="6"/>
        <v>4255</v>
      </c>
      <c r="U21" s="7">
        <v>7515</v>
      </c>
      <c r="V21" s="9">
        <f t="shared" si="7"/>
        <v>0.8168478260869565</v>
      </c>
      <c r="W21" s="4">
        <v>9390</v>
      </c>
      <c r="X21" s="5">
        <v>2915</v>
      </c>
      <c r="Y21" s="10">
        <f t="shared" si="8"/>
        <v>4733</v>
      </c>
      <c r="Z21" s="7">
        <v>7648</v>
      </c>
      <c r="AA21" s="9">
        <f t="shared" si="9"/>
        <v>0.81448349307774226</v>
      </c>
      <c r="AB21" s="4">
        <v>9574</v>
      </c>
      <c r="AC21" s="5">
        <v>3382</v>
      </c>
      <c r="AD21" s="10">
        <f t="shared" si="10"/>
        <v>4390</v>
      </c>
      <c r="AE21" s="7">
        <v>7772</v>
      </c>
      <c r="AF21" s="9">
        <f t="shared" si="11"/>
        <v>0.81178190933778982</v>
      </c>
      <c r="AG21" s="4">
        <v>9762</v>
      </c>
      <c r="AH21" s="5">
        <v>3097</v>
      </c>
      <c r="AI21" s="10">
        <f t="shared" si="12"/>
        <v>4798</v>
      </c>
      <c r="AJ21" s="7">
        <v>7895</v>
      </c>
      <c r="AK21" s="9">
        <f t="shared" si="13"/>
        <v>0.80874820733456254</v>
      </c>
      <c r="AL21" s="4">
        <v>9940</v>
      </c>
      <c r="AM21" s="5">
        <v>3374</v>
      </c>
      <c r="AN21" s="10">
        <f t="shared" si="14"/>
        <v>4513</v>
      </c>
      <c r="AO21" s="7">
        <v>7887</v>
      </c>
      <c r="AP21" s="9">
        <f t="shared" si="15"/>
        <v>0.79346076458752512</v>
      </c>
      <c r="AQ21" s="4">
        <v>10144</v>
      </c>
      <c r="AR21" s="5">
        <v>3285</v>
      </c>
      <c r="AS21" s="10">
        <f t="shared" si="16"/>
        <v>4713</v>
      </c>
      <c r="AT21" s="7">
        <v>7998</v>
      </c>
      <c r="AU21" s="9">
        <f t="shared" si="17"/>
        <v>0.78844637223974767</v>
      </c>
      <c r="AV21" s="6">
        <v>10345</v>
      </c>
      <c r="AW21" s="5">
        <v>3283</v>
      </c>
      <c r="AX21" s="10">
        <f t="shared" si="18"/>
        <v>4807</v>
      </c>
      <c r="AY21" s="7">
        <v>8090</v>
      </c>
      <c r="AZ21" s="9">
        <f t="shared" si="19"/>
        <v>0.7820202996616723</v>
      </c>
      <c r="BA21" s="6">
        <v>10561</v>
      </c>
      <c r="BB21" s="5">
        <v>3991</v>
      </c>
      <c r="BC21" s="10">
        <f t="shared" si="20"/>
        <v>4206</v>
      </c>
      <c r="BD21" s="7">
        <v>8197</v>
      </c>
      <c r="BE21" s="9">
        <f t="shared" si="21"/>
        <v>0.7761575608370419</v>
      </c>
      <c r="BF21" s="6">
        <v>10737</v>
      </c>
      <c r="BG21" s="5">
        <v>2524</v>
      </c>
      <c r="BH21" s="10">
        <f t="shared" si="22"/>
        <v>5829</v>
      </c>
      <c r="BI21" s="7">
        <v>8353</v>
      </c>
      <c r="BJ21" s="9">
        <f t="shared" si="23"/>
        <v>0.7779640495482909</v>
      </c>
    </row>
    <row r="22" spans="1:62" x14ac:dyDescent="0.3">
      <c r="A22" s="16">
        <v>13</v>
      </c>
      <c r="B22" s="2" t="s">
        <v>19</v>
      </c>
      <c r="C22" s="4">
        <v>5114</v>
      </c>
      <c r="D22" s="5">
        <v>888</v>
      </c>
      <c r="E22" s="10">
        <f t="shared" si="0"/>
        <v>3326</v>
      </c>
      <c r="F22" s="7">
        <v>4214</v>
      </c>
      <c r="G22" s="9">
        <f t="shared" si="1"/>
        <v>0.82401251466562375</v>
      </c>
      <c r="H22" s="4">
        <v>5254</v>
      </c>
      <c r="I22" s="5">
        <v>1746</v>
      </c>
      <c r="J22" s="10">
        <f t="shared" si="2"/>
        <v>2623</v>
      </c>
      <c r="K22" s="7">
        <v>4369</v>
      </c>
      <c r="L22" s="9">
        <f t="shared" si="3"/>
        <v>0.83155690902169777</v>
      </c>
      <c r="M22" s="4">
        <v>5450</v>
      </c>
      <c r="N22" s="5">
        <v>1834</v>
      </c>
      <c r="O22" s="10">
        <f t="shared" si="4"/>
        <v>2621</v>
      </c>
      <c r="P22" s="7">
        <v>4455</v>
      </c>
      <c r="Q22" s="9">
        <f t="shared" si="5"/>
        <v>0.81743119266055042</v>
      </c>
      <c r="R22" s="4">
        <v>5613</v>
      </c>
      <c r="S22" s="5">
        <v>2278</v>
      </c>
      <c r="T22" s="10">
        <f t="shared" si="6"/>
        <v>2293</v>
      </c>
      <c r="U22" s="7">
        <v>4571</v>
      </c>
      <c r="V22" s="9">
        <f t="shared" si="7"/>
        <v>0.81435952253696775</v>
      </c>
      <c r="W22" s="4">
        <v>5760</v>
      </c>
      <c r="X22" s="5">
        <v>2104</v>
      </c>
      <c r="Y22" s="10">
        <f t="shared" si="8"/>
        <v>2575</v>
      </c>
      <c r="Z22" s="7">
        <v>4679</v>
      </c>
      <c r="AA22" s="9">
        <f t="shared" si="9"/>
        <v>0.81232638888888886</v>
      </c>
      <c r="AB22" s="4">
        <v>5857</v>
      </c>
      <c r="AC22" s="5">
        <v>2383</v>
      </c>
      <c r="AD22" s="10">
        <f t="shared" si="10"/>
        <v>2354</v>
      </c>
      <c r="AE22" s="7">
        <v>4737</v>
      </c>
      <c r="AF22" s="9">
        <f t="shared" si="11"/>
        <v>0.80877582380058055</v>
      </c>
      <c r="AG22" s="4">
        <v>5986</v>
      </c>
      <c r="AH22" s="5">
        <v>2160</v>
      </c>
      <c r="AI22" s="10">
        <f t="shared" si="12"/>
        <v>2674</v>
      </c>
      <c r="AJ22" s="7">
        <v>4834</v>
      </c>
      <c r="AK22" s="9">
        <f t="shared" si="13"/>
        <v>0.80755095222185103</v>
      </c>
      <c r="AL22" s="4">
        <v>6045</v>
      </c>
      <c r="AM22" s="5">
        <v>2350</v>
      </c>
      <c r="AN22" s="10">
        <f t="shared" si="14"/>
        <v>2512</v>
      </c>
      <c r="AO22" s="7">
        <v>4862</v>
      </c>
      <c r="AP22" s="9">
        <f t="shared" si="15"/>
        <v>0.80430107526881722</v>
      </c>
      <c r="AQ22" s="4">
        <v>6085</v>
      </c>
      <c r="AR22" s="5">
        <v>2169</v>
      </c>
      <c r="AS22" s="10">
        <f t="shared" si="16"/>
        <v>2707</v>
      </c>
      <c r="AT22" s="7">
        <v>4876</v>
      </c>
      <c r="AU22" s="9">
        <f t="shared" si="17"/>
        <v>0.80131470829909612</v>
      </c>
      <c r="AV22" s="6">
        <v>6118</v>
      </c>
      <c r="AW22" s="5">
        <v>2151</v>
      </c>
      <c r="AX22" s="10">
        <f t="shared" si="18"/>
        <v>2762</v>
      </c>
      <c r="AY22" s="7">
        <v>4913</v>
      </c>
      <c r="AZ22" s="9">
        <f t="shared" si="19"/>
        <v>0.8030402092186989</v>
      </c>
      <c r="BA22" s="6">
        <v>6243</v>
      </c>
      <c r="BB22" s="5">
        <v>2765</v>
      </c>
      <c r="BC22" s="10">
        <f t="shared" si="20"/>
        <v>2241</v>
      </c>
      <c r="BD22" s="7">
        <v>5006</v>
      </c>
      <c r="BE22" s="9">
        <f t="shared" si="21"/>
        <v>0.80185808105077683</v>
      </c>
      <c r="BF22" s="6">
        <v>6354</v>
      </c>
      <c r="BG22" s="5">
        <v>1992</v>
      </c>
      <c r="BH22" s="10">
        <f t="shared" si="22"/>
        <v>3070</v>
      </c>
      <c r="BI22" s="7">
        <v>5062</v>
      </c>
      <c r="BJ22" s="9">
        <f t="shared" si="23"/>
        <v>0.79666351904312249</v>
      </c>
    </row>
    <row r="23" spans="1:62" x14ac:dyDescent="0.3">
      <c r="A23" s="16">
        <v>14</v>
      </c>
      <c r="B23" s="2" t="s">
        <v>20</v>
      </c>
      <c r="C23" s="4">
        <v>8990</v>
      </c>
      <c r="D23" s="5">
        <v>1670</v>
      </c>
      <c r="E23" s="10">
        <f t="shared" si="0"/>
        <v>5205</v>
      </c>
      <c r="F23" s="7">
        <v>6875</v>
      </c>
      <c r="G23" s="9">
        <f t="shared" si="1"/>
        <v>0.76473859844271408</v>
      </c>
      <c r="H23" s="4">
        <v>9148</v>
      </c>
      <c r="I23" s="5">
        <v>3028</v>
      </c>
      <c r="J23" s="10">
        <f t="shared" si="2"/>
        <v>4032</v>
      </c>
      <c r="K23" s="7">
        <v>7060</v>
      </c>
      <c r="L23" s="9">
        <f t="shared" si="3"/>
        <v>0.77175338871884569</v>
      </c>
      <c r="M23" s="4">
        <v>9439</v>
      </c>
      <c r="N23" s="5">
        <v>2891</v>
      </c>
      <c r="O23" s="10">
        <f t="shared" si="4"/>
        <v>4286</v>
      </c>
      <c r="P23" s="7">
        <v>7177</v>
      </c>
      <c r="Q23" s="9">
        <f t="shared" si="5"/>
        <v>0.760355969912067</v>
      </c>
      <c r="R23" s="4">
        <v>9686</v>
      </c>
      <c r="S23" s="5">
        <v>4264</v>
      </c>
      <c r="T23" s="10">
        <f t="shared" si="6"/>
        <v>3037</v>
      </c>
      <c r="U23" s="7">
        <v>7301</v>
      </c>
      <c r="V23" s="9">
        <f t="shared" si="7"/>
        <v>0.75376832541812921</v>
      </c>
      <c r="W23" s="4">
        <v>9887</v>
      </c>
      <c r="X23" s="5">
        <v>3715</v>
      </c>
      <c r="Y23" s="10">
        <f t="shared" si="8"/>
        <v>3666</v>
      </c>
      <c r="Z23" s="7">
        <v>7381</v>
      </c>
      <c r="AA23" s="9">
        <f t="shared" si="9"/>
        <v>0.74653585516334586</v>
      </c>
      <c r="AB23" s="4">
        <v>9988</v>
      </c>
      <c r="AC23" s="5">
        <v>4239</v>
      </c>
      <c r="AD23" s="10">
        <f t="shared" si="10"/>
        <v>3213</v>
      </c>
      <c r="AE23" s="7">
        <v>7452</v>
      </c>
      <c r="AF23" s="9">
        <f t="shared" si="11"/>
        <v>0.74609531437725274</v>
      </c>
      <c r="AG23" s="4">
        <v>10094</v>
      </c>
      <c r="AH23" s="5">
        <v>3756</v>
      </c>
      <c r="AI23" s="10">
        <f t="shared" si="12"/>
        <v>3780</v>
      </c>
      <c r="AJ23" s="7">
        <v>7536</v>
      </c>
      <c r="AK23" s="9">
        <f t="shared" si="13"/>
        <v>0.74658212799682977</v>
      </c>
      <c r="AL23" s="4">
        <v>10242</v>
      </c>
      <c r="AM23" s="5">
        <v>3760</v>
      </c>
      <c r="AN23" s="10">
        <f t="shared" si="14"/>
        <v>3779</v>
      </c>
      <c r="AO23" s="7">
        <v>7539</v>
      </c>
      <c r="AP23" s="9">
        <f t="shared" si="15"/>
        <v>0.73608670181605151</v>
      </c>
      <c r="AQ23" s="4">
        <v>10385</v>
      </c>
      <c r="AR23" s="5">
        <v>3559</v>
      </c>
      <c r="AS23" s="10">
        <f t="shared" si="16"/>
        <v>4051</v>
      </c>
      <c r="AT23" s="7">
        <v>7610</v>
      </c>
      <c r="AU23" s="9">
        <f t="shared" si="17"/>
        <v>0.73278767453057292</v>
      </c>
      <c r="AV23" s="6">
        <v>10603</v>
      </c>
      <c r="AW23" s="5">
        <v>3294</v>
      </c>
      <c r="AX23" s="10">
        <f t="shared" si="18"/>
        <v>4399</v>
      </c>
      <c r="AY23" s="7">
        <v>7693</v>
      </c>
      <c r="AZ23" s="9">
        <f t="shared" si="19"/>
        <v>0.72554937281901344</v>
      </c>
      <c r="BA23" s="6">
        <v>10741</v>
      </c>
      <c r="BB23" s="5">
        <v>4498</v>
      </c>
      <c r="BC23" s="10">
        <f t="shared" si="20"/>
        <v>3221</v>
      </c>
      <c r="BD23" s="7">
        <v>7719</v>
      </c>
      <c r="BE23" s="9">
        <f t="shared" si="21"/>
        <v>0.71864817056140029</v>
      </c>
      <c r="BF23" s="6">
        <v>10929</v>
      </c>
      <c r="BG23" s="5">
        <v>2891</v>
      </c>
      <c r="BH23" s="10">
        <f t="shared" si="22"/>
        <v>4863</v>
      </c>
      <c r="BI23" s="7">
        <v>7754</v>
      </c>
      <c r="BJ23" s="9">
        <f t="shared" si="23"/>
        <v>0.7094885167901912</v>
      </c>
    </row>
    <row r="24" spans="1:62" x14ac:dyDescent="0.3">
      <c r="A24" s="16">
        <v>15</v>
      </c>
      <c r="B24" s="2" t="s">
        <v>21</v>
      </c>
      <c r="C24" s="4">
        <v>4276</v>
      </c>
      <c r="D24" s="5">
        <v>1306</v>
      </c>
      <c r="E24" s="10">
        <f t="shared" si="0"/>
        <v>2141</v>
      </c>
      <c r="F24" s="7">
        <v>3447</v>
      </c>
      <c r="G24" s="9">
        <f t="shared" si="1"/>
        <v>0.80612722170252571</v>
      </c>
      <c r="H24" s="4">
        <v>4461</v>
      </c>
      <c r="I24" s="5">
        <v>1870</v>
      </c>
      <c r="J24" s="10">
        <f t="shared" si="2"/>
        <v>1675</v>
      </c>
      <c r="K24" s="7">
        <v>3545</v>
      </c>
      <c r="L24" s="9">
        <f t="shared" si="3"/>
        <v>0.79466487334678326</v>
      </c>
      <c r="M24" s="4">
        <v>4577</v>
      </c>
      <c r="N24" s="5">
        <v>1926</v>
      </c>
      <c r="O24" s="10">
        <f t="shared" si="4"/>
        <v>1681</v>
      </c>
      <c r="P24" s="7">
        <v>3607</v>
      </c>
      <c r="Q24" s="9">
        <f t="shared" si="5"/>
        <v>0.78807078872623992</v>
      </c>
      <c r="R24" s="4">
        <v>4676</v>
      </c>
      <c r="S24" s="5">
        <v>2202</v>
      </c>
      <c r="T24" s="10">
        <f t="shared" si="6"/>
        <v>1466</v>
      </c>
      <c r="U24" s="7">
        <v>3668</v>
      </c>
      <c r="V24" s="9">
        <f t="shared" si="7"/>
        <v>0.78443113772455086</v>
      </c>
      <c r="W24" s="4">
        <v>4739</v>
      </c>
      <c r="X24" s="5">
        <v>2069</v>
      </c>
      <c r="Y24" s="10">
        <f t="shared" si="8"/>
        <v>1650</v>
      </c>
      <c r="Z24" s="7">
        <v>3719</v>
      </c>
      <c r="AA24" s="9">
        <f t="shared" si="9"/>
        <v>0.78476471829499894</v>
      </c>
      <c r="AB24" s="4">
        <v>4810</v>
      </c>
      <c r="AC24" s="5">
        <v>2315</v>
      </c>
      <c r="AD24" s="10">
        <f t="shared" si="10"/>
        <v>1461</v>
      </c>
      <c r="AE24" s="7">
        <v>3776</v>
      </c>
      <c r="AF24" s="9">
        <f t="shared" si="11"/>
        <v>0.78503118503118507</v>
      </c>
      <c r="AG24" s="4">
        <v>4912</v>
      </c>
      <c r="AH24" s="5">
        <v>2112</v>
      </c>
      <c r="AI24" s="10">
        <f t="shared" si="12"/>
        <v>1767</v>
      </c>
      <c r="AJ24" s="7">
        <v>3879</v>
      </c>
      <c r="AK24" s="9">
        <f t="shared" si="13"/>
        <v>0.7896986970684039</v>
      </c>
      <c r="AL24" s="4">
        <v>5025</v>
      </c>
      <c r="AM24" s="5">
        <v>2211</v>
      </c>
      <c r="AN24" s="10">
        <f t="shared" si="14"/>
        <v>1737</v>
      </c>
      <c r="AO24" s="7">
        <v>3948</v>
      </c>
      <c r="AP24" s="9">
        <f t="shared" si="15"/>
        <v>0.78567164179104476</v>
      </c>
      <c r="AQ24" s="4">
        <v>5062</v>
      </c>
      <c r="AR24" s="5">
        <v>2090</v>
      </c>
      <c r="AS24" s="10">
        <f t="shared" si="16"/>
        <v>1902</v>
      </c>
      <c r="AT24" s="7">
        <v>3992</v>
      </c>
      <c r="AU24" s="9">
        <f t="shared" si="17"/>
        <v>0.78862109838008687</v>
      </c>
      <c r="AV24" s="6">
        <v>5081</v>
      </c>
      <c r="AW24" s="5">
        <v>2138</v>
      </c>
      <c r="AX24" s="10">
        <f t="shared" si="18"/>
        <v>1897</v>
      </c>
      <c r="AY24" s="7">
        <v>4035</v>
      </c>
      <c r="AZ24" s="9">
        <f t="shared" si="19"/>
        <v>0.79413501279275733</v>
      </c>
      <c r="BA24" s="6">
        <v>5100</v>
      </c>
      <c r="BB24" s="5">
        <v>2613</v>
      </c>
      <c r="BC24" s="10">
        <f t="shared" si="20"/>
        <v>1497</v>
      </c>
      <c r="BD24" s="7">
        <v>4110</v>
      </c>
      <c r="BE24" s="9">
        <f t="shared" si="21"/>
        <v>0.80588235294117649</v>
      </c>
      <c r="BF24" s="6">
        <v>5225</v>
      </c>
      <c r="BG24" s="5">
        <v>2069</v>
      </c>
      <c r="BH24" s="10">
        <f t="shared" si="22"/>
        <v>2130</v>
      </c>
      <c r="BI24" s="7">
        <v>4199</v>
      </c>
      <c r="BJ24" s="9">
        <f t="shared" si="23"/>
        <v>0.80363636363636359</v>
      </c>
    </row>
    <row r="25" spans="1:62" x14ac:dyDescent="0.3">
      <c r="A25" s="16">
        <v>16</v>
      </c>
      <c r="B25" s="2" t="s">
        <v>22</v>
      </c>
      <c r="C25" s="4">
        <v>17899</v>
      </c>
      <c r="D25" s="5">
        <v>7031</v>
      </c>
      <c r="E25" s="10">
        <f t="shared" si="0"/>
        <v>9176</v>
      </c>
      <c r="F25" s="7">
        <v>16207</v>
      </c>
      <c r="G25" s="9">
        <f t="shared" si="1"/>
        <v>0.9054695793061065</v>
      </c>
      <c r="H25" s="4">
        <v>18755</v>
      </c>
      <c r="I25" s="5">
        <v>10424</v>
      </c>
      <c r="J25" s="10">
        <f t="shared" si="2"/>
        <v>6390</v>
      </c>
      <c r="K25" s="7">
        <v>16814</v>
      </c>
      <c r="L25" s="9">
        <f t="shared" si="3"/>
        <v>0.89650759797387358</v>
      </c>
      <c r="M25" s="4">
        <v>19474</v>
      </c>
      <c r="N25" s="5">
        <v>10932</v>
      </c>
      <c r="O25" s="10">
        <f t="shared" si="4"/>
        <v>6356</v>
      </c>
      <c r="P25" s="7">
        <v>17288</v>
      </c>
      <c r="Q25" s="9">
        <f t="shared" si="5"/>
        <v>0.88774776625243912</v>
      </c>
      <c r="R25" s="4">
        <v>20054</v>
      </c>
      <c r="S25" s="5">
        <v>12784</v>
      </c>
      <c r="T25" s="10">
        <f t="shared" si="6"/>
        <v>5039</v>
      </c>
      <c r="U25" s="7">
        <v>17823</v>
      </c>
      <c r="V25" s="9">
        <f t="shared" si="7"/>
        <v>0.88875037399022638</v>
      </c>
      <c r="W25" s="4">
        <v>20636</v>
      </c>
      <c r="X25" s="5">
        <v>11878</v>
      </c>
      <c r="Y25" s="10">
        <f t="shared" si="8"/>
        <v>6408</v>
      </c>
      <c r="Z25" s="7">
        <v>18286</v>
      </c>
      <c r="AA25" s="9">
        <f t="shared" si="9"/>
        <v>0.88612134134522191</v>
      </c>
      <c r="AB25" s="4">
        <v>21050</v>
      </c>
      <c r="AC25" s="5">
        <v>12766</v>
      </c>
      <c r="AD25" s="10">
        <f t="shared" si="10"/>
        <v>5835</v>
      </c>
      <c r="AE25" s="7">
        <v>18601</v>
      </c>
      <c r="AF25" s="9">
        <f t="shared" si="11"/>
        <v>0.88365795724465557</v>
      </c>
      <c r="AG25" s="4">
        <v>21400</v>
      </c>
      <c r="AH25" s="5">
        <v>12608</v>
      </c>
      <c r="AI25" s="10">
        <f t="shared" si="12"/>
        <v>6226</v>
      </c>
      <c r="AJ25" s="7">
        <v>18834</v>
      </c>
      <c r="AK25" s="9">
        <f t="shared" si="13"/>
        <v>0.88009345794392524</v>
      </c>
      <c r="AL25" s="4">
        <v>21800</v>
      </c>
      <c r="AM25" s="5">
        <v>13282</v>
      </c>
      <c r="AN25" s="10">
        <f t="shared" si="14"/>
        <v>5651</v>
      </c>
      <c r="AO25" s="7">
        <v>18933</v>
      </c>
      <c r="AP25" s="9">
        <f t="shared" si="15"/>
        <v>0.86848623853211004</v>
      </c>
      <c r="AQ25" s="4">
        <v>22208</v>
      </c>
      <c r="AR25" s="5">
        <v>13173</v>
      </c>
      <c r="AS25" s="10">
        <f t="shared" si="16"/>
        <v>6031</v>
      </c>
      <c r="AT25" s="7">
        <v>19204</v>
      </c>
      <c r="AU25" s="9">
        <f t="shared" si="17"/>
        <v>0.86473342939481268</v>
      </c>
      <c r="AV25" s="6">
        <v>22621</v>
      </c>
      <c r="AW25" s="5">
        <v>12580</v>
      </c>
      <c r="AX25" s="10">
        <f t="shared" si="18"/>
        <v>6841</v>
      </c>
      <c r="AY25" s="7">
        <v>19421</v>
      </c>
      <c r="AZ25" s="9">
        <f t="shared" si="19"/>
        <v>0.85853852614826931</v>
      </c>
      <c r="BA25" s="6">
        <v>22940</v>
      </c>
      <c r="BB25" s="5">
        <v>14877</v>
      </c>
      <c r="BC25" s="10">
        <f t="shared" si="20"/>
        <v>4727</v>
      </c>
      <c r="BD25" s="7">
        <v>19604</v>
      </c>
      <c r="BE25" s="9">
        <f t="shared" si="21"/>
        <v>0.85457715780296428</v>
      </c>
      <c r="BF25" s="6">
        <v>23427</v>
      </c>
      <c r="BG25" s="5">
        <v>10288</v>
      </c>
      <c r="BH25" s="10">
        <f t="shared" si="22"/>
        <v>9618</v>
      </c>
      <c r="BI25" s="7">
        <v>19906</v>
      </c>
      <c r="BJ25" s="9">
        <f t="shared" si="23"/>
        <v>0.84970333376019125</v>
      </c>
    </row>
    <row r="26" spans="1:62" x14ac:dyDescent="0.3">
      <c r="A26" s="16">
        <v>17</v>
      </c>
      <c r="B26" s="2" t="s">
        <v>23</v>
      </c>
      <c r="C26" s="4">
        <v>17088</v>
      </c>
      <c r="D26" s="5">
        <v>6082</v>
      </c>
      <c r="E26" s="10">
        <f t="shared" si="0"/>
        <v>8482</v>
      </c>
      <c r="F26" s="7">
        <v>14564</v>
      </c>
      <c r="G26" s="9">
        <f t="shared" si="1"/>
        <v>0.85229400749063666</v>
      </c>
      <c r="H26" s="4">
        <v>18578</v>
      </c>
      <c r="I26" s="5">
        <v>9011</v>
      </c>
      <c r="J26" s="10">
        <f t="shared" si="2"/>
        <v>6871</v>
      </c>
      <c r="K26" s="7">
        <v>15882</v>
      </c>
      <c r="L26" s="9">
        <f t="shared" si="3"/>
        <v>0.85488211863494457</v>
      </c>
      <c r="M26" s="4">
        <v>20216</v>
      </c>
      <c r="N26" s="5">
        <v>10247</v>
      </c>
      <c r="O26" s="10">
        <f t="shared" si="4"/>
        <v>6861</v>
      </c>
      <c r="P26" s="7">
        <v>17108</v>
      </c>
      <c r="Q26" s="9">
        <f t="shared" si="5"/>
        <v>0.84626038781163437</v>
      </c>
      <c r="R26" s="4">
        <v>21462</v>
      </c>
      <c r="S26" s="5">
        <v>12237</v>
      </c>
      <c r="T26" s="10">
        <f t="shared" si="6"/>
        <v>5910</v>
      </c>
      <c r="U26" s="7">
        <v>18147</v>
      </c>
      <c r="V26" s="9">
        <f t="shared" si="7"/>
        <v>0.8455409561084708</v>
      </c>
      <c r="W26" s="4">
        <v>22076</v>
      </c>
      <c r="X26" s="5">
        <v>11601</v>
      </c>
      <c r="Y26" s="10">
        <f t="shared" si="8"/>
        <v>7014</v>
      </c>
      <c r="Z26" s="7">
        <v>18615</v>
      </c>
      <c r="AA26" s="9">
        <f t="shared" si="9"/>
        <v>0.84322341003805035</v>
      </c>
      <c r="AB26" s="4">
        <v>22408</v>
      </c>
      <c r="AC26" s="5">
        <v>12811</v>
      </c>
      <c r="AD26" s="10">
        <f t="shared" si="10"/>
        <v>6012</v>
      </c>
      <c r="AE26" s="7">
        <v>18823</v>
      </c>
      <c r="AF26" s="9">
        <f t="shared" si="11"/>
        <v>0.84001249553730806</v>
      </c>
      <c r="AG26" s="4">
        <v>22678</v>
      </c>
      <c r="AH26" s="5">
        <v>12112</v>
      </c>
      <c r="AI26" s="10">
        <f t="shared" si="12"/>
        <v>6834</v>
      </c>
      <c r="AJ26" s="7">
        <v>18946</v>
      </c>
      <c r="AK26" s="9">
        <f t="shared" si="13"/>
        <v>0.83543522356468825</v>
      </c>
      <c r="AL26" s="4">
        <v>22963</v>
      </c>
      <c r="AM26" s="5">
        <v>12255</v>
      </c>
      <c r="AN26" s="10">
        <f t="shared" si="14"/>
        <v>6687</v>
      </c>
      <c r="AO26" s="7">
        <v>18942</v>
      </c>
      <c r="AP26" s="9">
        <f t="shared" si="15"/>
        <v>0.8248922179157776</v>
      </c>
      <c r="AQ26" s="4">
        <v>23182</v>
      </c>
      <c r="AR26" s="5">
        <v>11614</v>
      </c>
      <c r="AS26" s="10">
        <f t="shared" si="16"/>
        <v>7396</v>
      </c>
      <c r="AT26" s="7">
        <v>19010</v>
      </c>
      <c r="AU26" s="9">
        <f t="shared" si="17"/>
        <v>0.82003278405659563</v>
      </c>
      <c r="AV26" s="6">
        <v>23430</v>
      </c>
      <c r="AW26" s="5">
        <v>11396</v>
      </c>
      <c r="AX26" s="10">
        <f t="shared" si="18"/>
        <v>7700</v>
      </c>
      <c r="AY26" s="7">
        <v>19096</v>
      </c>
      <c r="AZ26" s="9">
        <f t="shared" si="19"/>
        <v>0.81502347417840371</v>
      </c>
      <c r="BA26" s="6">
        <v>23576</v>
      </c>
      <c r="BB26" s="5">
        <v>13571</v>
      </c>
      <c r="BC26" s="10">
        <f t="shared" si="20"/>
        <v>5574</v>
      </c>
      <c r="BD26" s="7">
        <v>19145</v>
      </c>
      <c r="BE26" s="9">
        <f t="shared" si="21"/>
        <v>0.81205463182897863</v>
      </c>
      <c r="BF26" s="6">
        <v>23703</v>
      </c>
      <c r="BG26" s="5">
        <v>11005</v>
      </c>
      <c r="BH26" s="10">
        <f t="shared" si="22"/>
        <v>8225</v>
      </c>
      <c r="BI26" s="7">
        <v>19230</v>
      </c>
      <c r="BJ26" s="9">
        <f t="shared" si="23"/>
        <v>0.81128971016327045</v>
      </c>
    </row>
    <row r="27" spans="1:62" x14ac:dyDescent="0.3">
      <c r="A27" s="16">
        <v>18</v>
      </c>
      <c r="B27" s="2" t="s">
        <v>24</v>
      </c>
      <c r="C27" s="4">
        <v>126325</v>
      </c>
      <c r="D27" s="5">
        <v>28557</v>
      </c>
      <c r="E27" s="10">
        <f t="shared" si="0"/>
        <v>75972</v>
      </c>
      <c r="F27" s="7">
        <v>104529</v>
      </c>
      <c r="G27" s="9">
        <f t="shared" si="1"/>
        <v>0.82746091430833169</v>
      </c>
      <c r="H27" s="4">
        <v>130935</v>
      </c>
      <c r="I27" s="5">
        <v>54797</v>
      </c>
      <c r="J27" s="10">
        <f t="shared" si="2"/>
        <v>52739</v>
      </c>
      <c r="K27" s="7">
        <v>107536</v>
      </c>
      <c r="L27" s="9">
        <f t="shared" si="3"/>
        <v>0.82129300798105931</v>
      </c>
      <c r="M27" s="4">
        <v>136177</v>
      </c>
      <c r="N27" s="5">
        <v>56914</v>
      </c>
      <c r="O27" s="10">
        <f t="shared" si="4"/>
        <v>53060</v>
      </c>
      <c r="P27" s="7">
        <v>109974</v>
      </c>
      <c r="Q27" s="9">
        <f t="shared" si="5"/>
        <v>0.80758130961909869</v>
      </c>
      <c r="R27" s="4">
        <v>139635</v>
      </c>
      <c r="S27" s="5">
        <v>66948</v>
      </c>
      <c r="T27" s="10">
        <f t="shared" si="6"/>
        <v>45421</v>
      </c>
      <c r="U27" s="7">
        <v>112369</v>
      </c>
      <c r="V27" s="9">
        <f t="shared" si="7"/>
        <v>0.80473377018655778</v>
      </c>
      <c r="W27" s="4">
        <v>142710</v>
      </c>
      <c r="X27" s="5">
        <v>58301</v>
      </c>
      <c r="Y27" s="10">
        <f t="shared" si="8"/>
        <v>56035</v>
      </c>
      <c r="Z27" s="7">
        <v>114336</v>
      </c>
      <c r="AA27" s="9">
        <f t="shared" si="9"/>
        <v>0.80117721252890473</v>
      </c>
      <c r="AB27" s="4">
        <v>144015</v>
      </c>
      <c r="AC27" s="5">
        <v>62978</v>
      </c>
      <c r="AD27" s="10">
        <f t="shared" si="10"/>
        <v>52739</v>
      </c>
      <c r="AE27" s="7">
        <v>115717</v>
      </c>
      <c r="AF27" s="9">
        <f t="shared" si="11"/>
        <v>0.80350657917578028</v>
      </c>
      <c r="AG27" s="4">
        <v>146365</v>
      </c>
      <c r="AH27" s="5">
        <v>60479</v>
      </c>
      <c r="AI27" s="10">
        <f t="shared" si="12"/>
        <v>56537</v>
      </c>
      <c r="AJ27" s="7">
        <v>117016</v>
      </c>
      <c r="AK27" s="9">
        <f t="shared" si="13"/>
        <v>0.79948075017934617</v>
      </c>
      <c r="AL27" s="4">
        <v>148564</v>
      </c>
      <c r="AM27" s="5">
        <v>65336</v>
      </c>
      <c r="AN27" s="10">
        <f t="shared" si="14"/>
        <v>51228</v>
      </c>
      <c r="AO27" s="7">
        <v>116564</v>
      </c>
      <c r="AP27" s="9">
        <f t="shared" si="15"/>
        <v>0.78460461484612687</v>
      </c>
      <c r="AQ27" s="4">
        <v>150627</v>
      </c>
      <c r="AR27" s="5">
        <v>62413</v>
      </c>
      <c r="AS27" s="10">
        <f t="shared" si="16"/>
        <v>55104</v>
      </c>
      <c r="AT27" s="7">
        <v>117517</v>
      </c>
      <c r="AU27" s="9">
        <f t="shared" si="17"/>
        <v>0.78018549131297843</v>
      </c>
      <c r="AV27" s="6">
        <v>152840</v>
      </c>
      <c r="AW27" s="5">
        <v>59330</v>
      </c>
      <c r="AX27" s="10">
        <f t="shared" si="18"/>
        <v>59013</v>
      </c>
      <c r="AY27" s="7">
        <v>118343</v>
      </c>
      <c r="AZ27" s="9">
        <f t="shared" si="19"/>
        <v>0.77429337869667625</v>
      </c>
      <c r="BA27" s="6">
        <v>154902</v>
      </c>
      <c r="BB27" s="5">
        <v>73047</v>
      </c>
      <c r="BC27" s="10">
        <f t="shared" si="20"/>
        <v>46455</v>
      </c>
      <c r="BD27" s="7">
        <v>119502</v>
      </c>
      <c r="BE27" s="9">
        <f t="shared" si="21"/>
        <v>0.77146841228647789</v>
      </c>
      <c r="BF27" s="6">
        <v>157244</v>
      </c>
      <c r="BG27" s="5">
        <v>47303</v>
      </c>
      <c r="BH27" s="10">
        <f t="shared" si="22"/>
        <v>73062</v>
      </c>
      <c r="BI27" s="7">
        <v>120365</v>
      </c>
      <c r="BJ27" s="9">
        <f t="shared" si="23"/>
        <v>0.76546640889318507</v>
      </c>
    </row>
    <row r="28" spans="1:62" x14ac:dyDescent="0.3">
      <c r="A28" s="16">
        <v>19</v>
      </c>
      <c r="B28" s="2" t="s">
        <v>25</v>
      </c>
      <c r="C28" s="4">
        <v>480142</v>
      </c>
      <c r="D28" s="5">
        <v>213214</v>
      </c>
      <c r="E28" s="10">
        <f t="shared" si="0"/>
        <v>238639</v>
      </c>
      <c r="F28" s="7">
        <v>451853</v>
      </c>
      <c r="G28" s="9">
        <f t="shared" si="1"/>
        <v>0.94108201323775054</v>
      </c>
      <c r="H28" s="4">
        <v>500010</v>
      </c>
      <c r="I28" s="5">
        <v>321596</v>
      </c>
      <c r="J28" s="10">
        <f t="shared" si="2"/>
        <v>139572</v>
      </c>
      <c r="K28" s="7">
        <v>461168</v>
      </c>
      <c r="L28" s="9">
        <f t="shared" si="3"/>
        <v>0.92231755364892698</v>
      </c>
      <c r="M28" s="4">
        <v>511502</v>
      </c>
      <c r="N28" s="5">
        <v>332871</v>
      </c>
      <c r="O28" s="10">
        <f t="shared" si="4"/>
        <v>135598</v>
      </c>
      <c r="P28" s="7">
        <v>468469</v>
      </c>
      <c r="Q28" s="9">
        <f t="shared" si="5"/>
        <v>0.91586934166435319</v>
      </c>
      <c r="R28" s="4">
        <v>521022</v>
      </c>
      <c r="S28" s="5">
        <v>364490</v>
      </c>
      <c r="T28" s="10">
        <f t="shared" si="6"/>
        <v>111787</v>
      </c>
      <c r="U28" s="7">
        <v>476277</v>
      </c>
      <c r="V28" s="9">
        <f t="shared" si="7"/>
        <v>0.91412070891440289</v>
      </c>
      <c r="W28" s="4">
        <v>529985</v>
      </c>
      <c r="X28" s="5">
        <v>329185</v>
      </c>
      <c r="Y28" s="10">
        <f t="shared" si="8"/>
        <v>154198</v>
      </c>
      <c r="Z28" s="7">
        <v>483383</v>
      </c>
      <c r="AA28" s="9">
        <f t="shared" si="9"/>
        <v>0.9120692095059294</v>
      </c>
      <c r="AB28" s="4">
        <v>536002</v>
      </c>
      <c r="AC28" s="5">
        <v>355979</v>
      </c>
      <c r="AD28" s="10">
        <f t="shared" si="10"/>
        <v>132920</v>
      </c>
      <c r="AE28" s="7">
        <v>488899</v>
      </c>
      <c r="AF28" s="9">
        <f t="shared" si="11"/>
        <v>0.91212159656120684</v>
      </c>
      <c r="AG28" s="4">
        <v>543072</v>
      </c>
      <c r="AH28" s="5">
        <v>345509</v>
      </c>
      <c r="AI28" s="10">
        <f t="shared" si="12"/>
        <v>148517</v>
      </c>
      <c r="AJ28" s="7">
        <v>494026</v>
      </c>
      <c r="AK28" s="9">
        <f t="shared" si="13"/>
        <v>0.90968784986152851</v>
      </c>
      <c r="AL28" s="4">
        <v>550247</v>
      </c>
      <c r="AM28" s="5">
        <v>366358</v>
      </c>
      <c r="AN28" s="10">
        <f t="shared" si="14"/>
        <v>129127</v>
      </c>
      <c r="AO28" s="7">
        <v>495485</v>
      </c>
      <c r="AP28" s="9">
        <f t="shared" si="15"/>
        <v>0.90047742195777536</v>
      </c>
      <c r="AQ28" s="4">
        <v>558638</v>
      </c>
      <c r="AR28" s="5">
        <v>364619</v>
      </c>
      <c r="AS28" s="10">
        <f t="shared" si="16"/>
        <v>137224</v>
      </c>
      <c r="AT28" s="7">
        <v>501843</v>
      </c>
      <c r="AU28" s="9">
        <f t="shared" si="17"/>
        <v>0.89833308869070849</v>
      </c>
      <c r="AV28" s="6">
        <v>568213</v>
      </c>
      <c r="AW28" s="5">
        <v>343480</v>
      </c>
      <c r="AX28" s="10">
        <f t="shared" si="18"/>
        <v>164926</v>
      </c>
      <c r="AY28" s="7">
        <v>508406</v>
      </c>
      <c r="AZ28" s="9">
        <f t="shared" si="19"/>
        <v>0.89474545636935443</v>
      </c>
      <c r="BA28" s="6">
        <v>575661</v>
      </c>
      <c r="BB28" s="5">
        <v>400044</v>
      </c>
      <c r="BC28" s="10">
        <f t="shared" si="20"/>
        <v>113642</v>
      </c>
      <c r="BD28" s="7">
        <v>513686</v>
      </c>
      <c r="BE28" s="9">
        <f t="shared" si="21"/>
        <v>0.89234115217115628</v>
      </c>
      <c r="BF28" s="6">
        <v>582519</v>
      </c>
      <c r="BG28" s="5">
        <v>309372</v>
      </c>
      <c r="BH28" s="10">
        <f t="shared" si="22"/>
        <v>208901</v>
      </c>
      <c r="BI28" s="7">
        <v>518273</v>
      </c>
      <c r="BJ28" s="9">
        <f t="shared" si="23"/>
        <v>0.88971003520915193</v>
      </c>
    </row>
    <row r="29" spans="1:62" x14ac:dyDescent="0.3">
      <c r="A29" s="16">
        <v>20</v>
      </c>
      <c r="B29" s="2" t="s">
        <v>26</v>
      </c>
      <c r="C29" s="4">
        <v>120029</v>
      </c>
      <c r="D29" s="5">
        <v>41166</v>
      </c>
      <c r="E29" s="10">
        <f t="shared" si="0"/>
        <v>69308</v>
      </c>
      <c r="F29" s="7">
        <v>110474</v>
      </c>
      <c r="G29" s="9">
        <f t="shared" si="1"/>
        <v>0.92039423805913567</v>
      </c>
      <c r="H29" s="4">
        <v>124262</v>
      </c>
      <c r="I29" s="5">
        <v>72001</v>
      </c>
      <c r="J29" s="10">
        <f t="shared" si="2"/>
        <v>41014</v>
      </c>
      <c r="K29" s="7">
        <v>113015</v>
      </c>
      <c r="L29" s="9">
        <f t="shared" si="3"/>
        <v>0.90948962675636957</v>
      </c>
      <c r="M29" s="4">
        <v>127212</v>
      </c>
      <c r="N29" s="5">
        <v>73289</v>
      </c>
      <c r="O29" s="10">
        <f t="shared" si="4"/>
        <v>41463</v>
      </c>
      <c r="P29" s="7">
        <v>114752</v>
      </c>
      <c r="Q29" s="9">
        <f t="shared" si="5"/>
        <v>0.90205326541521236</v>
      </c>
      <c r="R29" s="4">
        <v>129431</v>
      </c>
      <c r="S29" s="5">
        <v>84966</v>
      </c>
      <c r="T29" s="10">
        <f t="shared" si="6"/>
        <v>31665</v>
      </c>
      <c r="U29" s="7">
        <v>116631</v>
      </c>
      <c r="V29" s="9">
        <f t="shared" si="7"/>
        <v>0.90110560839366149</v>
      </c>
      <c r="W29" s="4">
        <v>131933</v>
      </c>
      <c r="X29" s="5">
        <v>76030</v>
      </c>
      <c r="Y29" s="10">
        <f t="shared" si="8"/>
        <v>42466</v>
      </c>
      <c r="Z29" s="7">
        <v>118496</v>
      </c>
      <c r="AA29" s="9">
        <f t="shared" si="9"/>
        <v>0.89815285031038483</v>
      </c>
      <c r="AB29" s="4">
        <v>133208</v>
      </c>
      <c r="AC29" s="5">
        <v>83320</v>
      </c>
      <c r="AD29" s="10">
        <f t="shared" si="10"/>
        <v>36531</v>
      </c>
      <c r="AE29" s="7">
        <v>119851</v>
      </c>
      <c r="AF29" s="9">
        <f t="shared" si="11"/>
        <v>0.89972824454987688</v>
      </c>
      <c r="AG29" s="4">
        <v>135208</v>
      </c>
      <c r="AH29" s="5">
        <v>77173</v>
      </c>
      <c r="AI29" s="10">
        <f t="shared" si="12"/>
        <v>44529</v>
      </c>
      <c r="AJ29" s="7">
        <v>121702</v>
      </c>
      <c r="AK29" s="9">
        <f t="shared" si="13"/>
        <v>0.90010946097864031</v>
      </c>
      <c r="AL29" s="4">
        <v>137094</v>
      </c>
      <c r="AM29" s="5">
        <v>82956</v>
      </c>
      <c r="AN29" s="10">
        <f t="shared" si="14"/>
        <v>38820</v>
      </c>
      <c r="AO29" s="7">
        <v>121776</v>
      </c>
      <c r="AP29" s="9">
        <f t="shared" si="15"/>
        <v>0.88826644492100315</v>
      </c>
      <c r="AQ29" s="4">
        <v>139370</v>
      </c>
      <c r="AR29" s="5">
        <v>84088</v>
      </c>
      <c r="AS29" s="10">
        <f t="shared" si="16"/>
        <v>39530</v>
      </c>
      <c r="AT29" s="7">
        <v>123618</v>
      </c>
      <c r="AU29" s="9">
        <f t="shared" si="17"/>
        <v>0.88697711128650358</v>
      </c>
      <c r="AV29" s="6">
        <v>141663</v>
      </c>
      <c r="AW29" s="5">
        <v>75782</v>
      </c>
      <c r="AX29" s="10">
        <f t="shared" si="18"/>
        <v>49377</v>
      </c>
      <c r="AY29" s="7">
        <v>125159</v>
      </c>
      <c r="AZ29" s="9">
        <f t="shared" si="19"/>
        <v>0.88349816112887625</v>
      </c>
      <c r="BA29" s="6">
        <v>143606</v>
      </c>
      <c r="BB29" s="5">
        <v>89545</v>
      </c>
      <c r="BC29" s="10">
        <f t="shared" si="20"/>
        <v>36959</v>
      </c>
      <c r="BD29" s="7">
        <v>126504</v>
      </c>
      <c r="BE29" s="9">
        <f t="shared" si="21"/>
        <v>0.88091026837318775</v>
      </c>
      <c r="BF29" s="6">
        <v>146064</v>
      </c>
      <c r="BG29" s="5">
        <v>64816</v>
      </c>
      <c r="BH29" s="10">
        <f t="shared" si="22"/>
        <v>62935</v>
      </c>
      <c r="BI29" s="7">
        <v>127751</v>
      </c>
      <c r="BJ29" s="9">
        <f t="shared" si="23"/>
        <v>0.87462345273304853</v>
      </c>
    </row>
    <row r="30" spans="1:62" x14ac:dyDescent="0.3">
      <c r="A30" s="16">
        <v>21</v>
      </c>
      <c r="B30" s="2" t="s">
        <v>27</v>
      </c>
      <c r="C30" s="4">
        <v>186559</v>
      </c>
      <c r="D30" s="5">
        <v>75404</v>
      </c>
      <c r="E30" s="10">
        <f t="shared" si="0"/>
        <v>90381</v>
      </c>
      <c r="F30" s="7">
        <v>165785</v>
      </c>
      <c r="G30" s="9">
        <f t="shared" si="1"/>
        <v>0.88864648717027861</v>
      </c>
      <c r="H30" s="4">
        <v>195689</v>
      </c>
      <c r="I30" s="5">
        <v>105290</v>
      </c>
      <c r="J30" s="10">
        <f t="shared" si="2"/>
        <v>64633</v>
      </c>
      <c r="K30" s="7">
        <v>169923</v>
      </c>
      <c r="L30" s="9">
        <f t="shared" si="3"/>
        <v>0.86833189397462296</v>
      </c>
      <c r="M30" s="4">
        <v>200801</v>
      </c>
      <c r="N30" s="5">
        <v>107707</v>
      </c>
      <c r="O30" s="10">
        <f t="shared" si="4"/>
        <v>65238</v>
      </c>
      <c r="P30" s="7">
        <v>172945</v>
      </c>
      <c r="Q30" s="9">
        <f t="shared" si="5"/>
        <v>0.86127559125701569</v>
      </c>
      <c r="R30" s="4">
        <v>205957</v>
      </c>
      <c r="S30" s="5">
        <v>126142</v>
      </c>
      <c r="T30" s="10">
        <f t="shared" si="6"/>
        <v>50511</v>
      </c>
      <c r="U30" s="7">
        <v>176653</v>
      </c>
      <c r="V30" s="9">
        <f t="shared" si="7"/>
        <v>0.85771787314827852</v>
      </c>
      <c r="W30" s="4">
        <v>211137</v>
      </c>
      <c r="X30" s="5">
        <v>109068</v>
      </c>
      <c r="Y30" s="10">
        <f t="shared" si="8"/>
        <v>71112</v>
      </c>
      <c r="Z30" s="7">
        <v>180180</v>
      </c>
      <c r="AA30" s="9">
        <f t="shared" si="9"/>
        <v>0.85337955924352438</v>
      </c>
      <c r="AB30" s="4">
        <v>214949</v>
      </c>
      <c r="AC30" s="5">
        <v>126293</v>
      </c>
      <c r="AD30" s="10">
        <f t="shared" si="10"/>
        <v>56773</v>
      </c>
      <c r="AE30" s="7">
        <v>183066</v>
      </c>
      <c r="AF30" s="9">
        <f t="shared" si="11"/>
        <v>0.85167179191343068</v>
      </c>
      <c r="AG30" s="4">
        <v>218841</v>
      </c>
      <c r="AH30" s="5">
        <v>120935</v>
      </c>
      <c r="AI30" s="10">
        <f t="shared" si="12"/>
        <v>65124</v>
      </c>
      <c r="AJ30" s="7">
        <v>186059</v>
      </c>
      <c r="AK30" s="9">
        <f t="shared" si="13"/>
        <v>0.85020174464565601</v>
      </c>
      <c r="AL30" s="4">
        <v>222034</v>
      </c>
      <c r="AM30" s="5">
        <v>127070</v>
      </c>
      <c r="AN30" s="10">
        <f t="shared" si="14"/>
        <v>58880</v>
      </c>
      <c r="AO30" s="7">
        <v>185950</v>
      </c>
      <c r="AP30" s="9">
        <f t="shared" si="15"/>
        <v>0.83748434924380954</v>
      </c>
      <c r="AQ30" s="4">
        <v>223141</v>
      </c>
      <c r="AR30" s="5">
        <v>126902</v>
      </c>
      <c r="AS30" s="10">
        <f t="shared" si="16"/>
        <v>61521</v>
      </c>
      <c r="AT30" s="7">
        <v>188423</v>
      </c>
      <c r="AU30" s="9">
        <f t="shared" si="17"/>
        <v>0.84441227743892877</v>
      </c>
      <c r="AV30" s="6">
        <v>220757</v>
      </c>
      <c r="AW30" s="5">
        <v>119357</v>
      </c>
      <c r="AX30" s="10">
        <f t="shared" si="18"/>
        <v>71364</v>
      </c>
      <c r="AY30" s="7">
        <v>190721</v>
      </c>
      <c r="AZ30" s="9">
        <f t="shared" si="19"/>
        <v>0.86394089428647791</v>
      </c>
      <c r="BA30" s="6">
        <v>218783</v>
      </c>
      <c r="BB30" s="5">
        <v>143361</v>
      </c>
      <c r="BC30" s="10">
        <f t="shared" si="20"/>
        <v>49133</v>
      </c>
      <c r="BD30" s="7">
        <v>192494</v>
      </c>
      <c r="BE30" s="9">
        <f t="shared" si="21"/>
        <v>0.87983984130394044</v>
      </c>
      <c r="BF30" s="6">
        <v>218115</v>
      </c>
      <c r="BG30" s="5">
        <v>111427</v>
      </c>
      <c r="BH30" s="10">
        <f t="shared" si="22"/>
        <v>82463</v>
      </c>
      <c r="BI30" s="7">
        <v>193890</v>
      </c>
      <c r="BJ30" s="9">
        <f t="shared" si="23"/>
        <v>0.88893473626298058</v>
      </c>
    </row>
    <row r="31" spans="1:62" x14ac:dyDescent="0.3">
      <c r="A31" s="16">
        <v>22</v>
      </c>
      <c r="B31" s="2" t="s">
        <v>45</v>
      </c>
      <c r="C31" s="4">
        <v>94342</v>
      </c>
      <c r="D31" s="5">
        <v>25807</v>
      </c>
      <c r="E31" s="10">
        <f t="shared" si="0"/>
        <v>60660</v>
      </c>
      <c r="F31" s="7">
        <v>86467</v>
      </c>
      <c r="G31" s="9">
        <f t="shared" si="1"/>
        <v>0.9165271035169914</v>
      </c>
      <c r="H31" s="4">
        <v>98062</v>
      </c>
      <c r="I31" s="5">
        <v>49453</v>
      </c>
      <c r="J31" s="10">
        <f t="shared" si="2"/>
        <v>38297</v>
      </c>
      <c r="K31" s="7">
        <v>87750</v>
      </c>
      <c r="L31" s="9">
        <f t="shared" si="3"/>
        <v>0.89484203871020374</v>
      </c>
      <c r="M31" s="4">
        <v>98284</v>
      </c>
      <c r="N31" s="5">
        <v>50933</v>
      </c>
      <c r="O31" s="10">
        <f t="shared" si="4"/>
        <v>38140</v>
      </c>
      <c r="P31" s="7">
        <v>89073</v>
      </c>
      <c r="Q31" s="9">
        <f t="shared" si="5"/>
        <v>0.90628179561271416</v>
      </c>
      <c r="R31" s="4">
        <v>99303</v>
      </c>
      <c r="S31" s="5">
        <v>60697</v>
      </c>
      <c r="T31" s="10">
        <f t="shared" si="6"/>
        <v>29641</v>
      </c>
      <c r="U31" s="7">
        <v>90338</v>
      </c>
      <c r="V31" s="9">
        <f t="shared" si="7"/>
        <v>0.90972075365296112</v>
      </c>
      <c r="W31" s="4">
        <v>100790</v>
      </c>
      <c r="X31" s="5">
        <v>51304</v>
      </c>
      <c r="Y31" s="10">
        <f t="shared" si="8"/>
        <v>40164</v>
      </c>
      <c r="Z31" s="7">
        <v>91468</v>
      </c>
      <c r="AA31" s="9">
        <f t="shared" si="9"/>
        <v>0.90751066574064887</v>
      </c>
      <c r="AB31" s="4">
        <v>101382</v>
      </c>
      <c r="AC31" s="5">
        <v>59609</v>
      </c>
      <c r="AD31" s="10">
        <f t="shared" si="10"/>
        <v>32800</v>
      </c>
      <c r="AE31" s="7">
        <v>92409</v>
      </c>
      <c r="AF31" s="9">
        <f t="shared" si="11"/>
        <v>0.91149316446706519</v>
      </c>
      <c r="AG31" s="4">
        <v>101856</v>
      </c>
      <c r="AH31" s="5">
        <v>51189</v>
      </c>
      <c r="AI31" s="10">
        <f t="shared" si="12"/>
        <v>42304</v>
      </c>
      <c r="AJ31" s="7">
        <v>93493</v>
      </c>
      <c r="AK31" s="9">
        <f t="shared" si="13"/>
        <v>0.91789388941250394</v>
      </c>
      <c r="AL31" s="4">
        <v>101556</v>
      </c>
      <c r="AM31" s="5">
        <v>57598</v>
      </c>
      <c r="AN31" s="10">
        <f t="shared" si="14"/>
        <v>35551</v>
      </c>
      <c r="AO31" s="7">
        <v>93149</v>
      </c>
      <c r="AP31" s="9">
        <f t="shared" si="15"/>
        <v>0.91721808657292525</v>
      </c>
      <c r="AQ31" s="4">
        <v>101564</v>
      </c>
      <c r="AR31" s="5">
        <v>55863</v>
      </c>
      <c r="AS31" s="10">
        <f t="shared" si="16"/>
        <v>37908</v>
      </c>
      <c r="AT31" s="7">
        <v>93771</v>
      </c>
      <c r="AU31" s="9">
        <f t="shared" si="17"/>
        <v>0.92327005631916825</v>
      </c>
      <c r="AV31" s="6">
        <v>99909</v>
      </c>
      <c r="AW31" s="5">
        <v>51529</v>
      </c>
      <c r="AX31" s="10">
        <f t="shared" si="18"/>
        <v>42989</v>
      </c>
      <c r="AY31" s="7">
        <v>94518</v>
      </c>
      <c r="AZ31" s="9">
        <f t="shared" si="19"/>
        <v>0.946040897216467</v>
      </c>
      <c r="BA31" s="6">
        <v>100881</v>
      </c>
      <c r="BB31" s="5">
        <v>62422</v>
      </c>
      <c r="BC31" s="10">
        <f t="shared" si="20"/>
        <v>32843</v>
      </c>
      <c r="BD31" s="7">
        <v>95265</v>
      </c>
      <c r="BE31" s="9">
        <f t="shared" si="21"/>
        <v>0.94433044874654293</v>
      </c>
      <c r="BF31" s="6">
        <v>102281</v>
      </c>
      <c r="BG31" s="5">
        <v>41207</v>
      </c>
      <c r="BH31" s="10">
        <f t="shared" si="22"/>
        <v>54733</v>
      </c>
      <c r="BI31" s="7">
        <v>95940</v>
      </c>
      <c r="BJ31" s="9">
        <f t="shared" si="23"/>
        <v>0.9380041258884837</v>
      </c>
    </row>
    <row r="32" spans="1:62" x14ac:dyDescent="0.3">
      <c r="A32" s="16">
        <v>23</v>
      </c>
      <c r="B32" s="2" t="s">
        <v>28</v>
      </c>
      <c r="C32" s="4">
        <v>307116</v>
      </c>
      <c r="D32" s="5">
        <v>104736</v>
      </c>
      <c r="E32" s="10">
        <f t="shared" si="0"/>
        <v>182291</v>
      </c>
      <c r="F32" s="7">
        <v>287027</v>
      </c>
      <c r="G32" s="9">
        <f t="shared" si="1"/>
        <v>0.93458823376183597</v>
      </c>
      <c r="H32" s="4">
        <v>319200</v>
      </c>
      <c r="I32" s="5">
        <v>193818</v>
      </c>
      <c r="J32" s="10">
        <f t="shared" si="2"/>
        <v>98433</v>
      </c>
      <c r="K32" s="7">
        <v>292251</v>
      </c>
      <c r="L32" s="9">
        <f t="shared" si="3"/>
        <v>0.91557330827067673</v>
      </c>
      <c r="M32" s="4">
        <v>322204</v>
      </c>
      <c r="N32" s="5">
        <v>196216</v>
      </c>
      <c r="O32" s="10">
        <f t="shared" si="4"/>
        <v>100022</v>
      </c>
      <c r="P32" s="7">
        <v>296238</v>
      </c>
      <c r="Q32" s="9">
        <f t="shared" si="5"/>
        <v>0.91941130463929688</v>
      </c>
      <c r="R32" s="4">
        <v>325000</v>
      </c>
      <c r="S32" s="5">
        <v>224045</v>
      </c>
      <c r="T32" s="10">
        <f t="shared" si="6"/>
        <v>76113</v>
      </c>
      <c r="U32" s="7">
        <v>300158</v>
      </c>
      <c r="V32" s="9">
        <f t="shared" si="7"/>
        <v>0.92356307692307693</v>
      </c>
      <c r="W32" s="4">
        <v>327986</v>
      </c>
      <c r="X32" s="5">
        <v>196206</v>
      </c>
      <c r="Y32" s="10">
        <f t="shared" si="8"/>
        <v>107880</v>
      </c>
      <c r="Z32" s="7">
        <v>304086</v>
      </c>
      <c r="AA32" s="9">
        <f t="shared" si="9"/>
        <v>0.92713103608080838</v>
      </c>
      <c r="AB32" s="4">
        <v>328946</v>
      </c>
      <c r="AC32" s="5">
        <v>220025</v>
      </c>
      <c r="AD32" s="10">
        <f t="shared" si="10"/>
        <v>87644</v>
      </c>
      <c r="AE32" s="7">
        <v>307669</v>
      </c>
      <c r="AF32" s="9">
        <f t="shared" si="11"/>
        <v>0.93531765092142782</v>
      </c>
      <c r="AG32" s="4">
        <v>332480</v>
      </c>
      <c r="AH32" s="5">
        <v>200845</v>
      </c>
      <c r="AI32" s="10">
        <f t="shared" si="12"/>
        <v>111149</v>
      </c>
      <c r="AJ32" s="7">
        <v>311994</v>
      </c>
      <c r="AK32" s="9">
        <f t="shared" si="13"/>
        <v>0.93838426371511063</v>
      </c>
      <c r="AL32" s="4">
        <v>334405</v>
      </c>
      <c r="AM32" s="5">
        <v>218058</v>
      </c>
      <c r="AN32" s="10">
        <f t="shared" si="14"/>
        <v>93779</v>
      </c>
      <c r="AO32" s="7">
        <v>311837</v>
      </c>
      <c r="AP32" s="9">
        <f t="shared" si="15"/>
        <v>0.93251297079888162</v>
      </c>
      <c r="AQ32" s="4">
        <v>335747</v>
      </c>
      <c r="AR32" s="5">
        <v>216039</v>
      </c>
      <c r="AS32" s="10">
        <f t="shared" si="16"/>
        <v>98667</v>
      </c>
      <c r="AT32" s="7">
        <v>314706</v>
      </c>
      <c r="AU32" s="9">
        <f t="shared" si="17"/>
        <v>0.93733078776578793</v>
      </c>
      <c r="AV32" s="6">
        <v>338656</v>
      </c>
      <c r="AW32" s="5">
        <v>199418</v>
      </c>
      <c r="AX32" s="10">
        <f t="shared" si="18"/>
        <v>118621</v>
      </c>
      <c r="AY32" s="7">
        <v>318039</v>
      </c>
      <c r="AZ32" s="9">
        <f t="shared" si="19"/>
        <v>0.9391211140508362</v>
      </c>
      <c r="BA32" s="6">
        <v>341978</v>
      </c>
      <c r="BB32" s="5">
        <v>242399</v>
      </c>
      <c r="BC32" s="10">
        <f t="shared" si="20"/>
        <v>78497</v>
      </c>
      <c r="BD32" s="7">
        <v>320896</v>
      </c>
      <c r="BE32" s="9">
        <f t="shared" si="21"/>
        <v>0.93835275953423902</v>
      </c>
      <c r="BF32" s="6">
        <v>346732</v>
      </c>
      <c r="BG32" s="5">
        <v>163377</v>
      </c>
      <c r="BH32" s="10">
        <f t="shared" si="22"/>
        <v>160621</v>
      </c>
      <c r="BI32" s="7">
        <v>323998</v>
      </c>
      <c r="BJ32" s="9">
        <f t="shared" si="23"/>
        <v>0.93443351060761626</v>
      </c>
    </row>
    <row r="33" spans="1:62" x14ac:dyDescent="0.3">
      <c r="A33" s="16">
        <v>24</v>
      </c>
      <c r="B33" s="2" t="s">
        <v>46</v>
      </c>
      <c r="C33" s="4">
        <v>763767</v>
      </c>
      <c r="D33" s="5">
        <v>321428</v>
      </c>
      <c r="E33" s="10">
        <f t="shared" si="0"/>
        <v>401558</v>
      </c>
      <c r="F33" s="7">
        <v>722986</v>
      </c>
      <c r="G33" s="9">
        <f t="shared" si="1"/>
        <v>0.94660544380681544</v>
      </c>
      <c r="H33" s="4">
        <v>790674</v>
      </c>
      <c r="I33" s="5">
        <v>565218</v>
      </c>
      <c r="J33" s="10">
        <f t="shared" si="2"/>
        <v>169981</v>
      </c>
      <c r="K33" s="7">
        <v>735199</v>
      </c>
      <c r="L33" s="9">
        <f t="shared" si="3"/>
        <v>0.92983834045384062</v>
      </c>
      <c r="M33" s="4">
        <v>801034</v>
      </c>
      <c r="N33" s="5">
        <v>563877</v>
      </c>
      <c r="O33" s="10">
        <f t="shared" si="4"/>
        <v>180424</v>
      </c>
      <c r="P33" s="7">
        <v>744301</v>
      </c>
      <c r="Q33" s="9">
        <f t="shared" si="5"/>
        <v>0.92917529093646467</v>
      </c>
      <c r="R33" s="4">
        <v>811485</v>
      </c>
      <c r="S33" s="5">
        <v>613437</v>
      </c>
      <c r="T33" s="10">
        <f t="shared" si="6"/>
        <v>138456</v>
      </c>
      <c r="U33" s="7">
        <v>751893</v>
      </c>
      <c r="V33" s="9">
        <f t="shared" si="7"/>
        <v>0.92656426181629969</v>
      </c>
      <c r="W33" s="4">
        <v>819064</v>
      </c>
      <c r="X33" s="5">
        <v>556651</v>
      </c>
      <c r="Y33" s="10">
        <f t="shared" si="8"/>
        <v>204484</v>
      </c>
      <c r="Z33" s="7">
        <v>761135</v>
      </c>
      <c r="AA33" s="9">
        <f t="shared" si="9"/>
        <v>0.92927414707519806</v>
      </c>
      <c r="AB33" s="4">
        <v>823883</v>
      </c>
      <c r="AC33" s="5">
        <v>614476</v>
      </c>
      <c r="AD33" s="10">
        <f t="shared" si="10"/>
        <v>153446</v>
      </c>
      <c r="AE33" s="7">
        <v>767922</v>
      </c>
      <c r="AF33" s="9">
        <f t="shared" si="11"/>
        <v>0.93207652057391643</v>
      </c>
      <c r="AG33" s="4">
        <v>827687</v>
      </c>
      <c r="AH33" s="5">
        <v>547550</v>
      </c>
      <c r="AI33" s="10">
        <f t="shared" si="12"/>
        <v>226206</v>
      </c>
      <c r="AJ33" s="7">
        <v>773756</v>
      </c>
      <c r="AK33" s="9">
        <f t="shared" si="13"/>
        <v>0.93484131078535726</v>
      </c>
      <c r="AL33" s="4">
        <v>833066</v>
      </c>
      <c r="AM33" s="5">
        <v>603739</v>
      </c>
      <c r="AN33" s="10">
        <f t="shared" si="14"/>
        <v>170652</v>
      </c>
      <c r="AO33" s="7">
        <v>774391</v>
      </c>
      <c r="AP33" s="9">
        <f t="shared" si="15"/>
        <v>0.92956740522359571</v>
      </c>
      <c r="AQ33" s="4">
        <v>838229</v>
      </c>
      <c r="AR33" s="5">
        <v>594756</v>
      </c>
      <c r="AS33" s="10">
        <f t="shared" si="16"/>
        <v>188065</v>
      </c>
      <c r="AT33" s="7">
        <v>782821</v>
      </c>
      <c r="AU33" s="9">
        <f t="shared" si="17"/>
        <v>0.93389873173082771</v>
      </c>
      <c r="AV33" s="6">
        <v>846900</v>
      </c>
      <c r="AW33" s="5">
        <v>571108</v>
      </c>
      <c r="AX33" s="10">
        <f t="shared" si="18"/>
        <v>217586</v>
      </c>
      <c r="AY33" s="7">
        <v>788694</v>
      </c>
      <c r="AZ33" s="9">
        <f t="shared" si="19"/>
        <v>0.93127169677647892</v>
      </c>
      <c r="BA33" s="6">
        <v>854421</v>
      </c>
      <c r="BB33" s="5">
        <v>661347</v>
      </c>
      <c r="BC33" s="10">
        <f t="shared" si="20"/>
        <v>134202</v>
      </c>
      <c r="BD33" s="7">
        <v>795549</v>
      </c>
      <c r="BE33" s="9">
        <f t="shared" si="21"/>
        <v>0.9310971991559196</v>
      </c>
      <c r="BF33" s="6">
        <v>864165</v>
      </c>
      <c r="BG33" s="5">
        <v>521541</v>
      </c>
      <c r="BH33" s="10">
        <f t="shared" si="22"/>
        <v>281131</v>
      </c>
      <c r="BI33" s="7">
        <v>802672</v>
      </c>
      <c r="BJ33" s="9">
        <f t="shared" si="23"/>
        <v>0.92884113566274962</v>
      </c>
    </row>
    <row r="34" spans="1:62" x14ac:dyDescent="0.3">
      <c r="A34" s="16">
        <v>25</v>
      </c>
      <c r="B34" s="2" t="s">
        <v>29</v>
      </c>
      <c r="C34" s="4">
        <v>5554</v>
      </c>
      <c r="D34" s="5">
        <v>2005</v>
      </c>
      <c r="E34" s="10">
        <f t="shared" si="0"/>
        <v>3195</v>
      </c>
      <c r="F34" s="7">
        <v>5200</v>
      </c>
      <c r="G34" s="9">
        <f t="shared" si="1"/>
        <v>0.93626215340295282</v>
      </c>
      <c r="H34" s="4">
        <v>5631</v>
      </c>
      <c r="I34" s="5">
        <v>3544</v>
      </c>
      <c r="J34" s="10">
        <f t="shared" si="2"/>
        <v>1717</v>
      </c>
      <c r="K34" s="7">
        <v>5261</v>
      </c>
      <c r="L34" s="9">
        <f t="shared" si="3"/>
        <v>0.93429231042443617</v>
      </c>
      <c r="M34" s="4">
        <v>5679</v>
      </c>
      <c r="N34" s="5">
        <v>3499</v>
      </c>
      <c r="O34" s="10">
        <f t="shared" si="4"/>
        <v>1803</v>
      </c>
      <c r="P34" s="7">
        <v>5302</v>
      </c>
      <c r="Q34" s="9">
        <f t="shared" si="5"/>
        <v>0.9336150730762458</v>
      </c>
      <c r="R34" s="4">
        <v>5745</v>
      </c>
      <c r="S34" s="5">
        <v>3960</v>
      </c>
      <c r="T34" s="10">
        <f t="shared" si="6"/>
        <v>1390</v>
      </c>
      <c r="U34" s="7">
        <v>5350</v>
      </c>
      <c r="V34" s="9">
        <f t="shared" si="7"/>
        <v>0.93124456048738036</v>
      </c>
      <c r="W34" s="4">
        <v>5805</v>
      </c>
      <c r="X34" s="5">
        <v>3362</v>
      </c>
      <c r="Y34" s="10">
        <f t="shared" si="8"/>
        <v>2040</v>
      </c>
      <c r="Z34" s="7">
        <v>5402</v>
      </c>
      <c r="AA34" s="9">
        <f t="shared" si="9"/>
        <v>0.93057708871662359</v>
      </c>
      <c r="AB34" s="4">
        <v>5864</v>
      </c>
      <c r="AC34" s="5">
        <v>3886</v>
      </c>
      <c r="AD34" s="10">
        <f t="shared" si="10"/>
        <v>1554</v>
      </c>
      <c r="AE34" s="7">
        <v>5440</v>
      </c>
      <c r="AF34" s="9">
        <f t="shared" si="11"/>
        <v>0.92769440654843105</v>
      </c>
      <c r="AG34" s="4">
        <v>5907</v>
      </c>
      <c r="AH34" s="5">
        <v>3472</v>
      </c>
      <c r="AI34" s="10">
        <f t="shared" si="12"/>
        <v>2021</v>
      </c>
      <c r="AJ34" s="7">
        <v>5493</v>
      </c>
      <c r="AK34" s="9">
        <f t="shared" si="13"/>
        <v>0.92991366175723722</v>
      </c>
      <c r="AL34" s="4">
        <v>5920</v>
      </c>
      <c r="AM34" s="5">
        <v>3647</v>
      </c>
      <c r="AN34" s="10">
        <f t="shared" si="14"/>
        <v>1831</v>
      </c>
      <c r="AO34" s="7">
        <v>5478</v>
      </c>
      <c r="AP34" s="9">
        <f t="shared" si="15"/>
        <v>0.92533783783783785</v>
      </c>
      <c r="AQ34" s="4">
        <v>5942</v>
      </c>
      <c r="AR34" s="5">
        <v>3560</v>
      </c>
      <c r="AS34" s="10">
        <f t="shared" si="16"/>
        <v>1942</v>
      </c>
      <c r="AT34" s="7">
        <v>5502</v>
      </c>
      <c r="AU34" s="9">
        <f t="shared" si="17"/>
        <v>0.92595085829686974</v>
      </c>
      <c r="AV34" s="6">
        <v>5969</v>
      </c>
      <c r="AW34" s="5">
        <v>3322</v>
      </c>
      <c r="AX34" s="10">
        <f t="shared" si="18"/>
        <v>2184</v>
      </c>
      <c r="AY34" s="7">
        <v>5506</v>
      </c>
      <c r="AZ34" s="9">
        <f t="shared" si="19"/>
        <v>0.92243256826939191</v>
      </c>
      <c r="BA34" s="6">
        <v>5972</v>
      </c>
      <c r="BB34" s="5">
        <v>4042</v>
      </c>
      <c r="BC34" s="10">
        <f t="shared" si="20"/>
        <v>1460</v>
      </c>
      <c r="BD34" s="7">
        <v>5502</v>
      </c>
      <c r="BE34" s="9">
        <f t="shared" si="21"/>
        <v>0.92129939718687204</v>
      </c>
      <c r="BF34" s="6">
        <v>6007</v>
      </c>
      <c r="BG34" s="5">
        <v>3112</v>
      </c>
      <c r="BH34" s="10">
        <f t="shared" si="22"/>
        <v>2415</v>
      </c>
      <c r="BI34" s="7">
        <v>5527</v>
      </c>
      <c r="BJ34" s="9">
        <f t="shared" si="23"/>
        <v>0.92009322457133347</v>
      </c>
    </row>
    <row r="35" spans="1:62" x14ac:dyDescent="0.3">
      <c r="A35" s="16">
        <v>26</v>
      </c>
      <c r="B35" s="2" t="s">
        <v>30</v>
      </c>
      <c r="C35" s="4">
        <v>7237</v>
      </c>
      <c r="D35" s="5">
        <v>2472</v>
      </c>
      <c r="E35" s="10">
        <f t="shared" si="0"/>
        <v>4302</v>
      </c>
      <c r="F35" s="7">
        <v>6774</v>
      </c>
      <c r="G35" s="9">
        <f t="shared" si="1"/>
        <v>0.93602321403896638</v>
      </c>
      <c r="H35" s="4">
        <v>7379</v>
      </c>
      <c r="I35" s="5">
        <v>4494</v>
      </c>
      <c r="J35" s="10">
        <f t="shared" si="2"/>
        <v>2365</v>
      </c>
      <c r="K35" s="7">
        <v>6859</v>
      </c>
      <c r="L35" s="9">
        <f t="shared" si="3"/>
        <v>0.92952974657812715</v>
      </c>
      <c r="M35" s="4">
        <v>7494</v>
      </c>
      <c r="N35" s="5">
        <v>4551</v>
      </c>
      <c r="O35" s="10">
        <f t="shared" si="4"/>
        <v>2380</v>
      </c>
      <c r="P35" s="7">
        <v>6931</v>
      </c>
      <c r="Q35" s="9">
        <f t="shared" si="5"/>
        <v>0.92487323191886839</v>
      </c>
      <c r="R35" s="4">
        <v>7598</v>
      </c>
      <c r="S35" s="5">
        <v>5003</v>
      </c>
      <c r="T35" s="10">
        <f t="shared" si="6"/>
        <v>2001</v>
      </c>
      <c r="U35" s="7">
        <v>7004</v>
      </c>
      <c r="V35" s="9">
        <f t="shared" si="7"/>
        <v>0.92182153198210059</v>
      </c>
      <c r="W35" s="4">
        <v>7702</v>
      </c>
      <c r="X35" s="5">
        <v>4320</v>
      </c>
      <c r="Y35" s="10">
        <f t="shared" si="8"/>
        <v>2756</v>
      </c>
      <c r="Z35" s="7">
        <v>7076</v>
      </c>
      <c r="AA35" s="9">
        <f t="shared" si="9"/>
        <v>0.91872240976369779</v>
      </c>
      <c r="AB35" s="4">
        <v>7783</v>
      </c>
      <c r="AC35" s="5">
        <v>5028</v>
      </c>
      <c r="AD35" s="10">
        <f t="shared" si="10"/>
        <v>2101</v>
      </c>
      <c r="AE35" s="7">
        <v>7129</v>
      </c>
      <c r="AF35" s="9">
        <f t="shared" si="11"/>
        <v>0.91597070538352821</v>
      </c>
      <c r="AG35" s="4">
        <v>7895</v>
      </c>
      <c r="AH35" s="5">
        <v>4492</v>
      </c>
      <c r="AI35" s="10">
        <f t="shared" si="12"/>
        <v>2711</v>
      </c>
      <c r="AJ35" s="7">
        <v>7203</v>
      </c>
      <c r="AK35" s="9">
        <f t="shared" si="13"/>
        <v>0.91234958834705515</v>
      </c>
      <c r="AL35" s="4">
        <v>7953</v>
      </c>
      <c r="AM35" s="5">
        <v>4772</v>
      </c>
      <c r="AN35" s="10">
        <f t="shared" si="14"/>
        <v>2425</v>
      </c>
      <c r="AO35" s="7">
        <v>7197</v>
      </c>
      <c r="AP35" s="9">
        <f t="shared" si="15"/>
        <v>0.90494153149754808</v>
      </c>
      <c r="AQ35" s="4">
        <v>7963</v>
      </c>
      <c r="AR35" s="5">
        <v>4719</v>
      </c>
      <c r="AS35" s="10">
        <f t="shared" si="16"/>
        <v>2556</v>
      </c>
      <c r="AT35" s="7">
        <v>7275</v>
      </c>
      <c r="AU35" s="9">
        <f t="shared" si="17"/>
        <v>0.91360040185859603</v>
      </c>
      <c r="AV35" s="6">
        <v>8057</v>
      </c>
      <c r="AW35" s="5">
        <v>4422</v>
      </c>
      <c r="AX35" s="10">
        <f t="shared" si="18"/>
        <v>2890</v>
      </c>
      <c r="AY35" s="7">
        <v>7312</v>
      </c>
      <c r="AZ35" s="9">
        <f t="shared" si="19"/>
        <v>0.90753382152165818</v>
      </c>
      <c r="BA35" s="6">
        <v>8066</v>
      </c>
      <c r="BB35" s="5">
        <v>5517</v>
      </c>
      <c r="BC35" s="10">
        <f t="shared" si="20"/>
        <v>1832</v>
      </c>
      <c r="BD35" s="7">
        <v>7349</v>
      </c>
      <c r="BE35" s="9">
        <f t="shared" si="21"/>
        <v>0.91110835606248453</v>
      </c>
      <c r="BF35" s="6">
        <v>8172</v>
      </c>
      <c r="BG35" s="5">
        <v>4090</v>
      </c>
      <c r="BH35" s="10">
        <f t="shared" si="22"/>
        <v>3314</v>
      </c>
      <c r="BI35" s="7">
        <v>7404</v>
      </c>
      <c r="BJ35" s="9">
        <f t="shared" si="23"/>
        <v>0.9060205580029369</v>
      </c>
    </row>
    <row r="36" spans="1:62" x14ac:dyDescent="0.3">
      <c r="A36" s="16">
        <v>27</v>
      </c>
      <c r="B36" s="2" t="s">
        <v>47</v>
      </c>
      <c r="C36" s="4">
        <v>1232934</v>
      </c>
      <c r="D36" s="5">
        <v>482101</v>
      </c>
      <c r="E36" s="10">
        <f t="shared" si="0"/>
        <v>635207</v>
      </c>
      <c r="F36" s="7">
        <v>1117308</v>
      </c>
      <c r="G36" s="9">
        <f t="shared" si="1"/>
        <v>0.90621882436529444</v>
      </c>
      <c r="H36" s="4">
        <v>1268548</v>
      </c>
      <c r="I36" s="5">
        <v>771718</v>
      </c>
      <c r="J36" s="10">
        <f t="shared" si="2"/>
        <v>364152</v>
      </c>
      <c r="K36" s="7">
        <v>1135870</v>
      </c>
      <c r="L36" s="9">
        <f t="shared" si="3"/>
        <v>0.89540955486114837</v>
      </c>
      <c r="M36" s="4">
        <v>1291465</v>
      </c>
      <c r="N36" s="5">
        <v>783942</v>
      </c>
      <c r="O36" s="10">
        <f t="shared" si="4"/>
        <v>366232</v>
      </c>
      <c r="P36" s="7">
        <v>1150174</v>
      </c>
      <c r="Q36" s="9">
        <f t="shared" si="5"/>
        <v>0.8905963382670069</v>
      </c>
      <c r="R36" s="4">
        <v>1304709</v>
      </c>
      <c r="S36" s="5">
        <v>858057</v>
      </c>
      <c r="T36" s="10">
        <f t="shared" si="6"/>
        <v>303567</v>
      </c>
      <c r="U36" s="7">
        <v>1161624</v>
      </c>
      <c r="V36" s="9">
        <f t="shared" si="7"/>
        <v>0.89033186710599832</v>
      </c>
      <c r="W36" s="4">
        <v>1322652</v>
      </c>
      <c r="X36" s="5">
        <v>728353</v>
      </c>
      <c r="Y36" s="10">
        <f t="shared" si="8"/>
        <v>444962</v>
      </c>
      <c r="Z36" s="7">
        <v>1173315</v>
      </c>
      <c r="AA36" s="9">
        <f t="shared" si="9"/>
        <v>0.88709275002041355</v>
      </c>
      <c r="AB36" s="4">
        <v>1322160</v>
      </c>
      <c r="AC36" s="5">
        <v>847451</v>
      </c>
      <c r="AD36" s="10">
        <f t="shared" si="10"/>
        <v>336124</v>
      </c>
      <c r="AE36" s="7">
        <v>1183575</v>
      </c>
      <c r="AF36" s="9">
        <f t="shared" si="11"/>
        <v>0.89518288255581779</v>
      </c>
      <c r="AG36" s="4">
        <v>1336822</v>
      </c>
      <c r="AH36" s="5">
        <v>783560</v>
      </c>
      <c r="AI36" s="10">
        <f t="shared" si="12"/>
        <v>409288</v>
      </c>
      <c r="AJ36" s="7">
        <v>1192848</v>
      </c>
      <c r="AK36" s="9">
        <f t="shared" si="13"/>
        <v>0.89230129366512523</v>
      </c>
      <c r="AL36" s="4">
        <v>1349209</v>
      </c>
      <c r="AM36" s="5">
        <v>839408</v>
      </c>
      <c r="AN36" s="10">
        <f t="shared" si="14"/>
        <v>349945</v>
      </c>
      <c r="AO36" s="7">
        <v>1189353</v>
      </c>
      <c r="AP36" s="9">
        <f t="shared" si="15"/>
        <v>0.8815187268985013</v>
      </c>
      <c r="AQ36" s="4">
        <v>1349417</v>
      </c>
      <c r="AR36" s="5">
        <v>830474</v>
      </c>
      <c r="AS36" s="10">
        <f t="shared" si="16"/>
        <v>371132</v>
      </c>
      <c r="AT36" s="7">
        <v>1201606</v>
      </c>
      <c r="AU36" s="9">
        <f t="shared" si="17"/>
        <v>0.89046306664285391</v>
      </c>
      <c r="AV36" s="6">
        <v>1347780</v>
      </c>
      <c r="AW36" s="5">
        <v>750943</v>
      </c>
      <c r="AX36" s="10">
        <f t="shared" si="18"/>
        <v>460664</v>
      </c>
      <c r="AY36" s="7">
        <v>1211607</v>
      </c>
      <c r="AZ36" s="9">
        <f t="shared" si="19"/>
        <v>0.89896496460846731</v>
      </c>
      <c r="BA36" s="6">
        <v>1364152</v>
      </c>
      <c r="BB36" s="5">
        <v>927675</v>
      </c>
      <c r="BC36" s="10">
        <f t="shared" si="20"/>
        <v>293547</v>
      </c>
      <c r="BD36" s="7">
        <v>1221222</v>
      </c>
      <c r="BE36" s="9">
        <f t="shared" si="21"/>
        <v>0.8952242858567081</v>
      </c>
      <c r="BF36" s="6">
        <v>1384075</v>
      </c>
      <c r="BG36" s="5">
        <v>718062</v>
      </c>
      <c r="BH36" s="10">
        <f t="shared" si="22"/>
        <v>511480</v>
      </c>
      <c r="BI36" s="7">
        <v>1229542</v>
      </c>
      <c r="BJ36" s="9">
        <f t="shared" si="23"/>
        <v>0.88834925853006519</v>
      </c>
    </row>
    <row r="37" spans="1:62" x14ac:dyDescent="0.3">
      <c r="A37" s="16">
        <v>29</v>
      </c>
      <c r="B37" s="2" t="s">
        <v>31</v>
      </c>
      <c r="C37" s="4">
        <v>617485</v>
      </c>
      <c r="D37" s="5">
        <v>195567</v>
      </c>
      <c r="E37" s="10">
        <f t="shared" si="0"/>
        <v>356719</v>
      </c>
      <c r="F37" s="7">
        <v>552286</v>
      </c>
      <c r="G37" s="9">
        <f t="shared" si="1"/>
        <v>0.89441201000834025</v>
      </c>
      <c r="H37" s="4">
        <v>636289</v>
      </c>
      <c r="I37" s="5">
        <v>395763</v>
      </c>
      <c r="J37" s="10">
        <f t="shared" si="2"/>
        <v>165072</v>
      </c>
      <c r="K37" s="7">
        <v>560835</v>
      </c>
      <c r="L37" s="9">
        <f t="shared" si="3"/>
        <v>0.88141552030602444</v>
      </c>
      <c r="M37" s="4">
        <v>650458</v>
      </c>
      <c r="N37" s="5">
        <v>402115</v>
      </c>
      <c r="O37" s="10">
        <f t="shared" si="4"/>
        <v>166957</v>
      </c>
      <c r="P37" s="7">
        <v>569072</v>
      </c>
      <c r="Q37" s="9">
        <f t="shared" si="5"/>
        <v>0.87487893146060158</v>
      </c>
      <c r="R37" s="4">
        <v>663657</v>
      </c>
      <c r="S37" s="5">
        <v>444551</v>
      </c>
      <c r="T37" s="10">
        <f t="shared" si="6"/>
        <v>133644</v>
      </c>
      <c r="U37" s="7">
        <v>578195</v>
      </c>
      <c r="V37" s="9">
        <f t="shared" si="7"/>
        <v>0.87122564818874815</v>
      </c>
      <c r="W37" s="4">
        <v>677316</v>
      </c>
      <c r="X37" s="5">
        <v>402088</v>
      </c>
      <c r="Y37" s="10">
        <f t="shared" si="8"/>
        <v>185293</v>
      </c>
      <c r="Z37" s="7">
        <v>587381</v>
      </c>
      <c r="AA37" s="9">
        <f t="shared" si="9"/>
        <v>0.8672185508684277</v>
      </c>
      <c r="AB37" s="4">
        <v>682420</v>
      </c>
      <c r="AC37" s="5">
        <v>444087</v>
      </c>
      <c r="AD37" s="10">
        <f t="shared" si="10"/>
        <v>150862</v>
      </c>
      <c r="AE37" s="7">
        <v>594949</v>
      </c>
      <c r="AF37" s="9">
        <f t="shared" si="11"/>
        <v>0.8718223381495267</v>
      </c>
      <c r="AG37" s="4">
        <v>691854</v>
      </c>
      <c r="AH37" s="5">
        <v>417683</v>
      </c>
      <c r="AI37" s="10">
        <f t="shared" si="12"/>
        <v>185432</v>
      </c>
      <c r="AJ37" s="7">
        <v>603115</v>
      </c>
      <c r="AK37" s="9">
        <f t="shared" si="13"/>
        <v>0.87173738968048176</v>
      </c>
      <c r="AL37" s="4">
        <v>698331</v>
      </c>
      <c r="AM37" s="5">
        <v>440879</v>
      </c>
      <c r="AN37" s="10">
        <f t="shared" si="14"/>
        <v>163070</v>
      </c>
      <c r="AO37" s="7">
        <v>603949</v>
      </c>
      <c r="AP37" s="9">
        <f t="shared" si="15"/>
        <v>0.86484632645550608</v>
      </c>
      <c r="AQ37" s="4">
        <v>700400</v>
      </c>
      <c r="AR37" s="5">
        <v>436829</v>
      </c>
      <c r="AS37" s="10">
        <f t="shared" si="16"/>
        <v>175167</v>
      </c>
      <c r="AT37" s="7">
        <v>611996</v>
      </c>
      <c r="AU37" s="9">
        <f t="shared" si="17"/>
        <v>0.87378069674471726</v>
      </c>
      <c r="AV37" s="6">
        <v>698615</v>
      </c>
      <c r="AW37" s="5">
        <v>406813</v>
      </c>
      <c r="AX37" s="10">
        <f t="shared" si="18"/>
        <v>212643</v>
      </c>
      <c r="AY37" s="7">
        <v>619456</v>
      </c>
      <c r="AZ37" s="9">
        <f t="shared" si="19"/>
        <v>0.88669152537520668</v>
      </c>
      <c r="BA37" s="6">
        <v>701194</v>
      </c>
      <c r="BB37" s="5">
        <v>503036</v>
      </c>
      <c r="BC37" s="10">
        <f t="shared" si="20"/>
        <v>123327</v>
      </c>
      <c r="BD37" s="7">
        <v>626363</v>
      </c>
      <c r="BE37" s="9">
        <f t="shared" si="21"/>
        <v>0.89328060422650513</v>
      </c>
      <c r="BF37" s="6">
        <v>706472</v>
      </c>
      <c r="BG37" s="5">
        <v>374899</v>
      </c>
      <c r="BH37" s="10">
        <f t="shared" si="22"/>
        <v>257267</v>
      </c>
      <c r="BI37" s="7">
        <v>632166</v>
      </c>
      <c r="BJ37" s="9">
        <f t="shared" si="23"/>
        <v>0.89482102616947312</v>
      </c>
    </row>
    <row r="38" spans="1:62" x14ac:dyDescent="0.3">
      <c r="A38" s="16">
        <v>30</v>
      </c>
      <c r="B38" s="2" t="s">
        <v>32</v>
      </c>
      <c r="C38" s="4">
        <v>27947</v>
      </c>
      <c r="D38" s="5">
        <v>9495</v>
      </c>
      <c r="E38" s="10">
        <f t="shared" si="0"/>
        <v>16291</v>
      </c>
      <c r="F38" s="7">
        <v>25786</v>
      </c>
      <c r="G38" s="9">
        <f t="shared" si="1"/>
        <v>0.92267506351307838</v>
      </c>
      <c r="H38" s="4">
        <v>28752</v>
      </c>
      <c r="I38" s="5">
        <v>16053</v>
      </c>
      <c r="J38" s="10">
        <f t="shared" si="2"/>
        <v>10112</v>
      </c>
      <c r="K38" s="7">
        <v>26165</v>
      </c>
      <c r="L38" s="9">
        <f t="shared" si="3"/>
        <v>0.91002365052865886</v>
      </c>
      <c r="M38" s="4">
        <v>29346</v>
      </c>
      <c r="N38" s="5">
        <v>16448</v>
      </c>
      <c r="O38" s="10">
        <f t="shared" si="4"/>
        <v>10058</v>
      </c>
      <c r="P38" s="7">
        <v>26506</v>
      </c>
      <c r="Q38" s="9">
        <f t="shared" si="5"/>
        <v>0.90322360798745993</v>
      </c>
      <c r="R38" s="4">
        <v>29813</v>
      </c>
      <c r="S38" s="5">
        <v>18214</v>
      </c>
      <c r="T38" s="10">
        <f t="shared" si="6"/>
        <v>8644</v>
      </c>
      <c r="U38" s="7">
        <v>26858</v>
      </c>
      <c r="V38" s="9">
        <f t="shared" si="7"/>
        <v>0.9008821654982726</v>
      </c>
      <c r="W38" s="4">
        <v>30274</v>
      </c>
      <c r="X38" s="5">
        <v>15660</v>
      </c>
      <c r="Y38" s="10">
        <f t="shared" si="8"/>
        <v>11551</v>
      </c>
      <c r="Z38" s="7">
        <v>27211</v>
      </c>
      <c r="AA38" s="9">
        <f t="shared" si="9"/>
        <v>0.89882407346237692</v>
      </c>
      <c r="AB38" s="4">
        <v>30576</v>
      </c>
      <c r="AC38" s="5">
        <v>18211</v>
      </c>
      <c r="AD38" s="10">
        <f t="shared" si="10"/>
        <v>9263</v>
      </c>
      <c r="AE38" s="7">
        <v>27474</v>
      </c>
      <c r="AF38" s="9">
        <f t="shared" si="11"/>
        <v>0.89854788069073788</v>
      </c>
      <c r="AG38" s="4">
        <v>30975</v>
      </c>
      <c r="AH38" s="5">
        <v>16857</v>
      </c>
      <c r="AI38" s="10">
        <f t="shared" si="12"/>
        <v>10892</v>
      </c>
      <c r="AJ38" s="7">
        <v>27749</v>
      </c>
      <c r="AK38" s="9">
        <f t="shared" si="13"/>
        <v>0.89585149313962875</v>
      </c>
      <c r="AL38" s="4">
        <v>31465</v>
      </c>
      <c r="AM38" s="5">
        <v>17280</v>
      </c>
      <c r="AN38" s="10">
        <f t="shared" si="14"/>
        <v>10668</v>
      </c>
      <c r="AO38" s="7">
        <v>27948</v>
      </c>
      <c r="AP38" s="9">
        <f t="shared" si="15"/>
        <v>0.88822501191800418</v>
      </c>
      <c r="AQ38" s="4">
        <v>31956</v>
      </c>
      <c r="AR38" s="5">
        <v>17446</v>
      </c>
      <c r="AS38" s="10">
        <f t="shared" si="16"/>
        <v>10840</v>
      </c>
      <c r="AT38" s="7">
        <v>28286</v>
      </c>
      <c r="AU38" s="9">
        <f t="shared" si="17"/>
        <v>0.88515458755789211</v>
      </c>
      <c r="AV38" s="6">
        <v>32499</v>
      </c>
      <c r="AW38" s="5">
        <v>16216</v>
      </c>
      <c r="AX38" s="10">
        <f t="shared" si="18"/>
        <v>12450</v>
      </c>
      <c r="AY38" s="7">
        <v>28666</v>
      </c>
      <c r="AZ38" s="9">
        <f t="shared" si="19"/>
        <v>0.88205790947413765</v>
      </c>
      <c r="BA38" s="6">
        <v>32886</v>
      </c>
      <c r="BB38" s="5">
        <v>19796</v>
      </c>
      <c r="BC38" s="10">
        <f t="shared" si="20"/>
        <v>9118</v>
      </c>
      <c r="BD38" s="7">
        <v>28914</v>
      </c>
      <c r="BE38" s="9">
        <f t="shared" si="21"/>
        <v>0.87921912059843099</v>
      </c>
      <c r="BF38" s="6">
        <v>33254</v>
      </c>
      <c r="BG38" s="5">
        <v>15871</v>
      </c>
      <c r="BH38" s="10">
        <f t="shared" si="22"/>
        <v>13241</v>
      </c>
      <c r="BI38" s="7">
        <v>29112</v>
      </c>
      <c r="BJ38" s="9">
        <f t="shared" si="23"/>
        <v>0.87544355566247667</v>
      </c>
    </row>
    <row r="39" spans="1:62" x14ac:dyDescent="0.3">
      <c r="A39" s="16">
        <v>31</v>
      </c>
      <c r="B39" s="2" t="s">
        <v>33</v>
      </c>
      <c r="C39" s="4">
        <v>269</v>
      </c>
      <c r="D39" s="5">
        <v>32</v>
      </c>
      <c r="E39" s="10">
        <f t="shared" si="0"/>
        <v>141</v>
      </c>
      <c r="F39" s="7">
        <v>173</v>
      </c>
      <c r="G39" s="9">
        <f t="shared" si="1"/>
        <v>0.64312267657992561</v>
      </c>
      <c r="H39" s="4">
        <v>272</v>
      </c>
      <c r="I39" s="5">
        <v>59</v>
      </c>
      <c r="J39" s="10">
        <f t="shared" si="2"/>
        <v>115</v>
      </c>
      <c r="K39" s="7">
        <v>174</v>
      </c>
      <c r="L39" s="9">
        <f t="shared" si="3"/>
        <v>0.63970588235294112</v>
      </c>
      <c r="M39" s="4">
        <v>277</v>
      </c>
      <c r="N39" s="5">
        <v>60</v>
      </c>
      <c r="O39" s="10">
        <f t="shared" si="4"/>
        <v>115</v>
      </c>
      <c r="P39" s="7">
        <v>175</v>
      </c>
      <c r="Q39" s="9">
        <f t="shared" si="5"/>
        <v>0.63176895306859204</v>
      </c>
      <c r="R39" s="4">
        <v>279</v>
      </c>
      <c r="S39" s="5">
        <v>60</v>
      </c>
      <c r="T39" s="10">
        <f t="shared" si="6"/>
        <v>116</v>
      </c>
      <c r="U39" s="7">
        <v>176</v>
      </c>
      <c r="V39" s="9">
        <f t="shared" si="7"/>
        <v>0.63082437275985659</v>
      </c>
      <c r="W39" s="4">
        <v>280</v>
      </c>
      <c r="X39" s="5">
        <v>59</v>
      </c>
      <c r="Y39" s="10">
        <f t="shared" si="8"/>
        <v>116</v>
      </c>
      <c r="Z39" s="7">
        <v>175</v>
      </c>
      <c r="AA39" s="9">
        <f t="shared" si="9"/>
        <v>0.625</v>
      </c>
      <c r="AB39" s="4">
        <v>281</v>
      </c>
      <c r="AC39" s="5">
        <v>66</v>
      </c>
      <c r="AD39" s="10">
        <f t="shared" si="10"/>
        <v>111</v>
      </c>
      <c r="AE39" s="7">
        <v>177</v>
      </c>
      <c r="AF39" s="9">
        <f t="shared" si="11"/>
        <v>0.62989323843416367</v>
      </c>
      <c r="AG39" s="4">
        <v>284</v>
      </c>
      <c r="AH39" s="5">
        <v>57</v>
      </c>
      <c r="AI39" s="10">
        <f t="shared" si="12"/>
        <v>122</v>
      </c>
      <c r="AJ39" s="7">
        <v>179</v>
      </c>
      <c r="AK39" s="9">
        <f t="shared" si="13"/>
        <v>0.63028169014084512</v>
      </c>
      <c r="AL39" s="4">
        <v>284</v>
      </c>
      <c r="AM39" s="5">
        <v>68</v>
      </c>
      <c r="AN39" s="10">
        <f t="shared" si="14"/>
        <v>107</v>
      </c>
      <c r="AO39" s="7">
        <v>175</v>
      </c>
      <c r="AP39" s="9">
        <f t="shared" si="15"/>
        <v>0.61619718309859151</v>
      </c>
      <c r="AQ39" s="4">
        <v>203</v>
      </c>
      <c r="AR39" s="5">
        <v>70</v>
      </c>
      <c r="AS39" s="10">
        <f t="shared" si="16"/>
        <v>88</v>
      </c>
      <c r="AT39" s="7">
        <v>158</v>
      </c>
      <c r="AU39" s="9">
        <f t="shared" si="17"/>
        <v>0.77832512315270941</v>
      </c>
      <c r="AV39" s="6">
        <v>197</v>
      </c>
      <c r="AW39" s="5">
        <v>59</v>
      </c>
      <c r="AX39" s="10">
        <f t="shared" si="18"/>
        <v>96</v>
      </c>
      <c r="AY39" s="7">
        <v>155</v>
      </c>
      <c r="AZ39" s="9">
        <f t="shared" si="19"/>
        <v>0.78680203045685282</v>
      </c>
      <c r="BA39" s="6">
        <v>202</v>
      </c>
      <c r="BB39" s="5">
        <v>82</v>
      </c>
      <c r="BC39" s="10">
        <f t="shared" si="20"/>
        <v>77</v>
      </c>
      <c r="BD39" s="7">
        <v>159</v>
      </c>
      <c r="BE39" s="9">
        <f t="shared" si="21"/>
        <v>0.78712871287128716</v>
      </c>
      <c r="BF39" s="6">
        <v>210</v>
      </c>
      <c r="BG39" s="5">
        <v>61</v>
      </c>
      <c r="BH39" s="10">
        <f t="shared" si="22"/>
        <v>103</v>
      </c>
      <c r="BI39" s="7">
        <v>164</v>
      </c>
      <c r="BJ39" s="9">
        <f t="shared" si="23"/>
        <v>0.78095238095238095</v>
      </c>
    </row>
    <row r="40" spans="1:62" x14ac:dyDescent="0.3">
      <c r="A40" s="16">
        <v>32</v>
      </c>
      <c r="B40" s="2" t="s">
        <v>34</v>
      </c>
      <c r="C40" s="4">
        <v>252153</v>
      </c>
      <c r="D40" s="5">
        <v>84905</v>
      </c>
      <c r="E40" s="10">
        <f t="shared" si="0"/>
        <v>154112</v>
      </c>
      <c r="F40" s="7">
        <v>239017</v>
      </c>
      <c r="G40" s="9">
        <f t="shared" si="1"/>
        <v>0.94790464519557571</v>
      </c>
      <c r="H40" s="4">
        <v>258924</v>
      </c>
      <c r="I40" s="5">
        <v>150374</v>
      </c>
      <c r="J40" s="10">
        <f t="shared" si="2"/>
        <v>92854</v>
      </c>
      <c r="K40" s="7">
        <v>243228</v>
      </c>
      <c r="L40" s="9">
        <f t="shared" si="3"/>
        <v>0.93937989525884047</v>
      </c>
      <c r="M40" s="4">
        <v>263762</v>
      </c>
      <c r="N40" s="5">
        <v>150902</v>
      </c>
      <c r="O40" s="10">
        <f t="shared" si="4"/>
        <v>95394</v>
      </c>
      <c r="P40" s="7">
        <v>246296</v>
      </c>
      <c r="Q40" s="9">
        <f t="shared" si="5"/>
        <v>0.93378121185007701</v>
      </c>
      <c r="R40" s="4">
        <v>267922</v>
      </c>
      <c r="S40" s="5">
        <v>146964</v>
      </c>
      <c r="T40" s="10">
        <f t="shared" si="6"/>
        <v>102652</v>
      </c>
      <c r="U40" s="7">
        <v>249616</v>
      </c>
      <c r="V40" s="9">
        <f t="shared" si="7"/>
        <v>0.9316741439672741</v>
      </c>
      <c r="W40" s="4">
        <v>271146</v>
      </c>
      <c r="X40" s="5">
        <v>107133</v>
      </c>
      <c r="Y40" s="10">
        <f t="shared" si="8"/>
        <v>145069</v>
      </c>
      <c r="Z40" s="7">
        <v>252202</v>
      </c>
      <c r="AA40" s="9">
        <f t="shared" si="9"/>
        <v>0.93013358117029199</v>
      </c>
      <c r="AB40" s="4">
        <v>273181</v>
      </c>
      <c r="AC40" s="5">
        <v>167335</v>
      </c>
      <c r="AD40" s="10">
        <f t="shared" si="10"/>
        <v>87408</v>
      </c>
      <c r="AE40" s="7">
        <v>254743</v>
      </c>
      <c r="AF40" s="9">
        <f t="shared" si="11"/>
        <v>0.93250628704046035</v>
      </c>
      <c r="AG40" s="4">
        <v>276472</v>
      </c>
      <c r="AH40" s="5">
        <v>142046</v>
      </c>
      <c r="AI40" s="10">
        <f t="shared" si="12"/>
        <v>115263</v>
      </c>
      <c r="AJ40" s="7">
        <v>257309</v>
      </c>
      <c r="AK40" s="9">
        <f t="shared" si="13"/>
        <v>0.93068737521340317</v>
      </c>
      <c r="AL40" s="4">
        <v>279758</v>
      </c>
      <c r="AM40" s="5">
        <v>161244</v>
      </c>
      <c r="AN40" s="10">
        <f t="shared" si="14"/>
        <v>97469</v>
      </c>
      <c r="AO40" s="7">
        <v>258713</v>
      </c>
      <c r="AP40" s="9">
        <f t="shared" si="15"/>
        <v>0.92477426918979977</v>
      </c>
      <c r="AQ40" s="4">
        <v>281909</v>
      </c>
      <c r="AR40" s="5">
        <v>157990</v>
      </c>
      <c r="AS40" s="10">
        <f t="shared" si="16"/>
        <v>102834</v>
      </c>
      <c r="AT40" s="7">
        <v>260824</v>
      </c>
      <c r="AU40" s="9">
        <f t="shared" si="17"/>
        <v>0.92520636091788488</v>
      </c>
      <c r="AV40" s="6">
        <v>285037</v>
      </c>
      <c r="AW40" s="5">
        <v>143591</v>
      </c>
      <c r="AX40" s="10">
        <f t="shared" si="18"/>
        <v>119207</v>
      </c>
      <c r="AY40" s="7">
        <v>262798</v>
      </c>
      <c r="AZ40" s="9">
        <f t="shared" si="19"/>
        <v>0.92197855015313801</v>
      </c>
      <c r="BA40" s="6">
        <v>287794</v>
      </c>
      <c r="BB40" s="5">
        <v>192669</v>
      </c>
      <c r="BC40" s="10">
        <f t="shared" si="20"/>
        <v>72081</v>
      </c>
      <c r="BD40" s="7">
        <v>264750</v>
      </c>
      <c r="BE40" s="9">
        <f t="shared" si="21"/>
        <v>0.91992883798828329</v>
      </c>
      <c r="BF40" s="6">
        <v>291194</v>
      </c>
      <c r="BG40" s="5">
        <v>130752</v>
      </c>
      <c r="BH40" s="10">
        <f t="shared" si="22"/>
        <v>136551</v>
      </c>
      <c r="BI40" s="7">
        <v>267303</v>
      </c>
      <c r="BJ40" s="9">
        <f t="shared" si="23"/>
        <v>0.91795504028242336</v>
      </c>
    </row>
    <row r="41" spans="1:62" x14ac:dyDescent="0.3">
      <c r="A41" s="16">
        <v>33</v>
      </c>
      <c r="B41" s="2" t="s">
        <v>35</v>
      </c>
      <c r="C41" s="4">
        <v>812490</v>
      </c>
      <c r="D41" s="5">
        <v>305086</v>
      </c>
      <c r="E41" s="10">
        <f t="shared" si="0"/>
        <v>385868</v>
      </c>
      <c r="F41" s="7">
        <v>690954</v>
      </c>
      <c r="G41" s="9">
        <f t="shared" si="1"/>
        <v>0.85041538972787356</v>
      </c>
      <c r="H41" s="4">
        <v>835051</v>
      </c>
      <c r="I41" s="5">
        <v>490520</v>
      </c>
      <c r="J41" s="10">
        <f t="shared" si="2"/>
        <v>211161</v>
      </c>
      <c r="K41" s="7">
        <v>701681</v>
      </c>
      <c r="L41" s="9">
        <f t="shared" si="3"/>
        <v>0.84028520413723229</v>
      </c>
      <c r="M41" s="4">
        <v>852643</v>
      </c>
      <c r="N41" s="5">
        <v>498870</v>
      </c>
      <c r="O41" s="10">
        <f t="shared" si="4"/>
        <v>211066</v>
      </c>
      <c r="P41" s="7">
        <v>709936</v>
      </c>
      <c r="Q41" s="9">
        <f t="shared" si="5"/>
        <v>0.83262983452629058</v>
      </c>
      <c r="R41" s="4">
        <v>868359</v>
      </c>
      <c r="S41" s="5">
        <v>547547</v>
      </c>
      <c r="T41" s="10">
        <f t="shared" si="6"/>
        <v>171943</v>
      </c>
      <c r="U41" s="7">
        <v>719490</v>
      </c>
      <c r="V41" s="9">
        <f t="shared" si="7"/>
        <v>0.82856284094481658</v>
      </c>
      <c r="W41" s="4">
        <v>879806</v>
      </c>
      <c r="X41" s="5">
        <v>497659</v>
      </c>
      <c r="Y41" s="10">
        <f t="shared" si="8"/>
        <v>230073</v>
      </c>
      <c r="Z41" s="7">
        <v>727732</v>
      </c>
      <c r="AA41" s="9">
        <f t="shared" si="9"/>
        <v>0.82715053091249657</v>
      </c>
      <c r="AB41" s="4">
        <v>882248</v>
      </c>
      <c r="AC41" s="5">
        <v>548063</v>
      </c>
      <c r="AD41" s="10">
        <f t="shared" si="10"/>
        <v>187425</v>
      </c>
      <c r="AE41" s="7">
        <v>735488</v>
      </c>
      <c r="AF41" s="9">
        <f t="shared" si="11"/>
        <v>0.83365221570352099</v>
      </c>
      <c r="AG41" s="4">
        <v>877145</v>
      </c>
      <c r="AH41" s="5">
        <v>500862</v>
      </c>
      <c r="AI41" s="10">
        <f t="shared" si="12"/>
        <v>242433</v>
      </c>
      <c r="AJ41" s="7">
        <v>743295</v>
      </c>
      <c r="AK41" s="9">
        <f t="shared" si="13"/>
        <v>0.84740265292511496</v>
      </c>
      <c r="AL41" s="4">
        <v>875890</v>
      </c>
      <c r="AM41" s="5">
        <v>536845</v>
      </c>
      <c r="AN41" s="10">
        <f t="shared" si="14"/>
        <v>205260</v>
      </c>
      <c r="AO41" s="7">
        <v>742105</v>
      </c>
      <c r="AP41" s="9">
        <f t="shared" si="15"/>
        <v>0.84725821735606066</v>
      </c>
      <c r="AQ41" s="4">
        <v>865402</v>
      </c>
      <c r="AR41" s="5">
        <v>500468</v>
      </c>
      <c r="AS41" s="10">
        <f t="shared" si="16"/>
        <v>247901</v>
      </c>
      <c r="AT41" s="7">
        <v>748369</v>
      </c>
      <c r="AU41" s="9">
        <f t="shared" si="17"/>
        <v>0.86476458339592466</v>
      </c>
      <c r="AV41" s="6">
        <v>863602</v>
      </c>
      <c r="AW41" s="5">
        <v>500278</v>
      </c>
      <c r="AX41" s="10">
        <f t="shared" si="18"/>
        <v>252940</v>
      </c>
      <c r="AY41" s="7">
        <v>753218</v>
      </c>
      <c r="AZ41" s="9">
        <f t="shared" si="19"/>
        <v>0.87218186155196487</v>
      </c>
      <c r="BA41" s="6">
        <v>853803</v>
      </c>
      <c r="BB41" s="5">
        <v>603737</v>
      </c>
      <c r="BC41" s="10">
        <f t="shared" si="20"/>
        <v>156273</v>
      </c>
      <c r="BD41" s="7">
        <v>760010</v>
      </c>
      <c r="BE41" s="9">
        <f t="shared" si="21"/>
        <v>0.89014679030174404</v>
      </c>
      <c r="BF41" s="6">
        <v>867754</v>
      </c>
      <c r="BG41" s="5">
        <v>428146</v>
      </c>
      <c r="BH41" s="10">
        <f t="shared" si="22"/>
        <v>339139</v>
      </c>
      <c r="BI41" s="7">
        <v>767285</v>
      </c>
      <c r="BJ41" s="9">
        <f t="shared" si="23"/>
        <v>0.88421949077734008</v>
      </c>
    </row>
    <row r="42" spans="1:62" x14ac:dyDescent="0.3">
      <c r="A42" s="16">
        <v>34</v>
      </c>
      <c r="B42" s="2" t="s">
        <v>36</v>
      </c>
      <c r="C42" s="4">
        <v>18797</v>
      </c>
      <c r="D42" s="5">
        <v>6729</v>
      </c>
      <c r="E42" s="10">
        <f t="shared" si="0"/>
        <v>9637</v>
      </c>
      <c r="F42" s="7">
        <v>16366</v>
      </c>
      <c r="G42" s="9">
        <f t="shared" si="1"/>
        <v>0.87067085173165926</v>
      </c>
      <c r="H42" s="4">
        <v>19351</v>
      </c>
      <c r="I42" s="5">
        <v>11037</v>
      </c>
      <c r="J42" s="10">
        <f t="shared" si="2"/>
        <v>5583</v>
      </c>
      <c r="K42" s="7">
        <v>16620</v>
      </c>
      <c r="L42" s="9">
        <f t="shared" si="3"/>
        <v>0.85887034261795259</v>
      </c>
      <c r="M42" s="4">
        <v>19723</v>
      </c>
      <c r="N42" s="5">
        <v>11294</v>
      </c>
      <c r="O42" s="10">
        <f t="shared" si="4"/>
        <v>5459</v>
      </c>
      <c r="P42" s="7">
        <v>16753</v>
      </c>
      <c r="Q42" s="9">
        <f t="shared" si="5"/>
        <v>0.84941438929168989</v>
      </c>
      <c r="R42" s="4">
        <v>19929</v>
      </c>
      <c r="S42" s="5">
        <v>12401</v>
      </c>
      <c r="T42" s="10">
        <f t="shared" si="6"/>
        <v>4551</v>
      </c>
      <c r="U42" s="7">
        <v>16952</v>
      </c>
      <c r="V42" s="9">
        <f t="shared" si="7"/>
        <v>0.85061969993476838</v>
      </c>
      <c r="W42" s="4">
        <v>20172</v>
      </c>
      <c r="X42" s="5">
        <v>10882</v>
      </c>
      <c r="Y42" s="10">
        <f t="shared" si="8"/>
        <v>6193</v>
      </c>
      <c r="Z42" s="7">
        <v>17075</v>
      </c>
      <c r="AA42" s="9">
        <f t="shared" si="9"/>
        <v>0.84647035494745193</v>
      </c>
      <c r="AB42" s="4">
        <v>20242</v>
      </c>
      <c r="AC42" s="5">
        <v>12663</v>
      </c>
      <c r="AD42" s="10">
        <f t="shared" si="10"/>
        <v>4526</v>
      </c>
      <c r="AE42" s="7">
        <v>17189</v>
      </c>
      <c r="AF42" s="9">
        <f t="shared" si="11"/>
        <v>0.84917498270921843</v>
      </c>
      <c r="AG42" s="4">
        <v>20402</v>
      </c>
      <c r="AH42" s="5">
        <v>11218</v>
      </c>
      <c r="AI42" s="10">
        <f t="shared" si="12"/>
        <v>6144</v>
      </c>
      <c r="AJ42" s="7">
        <v>17362</v>
      </c>
      <c r="AK42" s="9">
        <f t="shared" si="13"/>
        <v>0.85099500049014798</v>
      </c>
      <c r="AL42" s="4">
        <v>20463</v>
      </c>
      <c r="AM42" s="5">
        <v>11813</v>
      </c>
      <c r="AN42" s="10">
        <f t="shared" si="14"/>
        <v>5441</v>
      </c>
      <c r="AO42" s="7">
        <v>17254</v>
      </c>
      <c r="AP42" s="9">
        <f t="shared" si="15"/>
        <v>0.84318037433416415</v>
      </c>
      <c r="AQ42" s="4">
        <v>20448</v>
      </c>
      <c r="AR42" s="5">
        <v>10979</v>
      </c>
      <c r="AS42" s="10">
        <f t="shared" si="16"/>
        <v>6338</v>
      </c>
      <c r="AT42" s="7">
        <v>17317</v>
      </c>
      <c r="AU42" s="9">
        <f t="shared" si="17"/>
        <v>0.84687989045383416</v>
      </c>
      <c r="AV42" s="6">
        <v>20536</v>
      </c>
      <c r="AW42" s="5">
        <v>10136</v>
      </c>
      <c r="AX42" s="10">
        <f t="shared" si="18"/>
        <v>7171</v>
      </c>
      <c r="AY42" s="7">
        <v>17307</v>
      </c>
      <c r="AZ42" s="9">
        <f t="shared" si="19"/>
        <v>0.84276392676275813</v>
      </c>
      <c r="BA42" s="6">
        <v>20618</v>
      </c>
      <c r="BB42" s="5">
        <v>13304</v>
      </c>
      <c r="BC42" s="10">
        <f t="shared" si="20"/>
        <v>4112</v>
      </c>
      <c r="BD42" s="7">
        <v>17416</v>
      </c>
      <c r="BE42" s="9">
        <f t="shared" si="21"/>
        <v>0.84469880686778542</v>
      </c>
      <c r="BF42" s="6">
        <v>20839</v>
      </c>
      <c r="BG42" s="5">
        <v>9462</v>
      </c>
      <c r="BH42" s="10">
        <f t="shared" si="22"/>
        <v>8075</v>
      </c>
      <c r="BI42" s="7">
        <v>17537</v>
      </c>
      <c r="BJ42" s="9">
        <f t="shared" si="23"/>
        <v>0.8415470991890206</v>
      </c>
    </row>
    <row r="43" spans="1:62" x14ac:dyDescent="0.3">
      <c r="A43" s="16">
        <v>35</v>
      </c>
      <c r="B43" s="2" t="s">
        <v>48</v>
      </c>
      <c r="C43" s="4">
        <v>4376</v>
      </c>
      <c r="D43" s="5">
        <v>648</v>
      </c>
      <c r="E43" s="10">
        <f t="shared" si="0"/>
        <v>2736</v>
      </c>
      <c r="F43" s="7">
        <v>3384</v>
      </c>
      <c r="G43" s="9">
        <f t="shared" si="1"/>
        <v>0.77330895795246801</v>
      </c>
      <c r="H43" s="4">
        <v>4455</v>
      </c>
      <c r="I43" s="5">
        <v>1067</v>
      </c>
      <c r="J43" s="10">
        <f t="shared" si="2"/>
        <v>2359</v>
      </c>
      <c r="K43" s="7">
        <v>3426</v>
      </c>
      <c r="L43" s="9">
        <f t="shared" si="3"/>
        <v>0.76902356902356905</v>
      </c>
      <c r="M43" s="4">
        <v>4559</v>
      </c>
      <c r="N43" s="5">
        <v>1207</v>
      </c>
      <c r="O43" s="10">
        <f t="shared" si="4"/>
        <v>2250</v>
      </c>
      <c r="P43" s="7">
        <v>3457</v>
      </c>
      <c r="Q43" s="9">
        <f t="shared" si="5"/>
        <v>0.75828032463259487</v>
      </c>
      <c r="R43" s="4">
        <v>4602</v>
      </c>
      <c r="S43" s="5">
        <v>1463</v>
      </c>
      <c r="T43" s="10">
        <f t="shared" si="6"/>
        <v>2009</v>
      </c>
      <c r="U43" s="7">
        <v>3472</v>
      </c>
      <c r="V43" s="9">
        <f t="shared" si="7"/>
        <v>0.7544545849630595</v>
      </c>
      <c r="W43" s="4">
        <v>4626</v>
      </c>
      <c r="X43" s="5">
        <v>1167</v>
      </c>
      <c r="Y43" s="10">
        <f t="shared" si="8"/>
        <v>2326</v>
      </c>
      <c r="Z43" s="7">
        <v>3493</v>
      </c>
      <c r="AA43" s="9">
        <f t="shared" si="9"/>
        <v>0.75507998270644183</v>
      </c>
      <c r="AB43" s="4">
        <v>4663</v>
      </c>
      <c r="AC43" s="5">
        <v>1379</v>
      </c>
      <c r="AD43" s="10">
        <f t="shared" si="10"/>
        <v>2134</v>
      </c>
      <c r="AE43" s="7">
        <v>3513</v>
      </c>
      <c r="AF43" s="9">
        <f t="shared" si="11"/>
        <v>0.75337765387089861</v>
      </c>
      <c r="AG43" s="4">
        <v>4719</v>
      </c>
      <c r="AH43" s="5">
        <v>1191</v>
      </c>
      <c r="AI43" s="10">
        <f t="shared" si="12"/>
        <v>2351</v>
      </c>
      <c r="AJ43" s="7">
        <v>3542</v>
      </c>
      <c r="AK43" s="9">
        <f t="shared" si="13"/>
        <v>0.75058275058275059</v>
      </c>
      <c r="AL43" s="4">
        <v>4722</v>
      </c>
      <c r="AM43" s="5">
        <v>1273</v>
      </c>
      <c r="AN43" s="10">
        <f t="shared" si="14"/>
        <v>2222</v>
      </c>
      <c r="AO43" s="7">
        <v>3495</v>
      </c>
      <c r="AP43" s="9">
        <f t="shared" si="15"/>
        <v>0.74015247776365944</v>
      </c>
      <c r="AQ43" s="4">
        <v>4471</v>
      </c>
      <c r="AR43" s="5">
        <v>1263</v>
      </c>
      <c r="AS43" s="10">
        <f t="shared" si="16"/>
        <v>2233</v>
      </c>
      <c r="AT43" s="7">
        <v>3496</v>
      </c>
      <c r="AU43" s="9">
        <f t="shared" si="17"/>
        <v>0.78192798031760236</v>
      </c>
      <c r="AV43" s="6">
        <v>4344</v>
      </c>
      <c r="AW43" s="5">
        <v>1282</v>
      </c>
      <c r="AX43" s="10">
        <f t="shared" si="18"/>
        <v>2201</v>
      </c>
      <c r="AY43" s="7">
        <v>3483</v>
      </c>
      <c r="AZ43" s="9">
        <f t="shared" si="19"/>
        <v>0.80179558011049723</v>
      </c>
      <c r="BA43" s="6">
        <v>4029</v>
      </c>
      <c r="BB43" s="5">
        <v>1490</v>
      </c>
      <c r="BC43" s="10">
        <f t="shared" si="20"/>
        <v>1973</v>
      </c>
      <c r="BD43" s="7">
        <v>3463</v>
      </c>
      <c r="BE43" s="9">
        <f t="shared" si="21"/>
        <v>0.85951849094068011</v>
      </c>
      <c r="BF43" s="6">
        <v>3923</v>
      </c>
      <c r="BG43" s="5">
        <v>1193</v>
      </c>
      <c r="BH43" s="10">
        <f t="shared" si="22"/>
        <v>2254</v>
      </c>
      <c r="BI43" s="7">
        <v>3447</v>
      </c>
      <c r="BJ43" s="9">
        <f t="shared" si="23"/>
        <v>0.87866428753504966</v>
      </c>
    </row>
    <row r="44" spans="1:62" x14ac:dyDescent="0.3">
      <c r="A44" s="16">
        <v>36</v>
      </c>
      <c r="B44" s="2" t="s">
        <v>37</v>
      </c>
      <c r="C44" s="4">
        <v>265527</v>
      </c>
      <c r="D44" s="5">
        <v>92872</v>
      </c>
      <c r="E44" s="10">
        <f t="shared" si="0"/>
        <v>145441</v>
      </c>
      <c r="F44" s="7">
        <v>238313</v>
      </c>
      <c r="G44" s="9">
        <f t="shared" si="1"/>
        <v>0.89750948114504359</v>
      </c>
      <c r="H44" s="4">
        <v>275203</v>
      </c>
      <c r="I44" s="5">
        <v>150189</v>
      </c>
      <c r="J44" s="10">
        <f t="shared" si="2"/>
        <v>93153</v>
      </c>
      <c r="K44" s="7">
        <v>243342</v>
      </c>
      <c r="L44" s="9">
        <f t="shared" si="3"/>
        <v>0.88422727949913338</v>
      </c>
      <c r="M44" s="4">
        <v>282140</v>
      </c>
      <c r="N44" s="5">
        <v>152268</v>
      </c>
      <c r="O44" s="10">
        <f t="shared" si="4"/>
        <v>95391</v>
      </c>
      <c r="P44" s="7">
        <v>247659</v>
      </c>
      <c r="Q44" s="9">
        <f t="shared" si="5"/>
        <v>0.87778762316580417</v>
      </c>
      <c r="R44" s="4">
        <v>288291</v>
      </c>
      <c r="S44" s="5">
        <v>172595</v>
      </c>
      <c r="T44" s="10">
        <f t="shared" si="6"/>
        <v>79791</v>
      </c>
      <c r="U44" s="7">
        <v>252386</v>
      </c>
      <c r="V44" s="9">
        <f t="shared" si="7"/>
        <v>0.875455702744796</v>
      </c>
      <c r="W44" s="4">
        <v>293969</v>
      </c>
      <c r="X44" s="5">
        <v>144053</v>
      </c>
      <c r="Y44" s="10">
        <f t="shared" si="8"/>
        <v>112588</v>
      </c>
      <c r="Z44" s="7">
        <v>256641</v>
      </c>
      <c r="AA44" s="9">
        <f t="shared" si="9"/>
        <v>0.87302062462368479</v>
      </c>
      <c r="AB44" s="4">
        <v>298180</v>
      </c>
      <c r="AC44" s="5">
        <v>170367</v>
      </c>
      <c r="AD44" s="10">
        <f t="shared" si="10"/>
        <v>90078</v>
      </c>
      <c r="AE44" s="7">
        <v>260445</v>
      </c>
      <c r="AF44" s="9">
        <f t="shared" si="11"/>
        <v>0.87344892346904557</v>
      </c>
      <c r="AG44" s="4">
        <v>302892</v>
      </c>
      <c r="AH44" s="5">
        <v>161549</v>
      </c>
      <c r="AI44" s="10">
        <f t="shared" si="12"/>
        <v>102642</v>
      </c>
      <c r="AJ44" s="7">
        <v>264191</v>
      </c>
      <c r="AK44" s="9">
        <f t="shared" si="13"/>
        <v>0.87222838503492994</v>
      </c>
      <c r="AL44" s="4">
        <v>305036</v>
      </c>
      <c r="AM44" s="5">
        <v>173665</v>
      </c>
      <c r="AN44" s="10">
        <f t="shared" si="14"/>
        <v>90732</v>
      </c>
      <c r="AO44" s="7">
        <v>264397</v>
      </c>
      <c r="AP44" s="9">
        <f t="shared" si="15"/>
        <v>0.86677310219121673</v>
      </c>
      <c r="AQ44" s="4">
        <v>305678</v>
      </c>
      <c r="AR44" s="5">
        <v>169651</v>
      </c>
      <c r="AS44" s="10">
        <f t="shared" si="16"/>
        <v>97408</v>
      </c>
      <c r="AT44" s="7">
        <v>267059</v>
      </c>
      <c r="AU44" s="9">
        <f t="shared" si="17"/>
        <v>0.87366117286818157</v>
      </c>
      <c r="AV44" s="6">
        <v>308055</v>
      </c>
      <c r="AW44" s="5">
        <v>161704</v>
      </c>
      <c r="AX44" s="10">
        <f t="shared" si="18"/>
        <v>107807</v>
      </c>
      <c r="AY44" s="7">
        <v>269511</v>
      </c>
      <c r="AZ44" s="9">
        <f t="shared" si="19"/>
        <v>0.87487948580610608</v>
      </c>
      <c r="BA44" s="6">
        <v>313476</v>
      </c>
      <c r="BB44" s="5">
        <v>199345</v>
      </c>
      <c r="BC44" s="10">
        <f t="shared" si="20"/>
        <v>73474</v>
      </c>
      <c r="BD44" s="7">
        <v>272819</v>
      </c>
      <c r="BE44" s="9">
        <f t="shared" si="21"/>
        <v>0.87030267069887324</v>
      </c>
      <c r="BF44" s="6">
        <v>319463</v>
      </c>
      <c r="BG44" s="5">
        <v>146426</v>
      </c>
      <c r="BH44" s="10">
        <f t="shared" si="22"/>
        <v>129339</v>
      </c>
      <c r="BI44" s="7">
        <v>275765</v>
      </c>
      <c r="BJ44" s="9">
        <f t="shared" si="23"/>
        <v>0.86321420634001433</v>
      </c>
    </row>
    <row r="45" spans="1:62" x14ac:dyDescent="0.3">
      <c r="A45" s="16">
        <v>37</v>
      </c>
      <c r="B45" s="2" t="s">
        <v>38</v>
      </c>
      <c r="C45" s="4">
        <v>240045</v>
      </c>
      <c r="D45" s="5">
        <v>93259</v>
      </c>
      <c r="E45" s="10">
        <f t="shared" si="0"/>
        <v>119238</v>
      </c>
      <c r="F45" s="7">
        <v>212497</v>
      </c>
      <c r="G45" s="9">
        <f t="shared" si="1"/>
        <v>0.88523818450707159</v>
      </c>
      <c r="H45" s="4">
        <v>247611</v>
      </c>
      <c r="I45" s="5">
        <v>150291</v>
      </c>
      <c r="J45" s="10">
        <f t="shared" si="2"/>
        <v>65572</v>
      </c>
      <c r="K45" s="7">
        <v>215863</v>
      </c>
      <c r="L45" s="9">
        <f t="shared" si="3"/>
        <v>0.87178275601649358</v>
      </c>
      <c r="M45" s="4">
        <v>252576</v>
      </c>
      <c r="N45" s="5">
        <v>151822</v>
      </c>
      <c r="O45" s="10">
        <f t="shared" si="4"/>
        <v>66785</v>
      </c>
      <c r="P45" s="7">
        <v>218607</v>
      </c>
      <c r="Q45" s="9">
        <f t="shared" si="5"/>
        <v>0.86550978715317373</v>
      </c>
      <c r="R45" s="4">
        <v>256692</v>
      </c>
      <c r="S45" s="5">
        <v>171406</v>
      </c>
      <c r="T45" s="10">
        <f t="shared" si="6"/>
        <v>50481</v>
      </c>
      <c r="U45" s="7">
        <v>221887</v>
      </c>
      <c r="V45" s="9">
        <f t="shared" si="7"/>
        <v>0.86440948685584285</v>
      </c>
      <c r="W45" s="4">
        <v>257705</v>
      </c>
      <c r="X45" s="5">
        <v>146891</v>
      </c>
      <c r="Y45" s="10">
        <f t="shared" si="8"/>
        <v>78581</v>
      </c>
      <c r="Z45" s="7">
        <v>225472</v>
      </c>
      <c r="AA45" s="9">
        <f t="shared" si="9"/>
        <v>0.87492287693292714</v>
      </c>
      <c r="AB45" s="4">
        <v>256988</v>
      </c>
      <c r="AC45" s="5">
        <v>160692</v>
      </c>
      <c r="AD45" s="10">
        <f t="shared" si="10"/>
        <v>67749</v>
      </c>
      <c r="AE45" s="7">
        <v>228441</v>
      </c>
      <c r="AF45" s="9">
        <f t="shared" si="11"/>
        <v>0.88891699223310039</v>
      </c>
      <c r="AG45" s="4">
        <v>259488</v>
      </c>
      <c r="AH45" s="5">
        <v>157429</v>
      </c>
      <c r="AI45" s="10">
        <f t="shared" si="12"/>
        <v>74820</v>
      </c>
      <c r="AJ45" s="7">
        <v>232249</v>
      </c>
      <c r="AK45" s="9">
        <f t="shared" si="13"/>
        <v>0.89502790109754593</v>
      </c>
      <c r="AL45" s="4">
        <v>264815</v>
      </c>
      <c r="AM45" s="5">
        <v>167020</v>
      </c>
      <c r="AN45" s="10">
        <f t="shared" si="14"/>
        <v>67524</v>
      </c>
      <c r="AO45" s="7">
        <v>234544</v>
      </c>
      <c r="AP45" s="9">
        <f t="shared" si="15"/>
        <v>0.88569001000698599</v>
      </c>
      <c r="AQ45" s="4">
        <v>268317</v>
      </c>
      <c r="AR45" s="5">
        <v>159880</v>
      </c>
      <c r="AS45" s="10">
        <f t="shared" si="16"/>
        <v>78039</v>
      </c>
      <c r="AT45" s="7">
        <v>237919</v>
      </c>
      <c r="AU45" s="9">
        <f t="shared" si="17"/>
        <v>0.88670863195399474</v>
      </c>
      <c r="AV45" s="6">
        <v>271955</v>
      </c>
      <c r="AW45" s="5">
        <v>156149</v>
      </c>
      <c r="AX45" s="10">
        <f t="shared" si="18"/>
        <v>83976</v>
      </c>
      <c r="AY45" s="7">
        <v>240125</v>
      </c>
      <c r="AZ45" s="9">
        <f t="shared" si="19"/>
        <v>0.8829585777058705</v>
      </c>
      <c r="BA45" s="6">
        <v>276045</v>
      </c>
      <c r="BB45" s="5">
        <v>189178</v>
      </c>
      <c r="BC45" s="10">
        <f t="shared" si="20"/>
        <v>53661</v>
      </c>
      <c r="BD45" s="7">
        <v>242839</v>
      </c>
      <c r="BE45" s="9">
        <f t="shared" si="21"/>
        <v>0.87970801862015247</v>
      </c>
      <c r="BF45" s="6">
        <v>279089</v>
      </c>
      <c r="BG45" s="5">
        <v>130838</v>
      </c>
      <c r="BH45" s="10">
        <f t="shared" si="22"/>
        <v>114253</v>
      </c>
      <c r="BI45" s="7">
        <v>245091</v>
      </c>
      <c r="BJ45" s="9">
        <f t="shared" si="23"/>
        <v>0.87818222860807837</v>
      </c>
    </row>
    <row r="46" spans="1:62" x14ac:dyDescent="0.3">
      <c r="A46" s="16">
        <v>38</v>
      </c>
      <c r="B46" s="2" t="s">
        <v>42</v>
      </c>
      <c r="C46" s="8" t="s">
        <v>43</v>
      </c>
      <c r="D46" s="8" t="s">
        <v>43</v>
      </c>
      <c r="E46" s="8" t="s">
        <v>43</v>
      </c>
      <c r="F46" s="7">
        <v>0</v>
      </c>
      <c r="G46" s="8" t="s">
        <v>43</v>
      </c>
      <c r="H46" s="8" t="s">
        <v>43</v>
      </c>
      <c r="I46" s="8" t="s">
        <v>43</v>
      </c>
      <c r="J46" s="8" t="s">
        <v>43</v>
      </c>
      <c r="K46" s="7">
        <v>0</v>
      </c>
      <c r="L46" s="8" t="s">
        <v>43</v>
      </c>
      <c r="M46" s="8" t="s">
        <v>43</v>
      </c>
      <c r="N46" s="8" t="s">
        <v>43</v>
      </c>
      <c r="O46" s="8" t="s">
        <v>43</v>
      </c>
      <c r="P46" s="7">
        <v>0</v>
      </c>
      <c r="Q46" s="8" t="s">
        <v>43</v>
      </c>
      <c r="R46" s="8" t="s">
        <v>43</v>
      </c>
      <c r="S46" s="8" t="s">
        <v>43</v>
      </c>
      <c r="T46" s="8" t="s">
        <v>43</v>
      </c>
      <c r="U46" s="7">
        <v>0</v>
      </c>
      <c r="V46" s="8" t="s">
        <v>43</v>
      </c>
      <c r="W46" s="8" t="s">
        <v>43</v>
      </c>
      <c r="X46" s="8" t="s">
        <v>43</v>
      </c>
      <c r="Y46" s="8" t="s">
        <v>43</v>
      </c>
      <c r="Z46" s="7">
        <v>0</v>
      </c>
      <c r="AA46" s="8" t="s">
        <v>43</v>
      </c>
      <c r="AB46" s="8" t="s">
        <v>43</v>
      </c>
      <c r="AC46" s="8" t="s">
        <v>43</v>
      </c>
      <c r="AD46" s="8" t="s">
        <v>43</v>
      </c>
      <c r="AE46" s="7">
        <v>0</v>
      </c>
      <c r="AF46" s="8" t="s">
        <v>43</v>
      </c>
      <c r="AG46" s="8" t="s">
        <v>43</v>
      </c>
      <c r="AH46" s="8" t="s">
        <v>43</v>
      </c>
      <c r="AI46" s="8" t="s">
        <v>43</v>
      </c>
      <c r="AJ46" s="7">
        <v>0</v>
      </c>
      <c r="AK46" s="8" t="s">
        <v>43</v>
      </c>
      <c r="AL46" s="8" t="s">
        <v>43</v>
      </c>
      <c r="AM46" s="8" t="s">
        <v>43</v>
      </c>
      <c r="AN46" s="8" t="s">
        <v>43</v>
      </c>
      <c r="AO46" s="7">
        <v>0</v>
      </c>
      <c r="AP46" s="8" t="s">
        <v>43</v>
      </c>
      <c r="AQ46" s="8" t="s">
        <v>43</v>
      </c>
      <c r="AR46" s="8" t="s">
        <v>43</v>
      </c>
      <c r="AS46" s="8" t="s">
        <v>43</v>
      </c>
      <c r="AT46" s="7">
        <v>0</v>
      </c>
      <c r="AU46" s="8" t="s">
        <v>43</v>
      </c>
      <c r="AV46" s="8" t="s">
        <v>43</v>
      </c>
      <c r="AW46" s="8" t="s">
        <v>43</v>
      </c>
      <c r="AX46" s="8" t="s">
        <v>43</v>
      </c>
      <c r="AY46" s="7">
        <v>0</v>
      </c>
      <c r="AZ46" s="8" t="s">
        <v>43</v>
      </c>
      <c r="BA46" s="8" t="s">
        <v>43</v>
      </c>
      <c r="BB46" s="8" t="s">
        <v>43</v>
      </c>
      <c r="BC46" s="8" t="s">
        <v>43</v>
      </c>
      <c r="BD46" s="7">
        <v>0</v>
      </c>
      <c r="BE46" s="8" t="s">
        <v>43</v>
      </c>
      <c r="BF46" s="8" t="s">
        <v>43</v>
      </c>
      <c r="BG46" s="8" t="s">
        <v>43</v>
      </c>
      <c r="BH46" s="8" t="s">
        <v>43</v>
      </c>
      <c r="BI46" s="7">
        <v>0</v>
      </c>
      <c r="BJ46" s="8" t="s">
        <v>43</v>
      </c>
    </row>
    <row r="47" spans="1:62" x14ac:dyDescent="0.3">
      <c r="A47" s="16">
        <v>97</v>
      </c>
      <c r="B47" s="2" t="s">
        <v>39</v>
      </c>
      <c r="C47" s="4">
        <v>54</v>
      </c>
      <c r="D47" s="5">
        <v>17</v>
      </c>
      <c r="E47" s="10">
        <f t="shared" si="0"/>
        <v>29</v>
      </c>
      <c r="F47" s="7">
        <v>46</v>
      </c>
      <c r="G47" s="9">
        <f t="shared" si="1"/>
        <v>0.85185185185185186</v>
      </c>
      <c r="H47" s="4">
        <v>56</v>
      </c>
      <c r="I47" s="5">
        <v>31</v>
      </c>
      <c r="J47" s="10">
        <f t="shared" si="2"/>
        <v>16</v>
      </c>
      <c r="K47" s="7">
        <v>47</v>
      </c>
      <c r="L47" s="9">
        <f t="shared" si="3"/>
        <v>0.8392857142857143</v>
      </c>
      <c r="M47" s="4">
        <v>60</v>
      </c>
      <c r="N47" s="5">
        <v>39</v>
      </c>
      <c r="O47" s="10">
        <f t="shared" si="4"/>
        <v>12</v>
      </c>
      <c r="P47" s="7">
        <v>51</v>
      </c>
      <c r="Q47" s="9">
        <f t="shared" si="5"/>
        <v>0.85</v>
      </c>
      <c r="R47" s="4">
        <v>62</v>
      </c>
      <c r="S47" s="5">
        <v>44</v>
      </c>
      <c r="T47" s="10">
        <f t="shared" si="6"/>
        <v>9</v>
      </c>
      <c r="U47" s="7">
        <v>53</v>
      </c>
      <c r="V47" s="9">
        <f t="shared" si="7"/>
        <v>0.85483870967741937</v>
      </c>
      <c r="W47" s="4">
        <v>62</v>
      </c>
      <c r="X47" s="5">
        <v>37</v>
      </c>
      <c r="Y47" s="10">
        <f t="shared" si="8"/>
        <v>15</v>
      </c>
      <c r="Z47" s="7">
        <v>52</v>
      </c>
      <c r="AA47" s="9">
        <f t="shared" si="9"/>
        <v>0.83870967741935487</v>
      </c>
      <c r="AB47" s="4">
        <v>62</v>
      </c>
      <c r="AC47" s="5">
        <v>48</v>
      </c>
      <c r="AD47" s="10">
        <f t="shared" si="10"/>
        <v>3</v>
      </c>
      <c r="AE47" s="7">
        <v>51</v>
      </c>
      <c r="AF47" s="9">
        <f t="shared" si="11"/>
        <v>0.82258064516129037</v>
      </c>
      <c r="AG47" s="4">
        <v>62</v>
      </c>
      <c r="AH47" s="5">
        <v>42</v>
      </c>
      <c r="AI47" s="10">
        <f t="shared" si="12"/>
        <v>8</v>
      </c>
      <c r="AJ47" s="7">
        <v>50</v>
      </c>
      <c r="AK47" s="9">
        <f t="shared" si="13"/>
        <v>0.80645161290322576</v>
      </c>
      <c r="AL47" s="4">
        <v>62</v>
      </c>
      <c r="AM47" s="5">
        <v>42</v>
      </c>
      <c r="AN47" s="10">
        <f t="shared" si="14"/>
        <v>7</v>
      </c>
      <c r="AO47" s="7">
        <v>49</v>
      </c>
      <c r="AP47" s="9">
        <f t="shared" si="15"/>
        <v>0.79032258064516125</v>
      </c>
      <c r="AQ47" s="4">
        <v>62</v>
      </c>
      <c r="AR47" s="5">
        <v>39</v>
      </c>
      <c r="AS47" s="10">
        <f t="shared" si="16"/>
        <v>10</v>
      </c>
      <c r="AT47" s="7">
        <v>49</v>
      </c>
      <c r="AU47" s="9">
        <f t="shared" si="17"/>
        <v>0.79032258064516125</v>
      </c>
      <c r="AV47" s="6">
        <v>64</v>
      </c>
      <c r="AW47" s="5">
        <v>30</v>
      </c>
      <c r="AX47" s="10">
        <f t="shared" si="18"/>
        <v>21</v>
      </c>
      <c r="AY47" s="7">
        <v>51</v>
      </c>
      <c r="AZ47" s="9">
        <f t="shared" si="19"/>
        <v>0.796875</v>
      </c>
      <c r="BA47" s="6">
        <v>66</v>
      </c>
      <c r="BB47" s="5">
        <v>49</v>
      </c>
      <c r="BC47" s="10">
        <f t="shared" si="20"/>
        <v>3</v>
      </c>
      <c r="BD47" s="7">
        <v>52</v>
      </c>
      <c r="BE47" s="9">
        <f t="shared" si="21"/>
        <v>0.78787878787878785</v>
      </c>
      <c r="BF47" s="6">
        <v>66</v>
      </c>
      <c r="BG47" s="5">
        <v>34</v>
      </c>
      <c r="BH47" s="10">
        <f t="shared" si="22"/>
        <v>18</v>
      </c>
      <c r="BI47" s="7">
        <v>52</v>
      </c>
      <c r="BJ47" s="9">
        <f t="shared" si="23"/>
        <v>0.78787878787878785</v>
      </c>
    </row>
    <row r="48" spans="1:62" s="3" customFormat="1" ht="18" x14ac:dyDescent="0.3">
      <c r="A48" s="20" t="s">
        <v>40</v>
      </c>
      <c r="B48" s="21"/>
      <c r="C48" s="13">
        <f>SUM(C10:C47)</f>
        <v>8817798</v>
      </c>
      <c r="D48" s="13">
        <f>SUM(D10:D47)</f>
        <v>3432318</v>
      </c>
      <c r="E48" s="13">
        <f t="shared" si="0"/>
        <v>4591902</v>
      </c>
      <c r="F48" s="13">
        <f>SUM(F10:F47)</f>
        <v>8024220</v>
      </c>
      <c r="G48" s="14">
        <f t="shared" si="1"/>
        <v>0.91000270135469197</v>
      </c>
      <c r="H48" s="13">
        <f>SUM(H10:H47)</f>
        <v>9122309</v>
      </c>
      <c r="I48" s="13">
        <f>SUM(I10:I47)</f>
        <v>5726440</v>
      </c>
      <c r="J48" s="13">
        <f t="shared" si="2"/>
        <v>2452814</v>
      </c>
      <c r="K48" s="13">
        <f>SUM(K10:K47)</f>
        <v>8179254</v>
      </c>
      <c r="L48" s="14">
        <f t="shared" si="3"/>
        <v>0.89662101996325716</v>
      </c>
      <c r="M48" s="13">
        <f>SUM(M10:M47)</f>
        <v>9316710</v>
      </c>
      <c r="N48" s="13">
        <f>SUM(N10:N47)</f>
        <v>5790323</v>
      </c>
      <c r="O48" s="13">
        <f t="shared" si="4"/>
        <v>2507228</v>
      </c>
      <c r="P48" s="13">
        <f>SUM(P10:P47)</f>
        <v>8297551</v>
      </c>
      <c r="Q48" s="14">
        <f t="shared" si="5"/>
        <v>0.89060956067109531</v>
      </c>
      <c r="R48" s="13">
        <f>SUM(R10:R47)</f>
        <v>9470282</v>
      </c>
      <c r="S48" s="13">
        <f>SUM(S10:S47)</f>
        <v>6383650</v>
      </c>
      <c r="T48" s="13">
        <f t="shared" si="6"/>
        <v>2026696</v>
      </c>
      <c r="U48" s="13">
        <f>SUM(U10:U47)</f>
        <v>8410346</v>
      </c>
      <c r="V48" s="14">
        <f t="shared" si="7"/>
        <v>0.88807767287183215</v>
      </c>
      <c r="W48" s="13">
        <f>SUM(W10:W47)</f>
        <v>9615273</v>
      </c>
      <c r="X48" s="13">
        <f>SUM(X10:X47)</f>
        <v>5650240</v>
      </c>
      <c r="Y48" s="13">
        <f t="shared" si="8"/>
        <v>2872158</v>
      </c>
      <c r="Z48" s="13">
        <f>SUM(Z10:Z47)</f>
        <v>8522398</v>
      </c>
      <c r="AA48" s="14">
        <f t="shared" si="9"/>
        <v>0.88633968063101276</v>
      </c>
      <c r="AB48" s="13">
        <f>SUM(AB10:AB47)</f>
        <v>9657239</v>
      </c>
      <c r="AC48" s="13">
        <f>SUM(AC10:AC47)</f>
        <v>6369254</v>
      </c>
      <c r="AD48" s="13">
        <f t="shared" si="10"/>
        <v>2248032</v>
      </c>
      <c r="AE48" s="13">
        <f>SUM(AE10:AE47)</f>
        <v>8617286</v>
      </c>
      <c r="AF48" s="14">
        <f t="shared" si="11"/>
        <v>0.89231363125630425</v>
      </c>
      <c r="AG48" s="13">
        <f>SUM(AG10:AG47)</f>
        <v>9757664</v>
      </c>
      <c r="AH48" s="13">
        <f>SUM(AH10:AH47)</f>
        <v>5882665</v>
      </c>
      <c r="AI48" s="13">
        <f t="shared" si="12"/>
        <v>2832621</v>
      </c>
      <c r="AJ48" s="13">
        <f>SUM(AJ10:AJ47)</f>
        <v>8715286</v>
      </c>
      <c r="AK48" s="14">
        <f t="shared" si="13"/>
        <v>0.89317340707775961</v>
      </c>
      <c r="AL48" s="13">
        <f>SUM(AL10:AL47)</f>
        <v>9846645</v>
      </c>
      <c r="AM48" s="13">
        <f>SUM(AM10:AM47)</f>
        <v>6290361</v>
      </c>
      <c r="AN48" s="13">
        <f t="shared" si="14"/>
        <v>2422732</v>
      </c>
      <c r="AO48" s="13">
        <f>SUM(AO10:AO47)</f>
        <v>8713093</v>
      </c>
      <c r="AP48" s="14">
        <f t="shared" si="15"/>
        <v>0.88487936754092389</v>
      </c>
      <c r="AQ48" s="13">
        <f>SUM(AQ10:AQ47)</f>
        <v>9901997</v>
      </c>
      <c r="AR48" s="13">
        <f>SUM(AR10:AR47)</f>
        <v>6199456</v>
      </c>
      <c r="AS48" s="13">
        <f t="shared" si="16"/>
        <v>2607107</v>
      </c>
      <c r="AT48" s="13">
        <f>SUM(AT10:AT47)</f>
        <v>8806563</v>
      </c>
      <c r="AU48" s="14">
        <f t="shared" si="17"/>
        <v>0.88937241649335985</v>
      </c>
      <c r="AV48" s="13">
        <f>SUM(AV10:AV47)</f>
        <v>9972639</v>
      </c>
      <c r="AW48" s="13">
        <f>SUM(AW10:AW47)</f>
        <v>5726001</v>
      </c>
      <c r="AX48" s="13">
        <f t="shared" si="18"/>
        <v>3160793</v>
      </c>
      <c r="AY48" s="13">
        <f>SUM(AY10:AY47)</f>
        <v>8886794</v>
      </c>
      <c r="AZ48" s="14">
        <f t="shared" si="19"/>
        <v>0.89111758682932374</v>
      </c>
      <c r="BA48" s="13">
        <f>SUM(BA10:BA47)</f>
        <v>10054283</v>
      </c>
      <c r="BB48" s="13">
        <f>SUM(BB10:BB47)</f>
        <v>6963254</v>
      </c>
      <c r="BC48" s="13">
        <f t="shared" si="20"/>
        <v>2003788</v>
      </c>
      <c r="BD48" s="13">
        <f>SUM(BD10:BD47)</f>
        <v>8967042</v>
      </c>
      <c r="BE48" s="14">
        <f t="shared" si="21"/>
        <v>0.89186290061658302</v>
      </c>
      <c r="BF48" s="13">
        <f>SUM(BF10:BF47)</f>
        <v>10174978</v>
      </c>
      <c r="BG48" s="13">
        <f>SUM(BG10:BG47)</f>
        <v>5214827</v>
      </c>
      <c r="BH48" s="13">
        <f t="shared" si="22"/>
        <v>3828630</v>
      </c>
      <c r="BI48" s="13">
        <f>SUM(BI10:BI47)</f>
        <v>9043457</v>
      </c>
      <c r="BJ48" s="14">
        <f t="shared" si="23"/>
        <v>0.88879376446809022</v>
      </c>
    </row>
    <row r="49" spans="1:62" s="3" customFormat="1" ht="15.6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 s="3" customFormat="1" ht="15.6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 s="3" customFormat="1" ht="15.6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 s="3" customFormat="1" ht="15.6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 s="3" customFormat="1" ht="15.6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 x14ac:dyDescent="0.3">
      <c r="A54" s="23" t="s">
        <v>41</v>
      </c>
      <c r="B54" s="23"/>
      <c r="C54" s="23"/>
      <c r="D54" s="23"/>
      <c r="E54" s="23"/>
    </row>
  </sheetData>
  <mergeCells count="19">
    <mergeCell ref="A54:E54"/>
    <mergeCell ref="M8:Q8"/>
    <mergeCell ref="R8:V8"/>
    <mergeCell ref="A5:C5"/>
    <mergeCell ref="A8:A9"/>
    <mergeCell ref="B8:B9"/>
    <mergeCell ref="C8:G8"/>
    <mergeCell ref="H8:L8"/>
    <mergeCell ref="A1:D1"/>
    <mergeCell ref="BF8:BJ8"/>
    <mergeCell ref="A48:B48"/>
    <mergeCell ref="AG8:AK8"/>
    <mergeCell ref="AL8:AP8"/>
    <mergeCell ref="W8:AA8"/>
    <mergeCell ref="AB8:AF8"/>
    <mergeCell ref="AQ8:AU8"/>
    <mergeCell ref="AV8:AZ8"/>
    <mergeCell ref="BA8:BE8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 3B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2021-04-12T05:26:46Z</dcterms:created>
  <dcterms:modified xsi:type="dcterms:W3CDTF">2026-09-09T11:43:30Z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2022-09-01T04:00:00Z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f7308cb0-d4d7-4ae4-a359-a1906a580240</vt:lpwstr>
  </property>
  <property fmtid="{D5CDD505-2E9C-101B-9397-08002B2CF9AE}" pid="8" name="MSIP_Label_a0819fa7-4367-4500-ba88-dd630d977609_ContentBits">
    <vt:lpwstr>0</vt:lpwstr>
  </property>
</Properties>
</file>